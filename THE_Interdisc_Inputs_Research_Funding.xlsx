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Total Research Income" sheetId="2" state="visible" r:id="rId4"/>
    <sheet name="2. Funding by Source" sheetId="3" state="visible" r:id="rId5"/>
    <sheet name="3. Interdisc. Funding" sheetId="4" state="visible" r:id="rId6"/>
    <sheet name="4. Grant Success Rate" sheetId="5" state="visible" r:id="rId7"/>
    <sheet name="5. Funding Diversity" sheetId="6" state="visible" r:id="rId8"/>
    <sheet name="6. Funding Growth" sheetId="7" state="visible" r:id="rId9"/>
    <sheet name="7. Funding Agencies Ref" sheetId="8" state="visible" r:id="rId10"/>
    <sheet name="8. Composite RF Score" sheetId="9" state="visible" r:id="rId11"/>
    <sheet name="9. Benchmarking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<sst xmlns="http://schemas.openxmlformats.org/spreadsheetml/2006/main" count="308" uniqueCount="251">
  <si>
    <t xml:space="preserve">THE Interdisciplinary Rankings — Inputs Pillar (19%) → Research Funding (8%)</t>
  </si>
  <si>
    <t xml:space="preserve">Measures Financial Resources Available for Cross-Disciplinary Research | 8% of Total Ranking Score</t>
  </si>
  <si>
    <t xml:space="preserve">#</t>
  </si>
  <si>
    <t xml:space="preserve">Sub-Indicator</t>
  </si>
  <si>
    <t xml:space="preserve">Description &amp; Measurement</t>
  </si>
  <si>
    <t xml:space="preserve">Approx. Weight</t>
  </si>
  <si>
    <t xml:space="preserve">Total Research Income (Normalized)</t>
  </si>
  <si>
    <t xml:space="preserve">Total externally and internally sourced research funding received by the institution, normalized by number of academic staff (FTE). Includes government grants, industry-sponsored research, international funding, endowment-funded research, and institutional research allocations. Expressed as research income per academic FTE.</t>
  </si>
  <si>
    <t xml:space="preserve">~3%</t>
  </si>
  <si>
    <t xml:space="preserve">Interdisciplinary Research Funding (Proportion)</t>
  </si>
  <si>
    <t xml:space="preserve">Proportion of total research funding explicitly allocated to projects spanning 2+ departments or 2+ ASJC subject areas. Includes internal seed grants for cross-domain proposals, government mission-mode grants (SPARC, IMPRINT, DST), industry cross-domain R&amp;D, and international collaborative grants. Higher proportion = stronger interdisciplinary investment.</t>
  </si>
  <si>
    <t xml:space="preserve">~2%</t>
  </si>
  <si>
    <t xml:space="preserve">Competitive Grant Success Rate</t>
  </si>
  <si>
    <t xml:space="preserve">Success rate of interdisciplinary grant proposals submitted to external competitive funding agencies (DST, DBT, SERB, ICMR, NSF, ERC, Horizon Europe, etc.). Calculated as: grants awarded ÷ proposals submitted × 100. Higher rates indicate research competitiveness and proposal quality.</t>
  </si>
  <si>
    <t xml:space="preserve">~1.5%</t>
  </si>
  <si>
    <t xml:space="preserve">Research Funding Diversity</t>
  </si>
  <si>
    <t xml:space="preserve">Measures how diversified an institution's research funding sources are (entropy on funding source distribution). Institutions reliant on a single funder score lower than those with balanced portfolios across government, industry, international, philanthropy, and internal sources.</t>
  </si>
  <si>
    <t xml:space="preserve">~1%</t>
  </si>
  <si>
    <t xml:space="preserve">Research Funding Sustainability &amp; Growth</t>
  </si>
  <si>
    <t xml:space="preserve">Year-on-year growth rate of research funding over a 5-year window. Measures financial trajectory and institutional commitment to growing the research base. Includes assessment of multi-year grant pipelines and endowment contributions to research.</t>
  </si>
  <si>
    <t xml:space="preserve">~0.5%</t>
  </si>
  <si>
    <t xml:space="preserve">Key Reference Notes</t>
  </si>
  <si>
    <t xml:space="preserve">• Research Funding contributes 8% to total ranking — the largest component of the Inputs pillar (19%).</t>
  </si>
  <si>
    <t xml:space="preserve">• Inputs pillar (19%) = Research Funding (8%) + Institutional Resources (6%) + Staff Quality (5%).</t>
  </si>
  <si>
    <t xml:space="preserve">• Data sources: institutional finance records, grant databases (DST/SERB/DBT/CSIR), audited accounts, THE submission.</t>
  </si>
  <si>
    <t xml:space="preserve">• Normalization by academic FTE ensures fair comparison between large and small institutions.</t>
  </si>
  <si>
    <t xml:space="preserve">• Interdisciplinary funding is identified by project scope spanning 2+ departments/ASJC areas in grant documentation.</t>
  </si>
  <si>
    <t xml:space="preserve">• Funding diversity uses Shannon entropy: H = −Σ pᵢ × log₂(pᵢ) on proportions across funding source categories.</t>
  </si>
  <si>
    <t xml:space="preserve">• 5-year growth rate: CAGR = (Year5/Year1)^(1/4) − 1, capturing compound annual growth.</t>
  </si>
  <si>
    <t xml:space="preserve">• Currency normalization: all funding figures converted to USD using PPP (Purchasing Power Parity) for global comparability.</t>
  </si>
  <si>
    <t xml:space="preserve">Total Research Income — All Sources (5-Year Window)</t>
  </si>
  <si>
    <t xml:space="preserve">Research funding received from all sources | Normalized by academic staff FTE | PPP-adjusted</t>
  </si>
  <si>
    <t xml:space="preserve">S.No.</t>
  </si>
  <si>
    <t xml:space="preserve">University Name</t>
  </si>
  <si>
    <t xml:space="preserve">Country</t>
  </si>
  <si>
    <t xml:space="preserve">Year 1 Funding (INR Cr / USD M)</t>
  </si>
  <si>
    <t xml:space="preserve">Year 2 Funding</t>
  </si>
  <si>
    <t xml:space="preserve">Year 3 Funding</t>
  </si>
  <si>
    <t xml:space="preserve">Year 4 Funding</t>
  </si>
  <si>
    <t xml:space="preserve">Year 5 Funding</t>
  </si>
  <si>
    <t xml:space="preserve">5-Year Total Funding</t>
  </si>
  <si>
    <t xml:space="preserve">Academic Staff (FTE)</t>
  </si>
  <si>
    <t xml:space="preserve">Funding per FTE (INR L / USD K)</t>
  </si>
  <si>
    <t xml:space="preserve">Summary Statistics</t>
  </si>
  <si>
    <t xml:space="preserve">Total Funding (All Universities)</t>
  </si>
  <si>
    <t xml:space="preserve">Average 5-Year Funding</t>
  </si>
  <si>
    <t xml:space="preserve">Average Funding per FTE</t>
  </si>
  <si>
    <t xml:space="preserve">Highest Funding per FTE</t>
  </si>
  <si>
    <t xml:space="preserve">Lowest Funding per FTE</t>
  </si>
  <si>
    <t xml:space="preserve">Research Funding Breakdown by Source (5-Year Aggregate)</t>
  </si>
  <si>
    <t xml:space="preserve">Government | Industry | International | Philanthropy | Internal | Other — for funding diversity analysis</t>
  </si>
  <si>
    <t xml:space="preserve">Government Grants (INR Cr / USD M)</t>
  </si>
  <si>
    <t xml:space="preserve">Industry Sponsored R&amp;D</t>
  </si>
  <si>
    <t xml:space="preserve">International Grants / Collaborations</t>
  </si>
  <si>
    <t xml:space="preserve">Philanthropy / Endowment / CSR</t>
  </si>
  <si>
    <t xml:space="preserve">Internal / Institutional Allocation</t>
  </si>
  <si>
    <t xml:space="preserve">Other Sources</t>
  </si>
  <si>
    <t xml:space="preserve">Total (Auto-Sum)</t>
  </si>
  <si>
    <t xml:space="preserve">Reporting Period</t>
  </si>
  <si>
    <t xml:space="preserve">Funding Source Proportions (%) — For Entropy Calculation</t>
  </si>
  <si>
    <t xml:space="preserve">% Government</t>
  </si>
  <si>
    <t xml:space="preserve">% Industry</t>
  </si>
  <si>
    <t xml:space="preserve">% International</t>
  </si>
  <si>
    <t xml:space="preserve">% Philanthropy</t>
  </si>
  <si>
    <t xml:space="preserve">% Internal</t>
  </si>
  <si>
    <t xml:space="preserve">% Other</t>
  </si>
  <si>
    <t xml:space="preserve">Total %</t>
  </si>
  <si>
    <t xml:space="preserve">Funding Diversity Entropy (H)</t>
  </si>
  <si>
    <t xml:space="preserve">Interdisciplinary Research Funding — Projects Spanning 2+ Departments / ASJC Areas</t>
  </si>
  <si>
    <t xml:space="preserve">Subset of total funding explicitly allocated to cross-domain research | Internal + External sources</t>
  </si>
  <si>
    <t xml:space="preserve">Total Research Funding (5yr)</t>
  </si>
  <si>
    <t xml:space="preserve">Internal Interdisc. Seed Grants</t>
  </si>
  <si>
    <t xml:space="preserve">Govt Mission-Mode (SPARC/IMPRINT/DST)</t>
  </si>
  <si>
    <t xml:space="preserve">Industry Cross-Domain R&amp;D</t>
  </si>
  <si>
    <t xml:space="preserve">International Interdisc. Grants</t>
  </si>
  <si>
    <t xml:space="preserve">Total Interdisc. Funding</t>
  </si>
  <si>
    <t xml:space="preserve">% Interdisc. of Total</t>
  </si>
  <si>
    <t xml:space="preserve">Detailed Interdisciplinary Grant Log</t>
  </si>
  <si>
    <t xml:space="preserve">Grant / Project Title</t>
  </si>
  <si>
    <t xml:space="preserve">Funding Agency / Source</t>
  </si>
  <si>
    <t xml:space="preserve">Amount (INR L / USD K)</t>
  </si>
  <si>
    <t xml:space="preserve">Disciplines / ASJC Areas (list 2+)</t>
  </si>
  <si>
    <t xml:space="preserve">Departments Involved</t>
  </si>
  <si>
    <t xml:space="preserve">PI &amp; Co-PI Names</t>
  </si>
  <si>
    <t xml:space="preserve">Duration (Years)</t>
  </si>
  <si>
    <t xml:space="preserve">Status (Active/Completed/Pipeline)</t>
  </si>
  <si>
    <t xml:space="preserve">Cross-Domain (Verified Y/N)</t>
  </si>
  <si>
    <t xml:space="preserve">Competitive Grant Success Rate — Interdisciplinary Proposals</t>
  </si>
  <si>
    <t xml:space="preserve">Success = grants awarded ÷ proposals submitted × 100 | Tracks competitiveness of cross-domain proposals</t>
  </si>
  <si>
    <t xml:space="preserve">Total Proposals Submitted (5yr)</t>
  </si>
  <si>
    <t xml:space="preserve">Interdisc. Proposals Submitted</t>
  </si>
  <si>
    <t xml:space="preserve">Interdisc. Proposals Awarded</t>
  </si>
  <si>
    <t xml:space="preserve">Success Rate (Interdisc.) %</t>
  </si>
  <si>
    <t xml:space="preserve">Total Proposals Awarded (All)</t>
  </si>
  <si>
    <t xml:space="preserve">Overall Success Rate %</t>
  </si>
  <si>
    <t xml:space="preserve">Success Rate by Funding Agency (Per University)</t>
  </si>
  <si>
    <t xml:space="preserve">Funding Agency</t>
  </si>
  <si>
    <t xml:space="preserve">Proposals Submitted</t>
  </si>
  <si>
    <t xml:space="preserve">Proposals Awarded</t>
  </si>
  <si>
    <t xml:space="preserve">Success Rate (%)</t>
  </si>
  <si>
    <t xml:space="preserve">Interdisc. Awarded</t>
  </si>
  <si>
    <t xml:space="preserve">Interdisc. Success Rate (%)</t>
  </si>
  <si>
    <t xml:space="preserve">Total Funding Won (INR L / USD K)</t>
  </si>
  <si>
    <t xml:space="preserve">Research Funding Diversity — Shannon Entropy Analysis</t>
  </si>
  <si>
    <t xml:space="preserve">H = −Σ pᵢ × log₂(pᵢ) on funding source proportions | Higher H = more diversified funding base</t>
  </si>
  <si>
    <t xml:space="preserve">No. of Active Funding Sources</t>
  </si>
  <si>
    <t xml:space="preserve">Entropy H (bits)</t>
  </si>
  <si>
    <t xml:space="preserve">Max Entropy log₂(N)</t>
  </si>
  <si>
    <t xml:space="preserve">Normalized Entropy (H/Hmax)</t>
  </si>
  <si>
    <t xml:space="preserve">Diversity Score (0–100)</t>
  </si>
  <si>
    <t xml:space="preserve">Diversity Tier</t>
  </si>
  <si>
    <t xml:space="preserve">Research Funding Sustainability &amp; Growth (5-Year Trajectory)</t>
  </si>
  <si>
    <t xml:space="preserve">CAGR = (Year5/Year1)^(1/4) − 1 | Tracks compound annual growth of research funding</t>
  </si>
  <si>
    <t xml:space="preserve">Year 1 Funding</t>
  </si>
  <si>
    <t xml:space="preserve">CAGR (%)</t>
  </si>
  <si>
    <t xml:space="preserve">5-Year Absolute Growth (%)</t>
  </si>
  <si>
    <t xml:space="preserve">Growth Tier</t>
  </si>
  <si>
    <t xml:space="preserve">Major Research Funding Agencies — Reference List</t>
  </si>
  <si>
    <t xml:space="preserve">Key national &amp; international agencies funding interdisciplinary research</t>
  </si>
  <si>
    <t xml:space="preserve">Agency Name</t>
  </si>
  <si>
    <t xml:space="preserve">Acronym</t>
  </si>
  <si>
    <t xml:space="preserve">Focus / Interdisciplinary Relevance</t>
  </si>
  <si>
    <t xml:space="preserve">Type</t>
  </si>
  <si>
    <t xml:space="preserve">India</t>
  </si>
  <si>
    <t xml:space="preserve">Department of Science &amp; Technology</t>
  </si>
  <si>
    <t xml:space="preserve">DST</t>
  </si>
  <si>
    <t xml:space="preserve">Funds SPARC, INSPIRE, mission-mode cross-domain research</t>
  </si>
  <si>
    <t xml:space="preserve">Government</t>
  </si>
  <si>
    <t xml:space="preserve">Science &amp; Engineering Research Board</t>
  </si>
  <si>
    <t xml:space="preserve">SERB</t>
  </si>
  <si>
    <t xml:space="preserve">Competitive grants; CRG, MATRICS, POWER for multi-domain research</t>
  </si>
  <si>
    <t xml:space="preserve">Dept. of Biotechnology</t>
  </si>
  <si>
    <t xml:space="preserve">DBT</t>
  </si>
  <si>
    <t xml:space="preserve">Biotech-engineering-health convergence grants</t>
  </si>
  <si>
    <t xml:space="preserve">Indian Council of Medical Research</t>
  </si>
  <si>
    <t xml:space="preserve">ICMR</t>
  </si>
  <si>
    <t xml:space="preserve">Health research crossing into engineering, AI, data science</t>
  </si>
  <si>
    <t xml:space="preserve">CSIR</t>
  </si>
  <si>
    <t xml:space="preserve">Multi-lab, multi-domain national research programmes</t>
  </si>
  <si>
    <t xml:space="preserve">AICTE / MHRD (MoE)</t>
  </si>
  <si>
    <t xml:space="preserve">AICTE</t>
  </si>
  <si>
    <t xml:space="preserve">IMPRINT, SPARC for engineering + science convergence</t>
  </si>
  <si>
    <t xml:space="preserve">USA</t>
  </si>
  <si>
    <t xml:space="preserve">National Science Foundation</t>
  </si>
  <si>
    <t xml:space="preserve">NSF</t>
  </si>
  <si>
    <t xml:space="preserve">Convergence Accelerator; cross-domain STEM grants</t>
  </si>
  <si>
    <t xml:space="preserve">National Institutes of Health</t>
  </si>
  <si>
    <t xml:space="preserve">NIH</t>
  </si>
  <si>
    <t xml:space="preserve">Biomedical + data science + engineering convergence</t>
  </si>
  <si>
    <t xml:space="preserve">EU</t>
  </si>
  <si>
    <t xml:space="preserve">European Research Council</t>
  </si>
  <si>
    <t xml:space="preserve">ERC</t>
  </si>
  <si>
    <t xml:space="preserve">Frontier interdisciplinary research grants</t>
  </si>
  <si>
    <t xml:space="preserve">Horizon Europe</t>
  </si>
  <si>
    <t xml:space="preserve">HE</t>
  </si>
  <si>
    <t xml:space="preserve">Mission-driven cross-domain research funding</t>
  </si>
  <si>
    <t xml:space="preserve">UK</t>
  </si>
  <si>
    <t xml:space="preserve">UK Research &amp; Innovation</t>
  </si>
  <si>
    <t xml:space="preserve">UKRI</t>
  </si>
  <si>
    <t xml:space="preserve">Cross-council interdisciplinary research</t>
  </si>
  <si>
    <t xml:space="preserve">Global</t>
  </si>
  <si>
    <t xml:space="preserve">World Bank / ADB</t>
  </si>
  <si>
    <t xml:space="preserve">WB/ADB</t>
  </si>
  <si>
    <t xml:space="preserve">Development research crossing multiple domains</t>
  </si>
  <si>
    <t xml:space="preserve">Multilateral</t>
  </si>
  <si>
    <t xml:space="preserve">Bill &amp; Melinda Gates Foundation</t>
  </si>
  <si>
    <t xml:space="preserve">BMGF</t>
  </si>
  <si>
    <t xml:space="preserve">Health + agriculture + technology convergence</t>
  </si>
  <si>
    <t xml:space="preserve">Philanthropy</t>
  </si>
  <si>
    <t xml:space="preserve">Wellcome Trust</t>
  </si>
  <si>
    <t xml:space="preserve">WT</t>
  </si>
  <si>
    <t xml:space="preserve">Biomedical + social science + AI convergence</t>
  </si>
  <si>
    <t xml:space="preserve">Industry</t>
  </si>
  <si>
    <t xml:space="preserve">Various (Tata, Infosys, Google, etc.)</t>
  </si>
  <si>
    <t xml:space="preserve">—</t>
  </si>
  <si>
    <t xml:space="preserve">CSR + R&amp;D funding for applied cross-domain research</t>
  </si>
  <si>
    <t xml:space="preserve">Composite Research Funding Score (0–100) — 8% of Total Ranking</t>
  </si>
  <si>
    <t xml:space="preserve">Weighted composite of 5 sub-indicators | Weights editable in Row 4</t>
  </si>
  <si>
    <t xml:space="preserve">Total Income/FTE (A)</t>
  </si>
  <si>
    <t xml:space="preserve">Interdisc. Funding % (B)</t>
  </si>
  <si>
    <t xml:space="preserve">Grant Success Rate (C)</t>
  </si>
  <si>
    <t xml:space="preserve">Funding Diversity (D)</t>
  </si>
  <si>
    <t xml:space="preserve">Growth CAGR (E)</t>
  </si>
  <si>
    <t xml:space="preserve">Composite RF Score (0–100)</t>
  </si>
  <si>
    <t xml:space="preserve">Global Rank</t>
  </si>
  <si>
    <t xml:space="preserve">Weights →</t>
  </si>
  <si>
    <t xml:space="preserve">Benchmarking &amp; Peer Comparison — Research Funding</t>
  </si>
  <si>
    <t xml:space="preserve">Compare your institution against peers, aspirational targets, and global top performers</t>
  </si>
  <si>
    <t xml:space="preserve">University / Benchmark</t>
  </si>
  <si>
    <t xml:space="preserve">Income/FTE</t>
  </si>
  <si>
    <t xml:space="preserve">% Interdisc.</t>
  </si>
  <si>
    <t xml:space="preserve">Success Rate</t>
  </si>
  <si>
    <t xml:space="preserve">Diversity</t>
  </si>
  <si>
    <t xml:space="preserve">Growth</t>
  </si>
  <si>
    <t xml:space="preserve">Composite RF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</si>
  <si>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</si>
  <si>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</si>
  <si>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</si>
  <si>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</si>
  <si>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</si>
  <si>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</si>
  <si>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</si>
  <si>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</si>
  <si>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</si>
  <si>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Research Funding — Data Quality &amp; Audit Checklist</t>
  </si>
  <si>
    <t xml:space="preserve">Validation checks for all sub-indicators of the Research Funding component (8% of total ranking)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</si>
  <si>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</si>
  <si>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</si>
  <si>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</si>
  <si>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</si>
  <si>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</si>
  <si>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Funding data source verification</t>
  </si>
  <si>
    <t xml:space="preserve">All figures verified against audited financial statements or grant database records</t>
  </si>
  <si>
    <t xml:space="preserve">Currency &amp; PPP normalization</t>
  </si>
  <si>
    <t xml:space="preserve">All funding figures converted to common currency (USD) using World Bank PPP rates for the relevant year</t>
  </si>
  <si>
    <t xml:space="preserve">Academic FTE definition</t>
  </si>
  <si>
    <t xml:space="preserve">FTE calculated per THE guidelines (full-time equivalent academic staff excluding admin/support)</t>
  </si>
  <si>
    <t xml:space="preserve">5-year window consistency</t>
  </si>
  <si>
    <t xml:space="preserve">All 5 years of data cover the same fiscal/calendar year definition (Apr-Mar or Jan-Dec)</t>
  </si>
  <si>
    <t xml:space="preserve">Interdisciplinary funding criteria</t>
  </si>
  <si>
    <t xml:space="preserve">Each grant classified as 'interdisciplinary' verified as spanning 2+ departments or ASJC areas in grant scope</t>
  </si>
  <si>
    <t xml:space="preserve">Double-counting prevention</t>
  </si>
  <si>
    <t xml:space="preserve">Same funding not counted in multiple source categories (e.g., a DST grant counted only once)</t>
  </si>
  <si>
    <t xml:space="preserve">Grant log completeness</t>
  </si>
  <si>
    <t xml:space="preserve">Detailed grant log includes all major interdisciplinary grants above threshold (e.g., INR 5L / USD 10K)</t>
  </si>
  <si>
    <t xml:space="preserve">Success rate data integrity</t>
  </si>
  <si>
    <t xml:space="preserve">Proposals submitted and awarded counts verified against funding agency acknowledgement records</t>
  </si>
  <si>
    <t xml:space="preserve">Funding source categorization</t>
  </si>
  <si>
    <t xml:space="preserve">All funding mapped to exactly one of 6 categories: Government, Industry, International, Philanthropy, Internal, Other</t>
  </si>
  <si>
    <t xml:space="preserve">Entropy calculation validation</t>
  </si>
  <si>
    <t xml:space="preserve">Shannon entropy formula uses log₂ consistently; proportions sum to 100%; verified for 2–3 universities</t>
  </si>
  <si>
    <t xml:space="preserve">CAGR formula verification</t>
  </si>
  <si>
    <t xml:space="preserve">CAGR = (Year5/Year1)^(1/4) − 1 verified; negative growth correctly handled</t>
  </si>
  <si>
    <t xml:space="preserve">Inflation adjustment</t>
  </si>
  <si>
    <t xml:space="preserve">Nominal vs. real growth distinguished; growth rates ideally inflation-adjusted</t>
  </si>
  <si>
    <t xml:space="preserve">Multi-year grant attribution</t>
  </si>
  <si>
    <t xml:space="preserve">Multi-year grants attributed to the year of receipt or proportionally across years (method documented)</t>
  </si>
  <si>
    <t xml:space="preserve">Industry funding separation</t>
  </si>
  <si>
    <t xml:space="preserve">Industry-sponsored research separated from consultancy/service income</t>
  </si>
  <si>
    <t xml:space="preserve">Endowment income treatment</t>
  </si>
  <si>
    <t xml:space="preserve">Endowment returns allocated to research distinguished from endowment principal</t>
  </si>
  <si>
    <t xml:space="preserve">Sub-indicator weight validation</t>
  </si>
  <si>
    <t xml:space="preserve">Weights sum to 100% of the Research Funding component (8% of total ranking)</t>
  </si>
  <si>
    <t xml:space="preserve">Minimum threshold check</t>
  </si>
  <si>
    <t xml:space="preserve">Universities below minimum research funding threshold flagged for exclusion consideration</t>
  </si>
  <si>
    <t xml:space="preserve">Outlier detection</t>
  </si>
  <si>
    <t xml:space="preserve">Universities with funding per FTE &gt;3 standard deviations from mean flagged for verification</t>
  </si>
  <si>
    <t xml:space="preserve">Year-on-year trend check</t>
  </si>
  <si>
    <t xml:space="preserve">Compare current data with previous cycle to flag anomalous changes (&gt;30% shift in any metric)</t>
  </si>
  <si>
    <t xml:space="preserve">Reproducibility test</t>
  </si>
  <si>
    <t xml:space="preserve">All calculations reproducible by independent analyst using this workbook and financial records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</si>
</sst>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"/>
    <numFmt numFmtId="167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800020"/>
        <bgColor rgb="FF8000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37474F"/>
      </patternFill>
    </fill>
    <fill>
      <patternFill patternType="solid">
        <fgColor rgb="FFC8102E"/>
        <bgColor rgb="FF993300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2F8F9D"/>
        <bgColor rgb="FF2E75B6"/>
      </patternFill>
    </fill>
    <fill>
      <patternFill patternType="solid">
        <fgColor rgb="FF3F51B5"/>
        <bgColor rgb="FF666699"/>
      </patternFill>
    </fill>
    <fill>
      <patternFill patternType="solid">
        <fgColor rgb="FFBF8F00"/>
        <bgColor rgb="FFED7D31"/>
      </patternFill>
    </fill>
    <fill>
      <patternFill patternType="solid">
        <fgColor rgb="FF37474F"/>
        <bgColor rgb="FF404040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2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7474F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020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90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90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90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90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90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20</v>
      </c>
    </row>
    <row r="11" customFormat="false" ht="25.5" hidden="false" customHeight="true" outlineLevel="0" collapsed="false">
      <c r="A11" s="12" t="s">
        <v>21</v>
      </c>
      <c r="B11" s="12"/>
      <c r="C11" s="12"/>
      <c r="D11" s="12"/>
    </row>
    <row r="12" customFormat="false" ht="15" hidden="false" customHeight="true" outlineLevel="0" collapsed="false">
      <c r="A12" s="13" t="s">
        <v>22</v>
      </c>
      <c r="B12" s="13"/>
      <c r="C12" s="13"/>
      <c r="D12" s="13"/>
    </row>
    <row r="13" customFormat="false" ht="15" hidden="false" customHeight="true" outlineLevel="0" collapsed="false">
      <c r="A13" s="13" t="s">
        <v>23</v>
      </c>
      <c r="B13" s="13"/>
      <c r="C13" s="13"/>
      <c r="D13" s="13"/>
    </row>
    <row r="14" customFormat="false" ht="15" hidden="false" customHeight="true" outlineLevel="0" collapsed="false">
      <c r="A14" s="13" t="s">
        <v>24</v>
      </c>
      <c r="B14" s="13"/>
      <c r="C14" s="13"/>
      <c r="D14" s="13"/>
    </row>
    <row r="15" customFormat="false" ht="15" hidden="false" customHeight="true" outlineLevel="0" collapsed="false">
      <c r="A15" s="13" t="s">
        <v>25</v>
      </c>
      <c r="B15" s="13"/>
      <c r="C15" s="13"/>
      <c r="D15" s="13"/>
    </row>
    <row r="16" customFormat="false" ht="15" hidden="false" customHeight="true" outlineLevel="0" collapsed="false">
      <c r="A16" s="13" t="s">
        <v>26</v>
      </c>
      <c r="B16" s="13"/>
      <c r="C16" s="13"/>
      <c r="D16" s="13"/>
    </row>
    <row r="17" customFormat="false" ht="15" hidden="false" customHeight="true" outlineLevel="0" collapsed="false">
      <c r="A17" s="13" t="s">
        <v>27</v>
      </c>
      <c r="B17" s="13"/>
      <c r="C17" s="13"/>
      <c r="D17" s="13"/>
    </row>
    <row r="18" customFormat="false" ht="15" hidden="false" customHeight="true" outlineLevel="0" collapsed="false">
      <c r="A18" s="13" t="s">
        <v>28</v>
      </c>
      <c r="B18" s="13"/>
      <c r="C18" s="13"/>
      <c r="D18" s="13"/>
    </row>
    <row r="19" customFormat="false" ht="15" hidden="false" customHeight="true" outlineLevel="0" collapsed="false">
      <c r="A19" s="13" t="s">
        <v>29</v>
      </c>
      <c r="B19" s="13"/>
      <c r="C19" s="13"/>
      <c r="D19" s="13"/>
    </row>
  </sheetData>
  <mergeCells count="11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20"/>
    <col collapsed="false" customWidth="true" hidden="false" outlineLevel="0" max="10" min="9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14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25.5" hidden="false" customHeight="true" outlineLevel="0" collapsed="false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customFormat="false" ht="35.05" hidden="false" customHeight="false" outlineLevel="0" collapsed="false">
      <c r="A3" s="16" t="s">
        <v>32</v>
      </c>
      <c r="B3" s="16" t="s">
        <v>33</v>
      </c>
      <c r="C3" s="16" t="s">
        <v>34</v>
      </c>
      <c r="D3" s="16" t="s">
        <v>35</v>
      </c>
      <c r="E3" s="16" t="s">
        <v>36</v>
      </c>
      <c r="F3" s="16" t="s">
        <v>37</v>
      </c>
      <c r="G3" s="16" t="s">
        <v>38</v>
      </c>
      <c r="H3" s="16" t="s">
        <v>39</v>
      </c>
      <c r="I3" s="16" t="s">
        <v>40</v>
      </c>
      <c r="J3" s="16" t="s">
        <v>41</v>
      </c>
      <c r="K3" s="16" t="s">
        <v>42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8" t="n">
        <f aca="false">SUM(D4:H4)</f>
        <v>0</v>
      </c>
      <c r="J4" s="17"/>
      <c r="K4" s="18" t="n">
        <f aca="false">IF(J4&gt;0,I4/J4,0)</f>
        <v>0</v>
      </c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19"/>
      <c r="I5" s="20" t="n">
        <f aca="false">SUM(D5:H5)</f>
        <v>0</v>
      </c>
      <c r="J5" s="19"/>
      <c r="K5" s="20" t="n">
        <f aca="false">IF(J5&gt;0,I5/J5,0)</f>
        <v>0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8" t="n">
        <f aca="false">SUM(D6:H6)</f>
        <v>0</v>
      </c>
      <c r="J6" s="17"/>
      <c r="K6" s="18" t="n">
        <f aca="false">IF(J6&gt;0,I6/J6,0)</f>
        <v>0</v>
      </c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19"/>
      <c r="I7" s="20" t="n">
        <f aca="false">SUM(D7:H7)</f>
        <v>0</v>
      </c>
      <c r="J7" s="19"/>
      <c r="K7" s="20" t="n">
        <f aca="false">IF(J7&gt;0,I7/J7,0)</f>
        <v>0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8" t="n">
        <f aca="false">SUM(D8:H8)</f>
        <v>0</v>
      </c>
      <c r="J8" s="17"/>
      <c r="K8" s="18" t="n">
        <f aca="false">IF(J8&gt;0,I8/J8,0)</f>
        <v>0</v>
      </c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19"/>
      <c r="I9" s="20" t="n">
        <f aca="false">SUM(D9:H9)</f>
        <v>0</v>
      </c>
      <c r="J9" s="19"/>
      <c r="K9" s="20" t="n">
        <f aca="false">IF(J9&gt;0,I9/J9,0)</f>
        <v>0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8" t="n">
        <f aca="false">SUM(D10:H10)</f>
        <v>0</v>
      </c>
      <c r="J10" s="17"/>
      <c r="K10" s="18" t="n">
        <f aca="false">IF(J10&gt;0,I10/J10,0)</f>
        <v>0</v>
      </c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19"/>
      <c r="I11" s="20" t="n">
        <f aca="false">SUM(D11:H11)</f>
        <v>0</v>
      </c>
      <c r="J11" s="19"/>
      <c r="K11" s="20" t="n">
        <f aca="false">IF(J11&gt;0,I11/J11,0)</f>
        <v>0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8" t="n">
        <f aca="false">SUM(D12:H12)</f>
        <v>0</v>
      </c>
      <c r="J12" s="17"/>
      <c r="K12" s="18" t="n">
        <f aca="false">IF(J12&gt;0,I12/J12,0)</f>
        <v>0</v>
      </c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19"/>
      <c r="I13" s="20" t="n">
        <f aca="false">SUM(D13:H13)</f>
        <v>0</v>
      </c>
      <c r="J13" s="19"/>
      <c r="K13" s="20" t="n">
        <f aca="false">IF(J13&gt;0,I13/J13,0)</f>
        <v>0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8" t="n">
        <f aca="false">SUM(D14:H14)</f>
        <v>0</v>
      </c>
      <c r="J14" s="17"/>
      <c r="K14" s="18" t="n">
        <f aca="false">IF(J14&gt;0,I14/J14,0)</f>
        <v>0</v>
      </c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19"/>
      <c r="I15" s="20" t="n">
        <f aca="false">SUM(D15:H15)</f>
        <v>0</v>
      </c>
      <c r="J15" s="19"/>
      <c r="K15" s="20" t="n">
        <f aca="false">IF(J15&gt;0,I15/J15,0)</f>
        <v>0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8" t="n">
        <f aca="false">SUM(D16:H16)</f>
        <v>0</v>
      </c>
      <c r="J16" s="17"/>
      <c r="K16" s="18" t="n">
        <f aca="false">IF(J16&gt;0,I16/J16,0)</f>
        <v>0</v>
      </c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19"/>
      <c r="I17" s="20" t="n">
        <f aca="false">SUM(D17:H17)</f>
        <v>0</v>
      </c>
      <c r="J17" s="19"/>
      <c r="K17" s="20" t="n">
        <f aca="false">IF(J17&gt;0,I17/J17,0)</f>
        <v>0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8" t="n">
        <f aca="false">SUM(D18:H18)</f>
        <v>0</v>
      </c>
      <c r="J18" s="17"/>
      <c r="K18" s="18" t="n">
        <f aca="false">IF(J18&gt;0,I18/J18,0)</f>
        <v>0</v>
      </c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19"/>
      <c r="I19" s="20" t="n">
        <f aca="false">SUM(D19:H19)</f>
        <v>0</v>
      </c>
      <c r="J19" s="19"/>
      <c r="K19" s="20" t="n">
        <f aca="false">IF(J19&gt;0,I19/J19,0)</f>
        <v>0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8" t="n">
        <f aca="false">SUM(D20:H20)</f>
        <v>0</v>
      </c>
      <c r="J20" s="17"/>
      <c r="K20" s="18" t="n">
        <f aca="false">IF(J20&gt;0,I20/J20,0)</f>
        <v>0</v>
      </c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19"/>
      <c r="I21" s="20" t="n">
        <f aca="false">SUM(D21:H21)</f>
        <v>0</v>
      </c>
      <c r="J21" s="19"/>
      <c r="K21" s="20" t="n">
        <f aca="false">IF(J21&gt;0,I21/J21,0)</f>
        <v>0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8" t="n">
        <f aca="false">SUM(D22:H22)</f>
        <v>0</v>
      </c>
      <c r="J22" s="17"/>
      <c r="K22" s="18" t="n">
        <f aca="false">IF(J22&gt;0,I22/J22,0)</f>
        <v>0</v>
      </c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19"/>
      <c r="I23" s="20" t="n">
        <f aca="false">SUM(D23:H23)</f>
        <v>0</v>
      </c>
      <c r="J23" s="19"/>
      <c r="K23" s="20" t="n">
        <f aca="false">IF(J23&gt;0,I23/J23,0)</f>
        <v>0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8" t="n">
        <f aca="false">SUM(D24:H24)</f>
        <v>0</v>
      </c>
      <c r="J24" s="17"/>
      <c r="K24" s="18" t="n">
        <f aca="false">IF(J24&gt;0,I24/J24,0)</f>
        <v>0</v>
      </c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19"/>
      <c r="I25" s="20" t="n">
        <f aca="false">SUM(D25:H25)</f>
        <v>0</v>
      </c>
      <c r="J25" s="19"/>
      <c r="K25" s="20" t="n">
        <f aca="false">IF(J25&gt;0,I25/J25,0)</f>
        <v>0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8" t="n">
        <f aca="false">SUM(D26:H26)</f>
        <v>0</v>
      </c>
      <c r="J26" s="17"/>
      <c r="K26" s="18" t="n">
        <f aca="false">IF(J26&gt;0,I26/J26,0)</f>
        <v>0</v>
      </c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19"/>
      <c r="I27" s="20" t="n">
        <f aca="false">SUM(D27:H27)</f>
        <v>0</v>
      </c>
      <c r="J27" s="19"/>
      <c r="K27" s="20" t="n">
        <f aca="false">IF(J27&gt;0,I27/J27,0)</f>
        <v>0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8" t="n">
        <f aca="false">SUM(D28:H28)</f>
        <v>0</v>
      </c>
      <c r="J28" s="17"/>
      <c r="K28" s="18" t="n">
        <f aca="false">IF(J28&gt;0,I28/J28,0)</f>
        <v>0</v>
      </c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19"/>
      <c r="I29" s="20" t="n">
        <f aca="false">SUM(D29:H29)</f>
        <v>0</v>
      </c>
      <c r="J29" s="19"/>
      <c r="K29" s="20" t="n">
        <f aca="false">IF(J29&gt;0,I29/J29,0)</f>
        <v>0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8" t="n">
        <f aca="false">SUM(D30:H30)</f>
        <v>0</v>
      </c>
      <c r="J30" s="17"/>
      <c r="K30" s="18" t="n">
        <f aca="false">IF(J30&gt;0,I30/J30,0)</f>
        <v>0</v>
      </c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19"/>
      <c r="I31" s="20" t="n">
        <f aca="false">SUM(D31:H31)</f>
        <v>0</v>
      </c>
      <c r="J31" s="19"/>
      <c r="K31" s="20" t="n">
        <f aca="false">IF(J31&gt;0,I31/J31,0)</f>
        <v>0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8" t="n">
        <f aca="false">SUM(D32:H32)</f>
        <v>0</v>
      </c>
      <c r="J32" s="17"/>
      <c r="K32" s="18" t="n">
        <f aca="false">IF(J32&gt;0,I32/J32,0)</f>
        <v>0</v>
      </c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19"/>
      <c r="I33" s="20" t="n">
        <f aca="false">SUM(D33:H33)</f>
        <v>0</v>
      </c>
      <c r="J33" s="19"/>
      <c r="K33" s="20" t="n">
        <f aca="false">IF(J33&gt;0,I33/J33,0)</f>
        <v>0</v>
      </c>
    </row>
    <row r="35" customFormat="false" ht="25.5" hidden="false" customHeight="true" outlineLevel="0" collapsed="false">
      <c r="A35" s="21" t="s">
        <v>43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customFormat="false" ht="15" hidden="false" customHeight="true" outlineLevel="0" collapsed="false">
      <c r="A36" s="22" t="s">
        <v>44</v>
      </c>
      <c r="B36" s="22"/>
      <c r="C36" s="22"/>
      <c r="D36" s="22"/>
      <c r="E36" s="22"/>
      <c r="F36" s="23" t="n">
        <f aca="false">SUM(I4:I33)</f>
        <v>0</v>
      </c>
      <c r="G36" s="24"/>
      <c r="H36" s="24"/>
      <c r="I36" s="24"/>
      <c r="J36" s="24"/>
      <c r="K36" s="24"/>
    </row>
    <row r="37" customFormat="false" ht="15" hidden="false" customHeight="true" outlineLevel="0" collapsed="false">
      <c r="A37" s="22" t="s">
        <v>45</v>
      </c>
      <c r="B37" s="22"/>
      <c r="C37" s="22"/>
      <c r="D37" s="22"/>
      <c r="E37" s="22"/>
      <c r="F37" s="23" t="n">
        <f aca="false">IF(COUNTA(I4:I33)&gt;0,AVERAGE(I4:I33),0)</f>
        <v>0</v>
      </c>
      <c r="G37" s="24"/>
      <c r="H37" s="24"/>
      <c r="I37" s="24"/>
      <c r="J37" s="24"/>
      <c r="K37" s="24"/>
    </row>
    <row r="38" customFormat="false" ht="15" hidden="false" customHeight="true" outlineLevel="0" collapsed="false">
      <c r="A38" s="22" t="s">
        <v>46</v>
      </c>
      <c r="B38" s="22"/>
      <c r="C38" s="22"/>
      <c r="D38" s="22"/>
      <c r="E38" s="22"/>
      <c r="F38" s="23" t="n">
        <f aca="false">IF(COUNTA(K4:K33)&gt;0,AVERAGE(K4:K33),0)</f>
        <v>0</v>
      </c>
      <c r="G38" s="24"/>
      <c r="H38" s="24"/>
      <c r="I38" s="24"/>
      <c r="J38" s="24"/>
      <c r="K38" s="24"/>
    </row>
    <row r="39" customFormat="false" ht="15" hidden="false" customHeight="true" outlineLevel="0" collapsed="false">
      <c r="A39" s="22" t="s">
        <v>47</v>
      </c>
      <c r="B39" s="22"/>
      <c r="C39" s="22"/>
      <c r="D39" s="22"/>
      <c r="E39" s="22"/>
      <c r="F39" s="23" t="n">
        <f aca="false">MAX(K4:K33)</f>
        <v>0</v>
      </c>
      <c r="G39" s="24"/>
      <c r="H39" s="24"/>
      <c r="I39" s="24"/>
      <c r="J39" s="24"/>
      <c r="K39" s="24"/>
    </row>
    <row r="40" customFormat="false" ht="15" hidden="false" customHeight="true" outlineLevel="0" collapsed="false">
      <c r="A40" s="22" t="s">
        <v>48</v>
      </c>
      <c r="B40" s="22"/>
      <c r="C40" s="22"/>
      <c r="D40" s="22"/>
      <c r="E40" s="22"/>
      <c r="F40" s="23" t="n">
        <f aca="false">MIN(K4:K33)</f>
        <v>0</v>
      </c>
      <c r="G40" s="24"/>
      <c r="H40" s="24"/>
      <c r="I40" s="24"/>
      <c r="J40" s="24"/>
      <c r="K40" s="24"/>
    </row>
  </sheetData>
  <mergeCells count="8">
    <mergeCell ref="A1:K1"/>
    <mergeCell ref="A2:K2"/>
    <mergeCell ref="A35:K35"/>
    <mergeCell ref="A36:E36"/>
    <mergeCell ref="A37:E37"/>
    <mergeCell ref="A38:E38"/>
    <mergeCell ref="A39:E39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customFormat="false" ht="25.5" hidden="false" customHeight="true" outlineLevel="0" collapsed="false">
      <c r="A2" s="26" t="s">
        <v>50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customFormat="false" ht="35.05" hidden="false" customHeight="false" outlineLevel="0" collapsed="false">
      <c r="A3" s="27" t="s">
        <v>32</v>
      </c>
      <c r="B3" s="27" t="s">
        <v>33</v>
      </c>
      <c r="C3" s="27" t="s">
        <v>34</v>
      </c>
      <c r="D3" s="27" t="s">
        <v>51</v>
      </c>
      <c r="E3" s="27" t="s">
        <v>52</v>
      </c>
      <c r="F3" s="27" t="s">
        <v>53</v>
      </c>
      <c r="G3" s="27" t="s">
        <v>54</v>
      </c>
      <c r="H3" s="27" t="s">
        <v>55</v>
      </c>
      <c r="I3" s="27" t="s">
        <v>56</v>
      </c>
      <c r="J3" s="27" t="s">
        <v>57</v>
      </c>
      <c r="K3" s="27" t="s">
        <v>58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18" t="n">
        <f aca="false">SUM(D4:I4)</f>
        <v>0</v>
      </c>
      <c r="K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19"/>
      <c r="I5" s="19"/>
      <c r="J5" s="20" t="n">
        <f aca="false">SUM(D5:I5)</f>
        <v>0</v>
      </c>
      <c r="K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18" t="n">
        <f aca="false">SUM(D6:I6)</f>
        <v>0</v>
      </c>
      <c r="K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19"/>
      <c r="I7" s="19"/>
      <c r="J7" s="20" t="n">
        <f aca="false">SUM(D7:I7)</f>
        <v>0</v>
      </c>
      <c r="K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18" t="n">
        <f aca="false">SUM(D8:I8)</f>
        <v>0</v>
      </c>
      <c r="K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19"/>
      <c r="I9" s="19"/>
      <c r="J9" s="20" t="n">
        <f aca="false">SUM(D9:I9)</f>
        <v>0</v>
      </c>
      <c r="K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18" t="n">
        <f aca="false">SUM(D10:I10)</f>
        <v>0</v>
      </c>
      <c r="K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19"/>
      <c r="I11" s="19"/>
      <c r="J11" s="20" t="n">
        <f aca="false">SUM(D11:I11)</f>
        <v>0</v>
      </c>
      <c r="K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18" t="n">
        <f aca="false">SUM(D12:I12)</f>
        <v>0</v>
      </c>
      <c r="K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19"/>
      <c r="I13" s="19"/>
      <c r="J13" s="20" t="n">
        <f aca="false">SUM(D13:I13)</f>
        <v>0</v>
      </c>
      <c r="K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18" t="n">
        <f aca="false">SUM(D14:I14)</f>
        <v>0</v>
      </c>
      <c r="K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19"/>
      <c r="I15" s="19"/>
      <c r="J15" s="20" t="n">
        <f aca="false">SUM(D15:I15)</f>
        <v>0</v>
      </c>
      <c r="K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18" t="n">
        <f aca="false">SUM(D16:I16)</f>
        <v>0</v>
      </c>
      <c r="K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19"/>
      <c r="I17" s="19"/>
      <c r="J17" s="20" t="n">
        <f aca="false">SUM(D17:I17)</f>
        <v>0</v>
      </c>
      <c r="K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18" t="n">
        <f aca="false">SUM(D18:I18)</f>
        <v>0</v>
      </c>
      <c r="K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19"/>
      <c r="I19" s="19"/>
      <c r="J19" s="20" t="n">
        <f aca="false">SUM(D19:I19)</f>
        <v>0</v>
      </c>
      <c r="K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18" t="n">
        <f aca="false">SUM(D20:I20)</f>
        <v>0</v>
      </c>
      <c r="K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19"/>
      <c r="I21" s="19"/>
      <c r="J21" s="20" t="n">
        <f aca="false">SUM(D21:I21)</f>
        <v>0</v>
      </c>
      <c r="K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18" t="n">
        <f aca="false">SUM(D22:I22)</f>
        <v>0</v>
      </c>
      <c r="K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19"/>
      <c r="I23" s="19"/>
      <c r="J23" s="20" t="n">
        <f aca="false">SUM(D23:I23)</f>
        <v>0</v>
      </c>
      <c r="K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18" t="n">
        <f aca="false">SUM(D24:I24)</f>
        <v>0</v>
      </c>
      <c r="K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19"/>
      <c r="I25" s="19"/>
      <c r="J25" s="20" t="n">
        <f aca="false">SUM(D25:I25)</f>
        <v>0</v>
      </c>
      <c r="K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18" t="n">
        <f aca="false">SUM(D26:I26)</f>
        <v>0</v>
      </c>
      <c r="K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19"/>
      <c r="I27" s="19"/>
      <c r="J27" s="20" t="n">
        <f aca="false">SUM(D27:I27)</f>
        <v>0</v>
      </c>
      <c r="K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18" t="n">
        <f aca="false">SUM(D28:I28)</f>
        <v>0</v>
      </c>
      <c r="K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19"/>
      <c r="I29" s="19"/>
      <c r="J29" s="20" t="n">
        <f aca="false">SUM(D29:I29)</f>
        <v>0</v>
      </c>
      <c r="K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18" t="n">
        <f aca="false">SUM(D30:I30)</f>
        <v>0</v>
      </c>
      <c r="K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19"/>
      <c r="I31" s="19"/>
      <c r="J31" s="20" t="n">
        <f aca="false">SUM(D31:I31)</f>
        <v>0</v>
      </c>
      <c r="K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18" t="n">
        <f aca="false">SUM(D32:I32)</f>
        <v>0</v>
      </c>
      <c r="K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19"/>
      <c r="I33" s="19"/>
      <c r="J33" s="20" t="n">
        <f aca="false">SUM(D33:I33)</f>
        <v>0</v>
      </c>
      <c r="K33" s="19"/>
    </row>
    <row r="35" customFormat="false" ht="25.5" hidden="false" customHeight="true" outlineLevel="0" collapsed="false">
      <c r="A35" s="28" t="s">
        <v>59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customFormat="false" ht="35.05" hidden="false" customHeight="false" outlineLevel="0" collapsed="false">
      <c r="A36" s="29" t="s">
        <v>32</v>
      </c>
      <c r="B36" s="29" t="s">
        <v>33</v>
      </c>
      <c r="C36" s="29" t="s">
        <v>34</v>
      </c>
      <c r="D36" s="29" t="s">
        <v>60</v>
      </c>
      <c r="E36" s="29" t="s">
        <v>61</v>
      </c>
      <c r="F36" s="29" t="s">
        <v>62</v>
      </c>
      <c r="G36" s="29" t="s">
        <v>63</v>
      </c>
      <c r="H36" s="29" t="s">
        <v>64</v>
      </c>
      <c r="I36" s="29" t="s">
        <v>65</v>
      </c>
      <c r="J36" s="29" t="s">
        <v>66</v>
      </c>
      <c r="K36" s="29" t="s">
        <v>67</v>
      </c>
    </row>
    <row r="37" customFormat="false" ht="15" hidden="false" customHeight="false" outlineLevel="0" collapsed="false">
      <c r="A37" s="4" t="n">
        <v>1</v>
      </c>
      <c r="B37" s="19"/>
      <c r="C37" s="30"/>
      <c r="D37" s="31" t="n">
        <f aca="false">IFERROR(D4/$J$4*100,0)</f>
        <v>0</v>
      </c>
      <c r="E37" s="31" t="n">
        <f aca="false">IFERROR(E4/$J$4*100,0)</f>
        <v>0</v>
      </c>
      <c r="F37" s="31" t="n">
        <f aca="false">IFERROR(F4/$J$4*100,0)</f>
        <v>0</v>
      </c>
      <c r="G37" s="31" t="n">
        <f aca="false">IFERROR(G4/$J$4*100,0)</f>
        <v>0</v>
      </c>
      <c r="H37" s="31" t="n">
        <f aca="false">IFERROR(H4/$J$4*100,0)</f>
        <v>0</v>
      </c>
      <c r="I37" s="31" t="n">
        <f aca="false">IFERROR(I4/$J$4*100,0)</f>
        <v>0</v>
      </c>
      <c r="J37" s="32" t="n">
        <f aca="false">SUM(D37:I37)</f>
        <v>0</v>
      </c>
      <c r="K37" s="33" t="n">
        <f aca="false">IFERROR(-SUMPRODUCT(IF(D37:I37&gt;0,(D37:I37/100)*LOG(D37:I37/100,2),0)),0)</f>
        <v>-0</v>
      </c>
    </row>
    <row r="38" customFormat="false" ht="15" hidden="false" customHeight="false" outlineLevel="0" collapsed="false">
      <c r="A38" s="8" t="n">
        <v>2</v>
      </c>
      <c r="B38" s="17"/>
      <c r="C38" s="34"/>
      <c r="D38" s="35" t="n">
        <f aca="false">IFERROR(D5/$J$5*100,0)</f>
        <v>0</v>
      </c>
      <c r="E38" s="35" t="n">
        <f aca="false">IFERROR(E5/$J$5*100,0)</f>
        <v>0</v>
      </c>
      <c r="F38" s="35" t="n">
        <f aca="false">IFERROR(F5/$J$5*100,0)</f>
        <v>0</v>
      </c>
      <c r="G38" s="35" t="n">
        <f aca="false">IFERROR(G5/$J$5*100,0)</f>
        <v>0</v>
      </c>
      <c r="H38" s="35" t="n">
        <f aca="false">IFERROR(H5/$J$5*100,0)</f>
        <v>0</v>
      </c>
      <c r="I38" s="35" t="n">
        <f aca="false">IFERROR(I5/$J$5*100,0)</f>
        <v>0</v>
      </c>
      <c r="J38" s="36" t="n">
        <f aca="false">SUM(D38:I38)</f>
        <v>0</v>
      </c>
      <c r="K38" s="37" t="n">
        <f aca="false">IFERROR(-SUMPRODUCT(IF(D38:I38&gt;0,(D38:I38/100)*LOG(D38:I38/100,2),0)),0)</f>
        <v>-0</v>
      </c>
    </row>
    <row r="39" customFormat="false" ht="15" hidden="false" customHeight="false" outlineLevel="0" collapsed="false">
      <c r="A39" s="4" t="n">
        <v>3</v>
      </c>
      <c r="B39" s="19"/>
      <c r="C39" s="30"/>
      <c r="D39" s="31" t="n">
        <f aca="false">IFERROR(D6/$J$6*100,0)</f>
        <v>0</v>
      </c>
      <c r="E39" s="31" t="n">
        <f aca="false">IFERROR(E6/$J$6*100,0)</f>
        <v>0</v>
      </c>
      <c r="F39" s="31" t="n">
        <f aca="false">IFERROR(F6/$J$6*100,0)</f>
        <v>0</v>
      </c>
      <c r="G39" s="31" t="n">
        <f aca="false">IFERROR(G6/$J$6*100,0)</f>
        <v>0</v>
      </c>
      <c r="H39" s="31" t="n">
        <f aca="false">IFERROR(H6/$J$6*100,0)</f>
        <v>0</v>
      </c>
      <c r="I39" s="31" t="n">
        <f aca="false">IFERROR(I6/$J$6*100,0)</f>
        <v>0</v>
      </c>
      <c r="J39" s="32" t="n">
        <f aca="false">SUM(D39:I39)</f>
        <v>0</v>
      </c>
      <c r="K39" s="33" t="n">
        <f aca="false">IFERROR(-SUMPRODUCT(IF(D39:I39&gt;0,(D39:I39/100)*LOG(D39:I39/100,2),0)),0)</f>
        <v>-0</v>
      </c>
    </row>
    <row r="40" customFormat="false" ht="15" hidden="false" customHeight="false" outlineLevel="0" collapsed="false">
      <c r="A40" s="8" t="n">
        <v>4</v>
      </c>
      <c r="B40" s="17"/>
      <c r="C40" s="34"/>
      <c r="D40" s="35" t="n">
        <f aca="false">IFERROR(D7/$J$7*100,0)</f>
        <v>0</v>
      </c>
      <c r="E40" s="35" t="n">
        <f aca="false">IFERROR(E7/$J$7*100,0)</f>
        <v>0</v>
      </c>
      <c r="F40" s="35" t="n">
        <f aca="false">IFERROR(F7/$J$7*100,0)</f>
        <v>0</v>
      </c>
      <c r="G40" s="35" t="n">
        <f aca="false">IFERROR(G7/$J$7*100,0)</f>
        <v>0</v>
      </c>
      <c r="H40" s="35" t="n">
        <f aca="false">IFERROR(H7/$J$7*100,0)</f>
        <v>0</v>
      </c>
      <c r="I40" s="35" t="n">
        <f aca="false">IFERROR(I7/$J$7*100,0)</f>
        <v>0</v>
      </c>
      <c r="J40" s="36" t="n">
        <f aca="false">SUM(D40:I40)</f>
        <v>0</v>
      </c>
      <c r="K40" s="37" t="n">
        <f aca="false">IFERROR(-SUMPRODUCT(IF(D40:I40&gt;0,(D40:I40/100)*LOG(D40:I40/100,2),0)),0)</f>
        <v>-0</v>
      </c>
    </row>
    <row r="41" customFormat="false" ht="15" hidden="false" customHeight="false" outlineLevel="0" collapsed="false">
      <c r="A41" s="4" t="n">
        <v>5</v>
      </c>
      <c r="B41" s="19"/>
      <c r="C41" s="30"/>
      <c r="D41" s="31" t="n">
        <f aca="false">IFERROR(D8/$J$8*100,0)</f>
        <v>0</v>
      </c>
      <c r="E41" s="31" t="n">
        <f aca="false">IFERROR(E8/$J$8*100,0)</f>
        <v>0</v>
      </c>
      <c r="F41" s="31" t="n">
        <f aca="false">IFERROR(F8/$J$8*100,0)</f>
        <v>0</v>
      </c>
      <c r="G41" s="31" t="n">
        <f aca="false">IFERROR(G8/$J$8*100,0)</f>
        <v>0</v>
      </c>
      <c r="H41" s="31" t="n">
        <f aca="false">IFERROR(H8/$J$8*100,0)</f>
        <v>0</v>
      </c>
      <c r="I41" s="31" t="n">
        <f aca="false">IFERROR(I8/$J$8*100,0)</f>
        <v>0</v>
      </c>
      <c r="J41" s="32" t="n">
        <f aca="false">SUM(D41:I41)</f>
        <v>0</v>
      </c>
      <c r="K41" s="33" t="n">
        <f aca="false">IFERROR(-SUMPRODUCT(IF(D41:I41&gt;0,(D41:I41/100)*LOG(D41:I41/100,2),0)),0)</f>
        <v>-0</v>
      </c>
    </row>
    <row r="42" customFormat="false" ht="15" hidden="false" customHeight="false" outlineLevel="0" collapsed="false">
      <c r="A42" s="8" t="n">
        <v>6</v>
      </c>
      <c r="B42" s="17"/>
      <c r="C42" s="34"/>
      <c r="D42" s="35" t="n">
        <f aca="false">IFERROR(D9/$J$9*100,0)</f>
        <v>0</v>
      </c>
      <c r="E42" s="35" t="n">
        <f aca="false">IFERROR(E9/$J$9*100,0)</f>
        <v>0</v>
      </c>
      <c r="F42" s="35" t="n">
        <f aca="false">IFERROR(F9/$J$9*100,0)</f>
        <v>0</v>
      </c>
      <c r="G42" s="35" t="n">
        <f aca="false">IFERROR(G9/$J$9*100,0)</f>
        <v>0</v>
      </c>
      <c r="H42" s="35" t="n">
        <f aca="false">IFERROR(H9/$J$9*100,0)</f>
        <v>0</v>
      </c>
      <c r="I42" s="35" t="n">
        <f aca="false">IFERROR(I9/$J$9*100,0)</f>
        <v>0</v>
      </c>
      <c r="J42" s="36" t="n">
        <f aca="false">SUM(D42:I42)</f>
        <v>0</v>
      </c>
      <c r="K42" s="37" t="n">
        <f aca="false">IFERROR(-SUMPRODUCT(IF(D42:I42&gt;0,(D42:I42/100)*LOG(D42:I42/100,2),0)),0)</f>
        <v>-0</v>
      </c>
    </row>
    <row r="43" customFormat="false" ht="15" hidden="false" customHeight="false" outlineLevel="0" collapsed="false">
      <c r="A43" s="4" t="n">
        <v>7</v>
      </c>
      <c r="B43" s="19"/>
      <c r="C43" s="30"/>
      <c r="D43" s="31" t="n">
        <f aca="false">IFERROR(D10/$J$10*100,0)</f>
        <v>0</v>
      </c>
      <c r="E43" s="31" t="n">
        <f aca="false">IFERROR(E10/$J$10*100,0)</f>
        <v>0</v>
      </c>
      <c r="F43" s="31" t="n">
        <f aca="false">IFERROR(F10/$J$10*100,0)</f>
        <v>0</v>
      </c>
      <c r="G43" s="31" t="n">
        <f aca="false">IFERROR(G10/$J$10*100,0)</f>
        <v>0</v>
      </c>
      <c r="H43" s="31" t="n">
        <f aca="false">IFERROR(H10/$J$10*100,0)</f>
        <v>0</v>
      </c>
      <c r="I43" s="31" t="n">
        <f aca="false">IFERROR(I10/$J$10*100,0)</f>
        <v>0</v>
      </c>
      <c r="J43" s="32" t="n">
        <f aca="false">SUM(D43:I43)</f>
        <v>0</v>
      </c>
      <c r="K43" s="33" t="n">
        <f aca="false">IFERROR(-SUMPRODUCT(IF(D43:I43&gt;0,(D43:I43/100)*LOG(D43:I43/100,2),0)),0)</f>
        <v>-0</v>
      </c>
    </row>
    <row r="44" customFormat="false" ht="15" hidden="false" customHeight="false" outlineLevel="0" collapsed="false">
      <c r="A44" s="8" t="n">
        <v>8</v>
      </c>
      <c r="B44" s="17"/>
      <c r="C44" s="34"/>
      <c r="D44" s="35" t="n">
        <f aca="false">IFERROR(D11/$J$11*100,0)</f>
        <v>0</v>
      </c>
      <c r="E44" s="35" t="n">
        <f aca="false">IFERROR(E11/$J$11*100,0)</f>
        <v>0</v>
      </c>
      <c r="F44" s="35" t="n">
        <f aca="false">IFERROR(F11/$J$11*100,0)</f>
        <v>0</v>
      </c>
      <c r="G44" s="35" t="n">
        <f aca="false">IFERROR(G11/$J$11*100,0)</f>
        <v>0</v>
      </c>
      <c r="H44" s="35" t="n">
        <f aca="false">IFERROR(H11/$J$11*100,0)</f>
        <v>0</v>
      </c>
      <c r="I44" s="35" t="n">
        <f aca="false">IFERROR(I11/$J$11*100,0)</f>
        <v>0</v>
      </c>
      <c r="J44" s="36" t="n">
        <f aca="false">SUM(D44:I44)</f>
        <v>0</v>
      </c>
      <c r="K44" s="37" t="n">
        <f aca="false">IFERROR(-SUMPRODUCT(IF(D44:I44&gt;0,(D44:I44/100)*LOG(D44:I44/100,2),0)),0)</f>
        <v>-0</v>
      </c>
    </row>
    <row r="45" customFormat="false" ht="15" hidden="false" customHeight="false" outlineLevel="0" collapsed="false">
      <c r="A45" s="4" t="n">
        <v>9</v>
      </c>
      <c r="B45" s="19"/>
      <c r="C45" s="30"/>
      <c r="D45" s="31" t="n">
        <f aca="false">IFERROR(D12/$J$12*100,0)</f>
        <v>0</v>
      </c>
      <c r="E45" s="31" t="n">
        <f aca="false">IFERROR(E12/$J$12*100,0)</f>
        <v>0</v>
      </c>
      <c r="F45" s="31" t="n">
        <f aca="false">IFERROR(F12/$J$12*100,0)</f>
        <v>0</v>
      </c>
      <c r="G45" s="31" t="n">
        <f aca="false">IFERROR(G12/$J$12*100,0)</f>
        <v>0</v>
      </c>
      <c r="H45" s="31" t="n">
        <f aca="false">IFERROR(H12/$J$12*100,0)</f>
        <v>0</v>
      </c>
      <c r="I45" s="31" t="n">
        <f aca="false">IFERROR(I12/$J$12*100,0)</f>
        <v>0</v>
      </c>
      <c r="J45" s="32" t="n">
        <f aca="false">SUM(D45:I45)</f>
        <v>0</v>
      </c>
      <c r="K45" s="33" t="n">
        <f aca="false">IFERROR(-SUMPRODUCT(IF(D45:I45&gt;0,(D45:I45/100)*LOG(D45:I45/100,2),0)),0)</f>
        <v>-0</v>
      </c>
    </row>
    <row r="46" customFormat="false" ht="15" hidden="false" customHeight="false" outlineLevel="0" collapsed="false">
      <c r="A46" s="8" t="n">
        <v>10</v>
      </c>
      <c r="B46" s="17"/>
      <c r="C46" s="34"/>
      <c r="D46" s="35" t="n">
        <f aca="false">IFERROR(D13/$J$13*100,0)</f>
        <v>0</v>
      </c>
      <c r="E46" s="35" t="n">
        <f aca="false">IFERROR(E13/$J$13*100,0)</f>
        <v>0</v>
      </c>
      <c r="F46" s="35" t="n">
        <f aca="false">IFERROR(F13/$J$13*100,0)</f>
        <v>0</v>
      </c>
      <c r="G46" s="35" t="n">
        <f aca="false">IFERROR(G13/$J$13*100,0)</f>
        <v>0</v>
      </c>
      <c r="H46" s="35" t="n">
        <f aca="false">IFERROR(H13/$J$13*100,0)</f>
        <v>0</v>
      </c>
      <c r="I46" s="35" t="n">
        <f aca="false">IFERROR(I13/$J$13*100,0)</f>
        <v>0</v>
      </c>
      <c r="J46" s="36" t="n">
        <f aca="false">SUM(D46:I46)</f>
        <v>0</v>
      </c>
      <c r="K46" s="37" t="n">
        <f aca="false">IFERROR(-SUMPRODUCT(IF(D46:I46&gt;0,(D46:I46/100)*LOG(D46:I46/100,2),0)),0)</f>
        <v>-0</v>
      </c>
    </row>
    <row r="47" customFormat="false" ht="15" hidden="false" customHeight="false" outlineLevel="0" collapsed="false">
      <c r="A47" s="4" t="n">
        <v>11</v>
      </c>
      <c r="B47" s="19"/>
      <c r="C47" s="30"/>
      <c r="D47" s="31" t="n">
        <f aca="false">IFERROR(D14/$J$14*100,0)</f>
        <v>0</v>
      </c>
      <c r="E47" s="31" t="n">
        <f aca="false">IFERROR(E14/$J$14*100,0)</f>
        <v>0</v>
      </c>
      <c r="F47" s="31" t="n">
        <f aca="false">IFERROR(F14/$J$14*100,0)</f>
        <v>0</v>
      </c>
      <c r="G47" s="31" t="n">
        <f aca="false">IFERROR(G14/$J$14*100,0)</f>
        <v>0</v>
      </c>
      <c r="H47" s="31" t="n">
        <f aca="false">IFERROR(H14/$J$14*100,0)</f>
        <v>0</v>
      </c>
      <c r="I47" s="31" t="n">
        <f aca="false">IFERROR(I14/$J$14*100,0)</f>
        <v>0</v>
      </c>
      <c r="J47" s="32" t="n">
        <f aca="false">SUM(D47:I47)</f>
        <v>0</v>
      </c>
      <c r="K47" s="33" t="n">
        <f aca="false">IFERROR(-SUMPRODUCT(IF(D47:I47&gt;0,(D47:I47/100)*LOG(D47:I47/100,2),0)),0)</f>
        <v>-0</v>
      </c>
    </row>
    <row r="48" customFormat="false" ht="15" hidden="false" customHeight="false" outlineLevel="0" collapsed="false">
      <c r="A48" s="8" t="n">
        <v>12</v>
      </c>
      <c r="B48" s="17"/>
      <c r="C48" s="34"/>
      <c r="D48" s="35" t="n">
        <f aca="false">IFERROR(D15/$J$15*100,0)</f>
        <v>0</v>
      </c>
      <c r="E48" s="35" t="n">
        <f aca="false">IFERROR(E15/$J$15*100,0)</f>
        <v>0</v>
      </c>
      <c r="F48" s="35" t="n">
        <f aca="false">IFERROR(F15/$J$15*100,0)</f>
        <v>0</v>
      </c>
      <c r="G48" s="35" t="n">
        <f aca="false">IFERROR(G15/$J$15*100,0)</f>
        <v>0</v>
      </c>
      <c r="H48" s="35" t="n">
        <f aca="false">IFERROR(H15/$J$15*100,0)</f>
        <v>0</v>
      </c>
      <c r="I48" s="35" t="n">
        <f aca="false">IFERROR(I15/$J$15*100,0)</f>
        <v>0</v>
      </c>
      <c r="J48" s="36" t="n">
        <f aca="false">SUM(D48:I48)</f>
        <v>0</v>
      </c>
      <c r="K48" s="37" t="n">
        <f aca="false">IFERROR(-SUMPRODUCT(IF(D48:I48&gt;0,(D48:I48/100)*LOG(D48:I48/100,2),0)),0)</f>
        <v>-0</v>
      </c>
    </row>
    <row r="49" customFormat="false" ht="15" hidden="false" customHeight="false" outlineLevel="0" collapsed="false">
      <c r="A49" s="4" t="n">
        <v>13</v>
      </c>
      <c r="B49" s="19"/>
      <c r="C49" s="30"/>
      <c r="D49" s="31" t="n">
        <f aca="false">IFERROR(D16/$J$16*100,0)</f>
        <v>0</v>
      </c>
      <c r="E49" s="31" t="n">
        <f aca="false">IFERROR(E16/$J$16*100,0)</f>
        <v>0</v>
      </c>
      <c r="F49" s="31" t="n">
        <f aca="false">IFERROR(F16/$J$16*100,0)</f>
        <v>0</v>
      </c>
      <c r="G49" s="31" t="n">
        <f aca="false">IFERROR(G16/$J$16*100,0)</f>
        <v>0</v>
      </c>
      <c r="H49" s="31" t="n">
        <f aca="false">IFERROR(H16/$J$16*100,0)</f>
        <v>0</v>
      </c>
      <c r="I49" s="31" t="n">
        <f aca="false">IFERROR(I16/$J$16*100,0)</f>
        <v>0</v>
      </c>
      <c r="J49" s="32" t="n">
        <f aca="false">SUM(D49:I49)</f>
        <v>0</v>
      </c>
      <c r="K49" s="33" t="n">
        <f aca="false">IFERROR(-SUMPRODUCT(IF(D49:I49&gt;0,(D49:I49/100)*LOG(D49:I49/100,2),0)),0)</f>
        <v>-0</v>
      </c>
    </row>
    <row r="50" customFormat="false" ht="15" hidden="false" customHeight="false" outlineLevel="0" collapsed="false">
      <c r="A50" s="8" t="n">
        <v>14</v>
      </c>
      <c r="B50" s="17"/>
      <c r="C50" s="34"/>
      <c r="D50" s="35" t="n">
        <f aca="false">IFERROR(D17/$J$17*100,0)</f>
        <v>0</v>
      </c>
      <c r="E50" s="35" t="n">
        <f aca="false">IFERROR(E17/$J$17*100,0)</f>
        <v>0</v>
      </c>
      <c r="F50" s="35" t="n">
        <f aca="false">IFERROR(F17/$J$17*100,0)</f>
        <v>0</v>
      </c>
      <c r="G50" s="35" t="n">
        <f aca="false">IFERROR(G17/$J$17*100,0)</f>
        <v>0</v>
      </c>
      <c r="H50" s="35" t="n">
        <f aca="false">IFERROR(H17/$J$17*100,0)</f>
        <v>0</v>
      </c>
      <c r="I50" s="35" t="n">
        <f aca="false">IFERROR(I17/$J$17*100,0)</f>
        <v>0</v>
      </c>
      <c r="J50" s="36" t="n">
        <f aca="false">SUM(D50:I50)</f>
        <v>0</v>
      </c>
      <c r="K50" s="37" t="n">
        <f aca="false">IFERROR(-SUMPRODUCT(IF(D50:I50&gt;0,(D50:I50/100)*LOG(D50:I50/100,2),0)),0)</f>
        <v>-0</v>
      </c>
    </row>
    <row r="51" customFormat="false" ht="15" hidden="false" customHeight="false" outlineLevel="0" collapsed="false">
      <c r="A51" s="4" t="n">
        <v>15</v>
      </c>
      <c r="B51" s="19"/>
      <c r="C51" s="30"/>
      <c r="D51" s="31" t="n">
        <f aca="false">IFERROR(D18/$J$18*100,0)</f>
        <v>0</v>
      </c>
      <c r="E51" s="31" t="n">
        <f aca="false">IFERROR(E18/$J$18*100,0)</f>
        <v>0</v>
      </c>
      <c r="F51" s="31" t="n">
        <f aca="false">IFERROR(F18/$J$18*100,0)</f>
        <v>0</v>
      </c>
      <c r="G51" s="31" t="n">
        <f aca="false">IFERROR(G18/$J$18*100,0)</f>
        <v>0</v>
      </c>
      <c r="H51" s="31" t="n">
        <f aca="false">IFERROR(H18/$J$18*100,0)</f>
        <v>0</v>
      </c>
      <c r="I51" s="31" t="n">
        <f aca="false">IFERROR(I18/$J$18*100,0)</f>
        <v>0</v>
      </c>
      <c r="J51" s="32" t="n">
        <f aca="false">SUM(D51:I51)</f>
        <v>0</v>
      </c>
      <c r="K51" s="33" t="n">
        <f aca="false">IFERROR(-SUMPRODUCT(IF(D51:I51&gt;0,(D51:I51/100)*LOG(D51:I51/100,2),0)),0)</f>
        <v>-0</v>
      </c>
    </row>
    <row r="52" customFormat="false" ht="15" hidden="false" customHeight="false" outlineLevel="0" collapsed="false">
      <c r="A52" s="8" t="n">
        <v>16</v>
      </c>
      <c r="B52" s="17"/>
      <c r="C52" s="34"/>
      <c r="D52" s="35" t="n">
        <f aca="false">IFERROR(D19/$J$19*100,0)</f>
        <v>0</v>
      </c>
      <c r="E52" s="35" t="n">
        <f aca="false">IFERROR(E19/$J$19*100,0)</f>
        <v>0</v>
      </c>
      <c r="F52" s="35" t="n">
        <f aca="false">IFERROR(F19/$J$19*100,0)</f>
        <v>0</v>
      </c>
      <c r="G52" s="35" t="n">
        <f aca="false">IFERROR(G19/$J$19*100,0)</f>
        <v>0</v>
      </c>
      <c r="H52" s="35" t="n">
        <f aca="false">IFERROR(H19/$J$19*100,0)</f>
        <v>0</v>
      </c>
      <c r="I52" s="35" t="n">
        <f aca="false">IFERROR(I19/$J$19*100,0)</f>
        <v>0</v>
      </c>
      <c r="J52" s="36" t="n">
        <f aca="false">SUM(D52:I52)</f>
        <v>0</v>
      </c>
      <c r="K52" s="37" t="n">
        <f aca="false">IFERROR(-SUMPRODUCT(IF(D52:I52&gt;0,(D52:I52/100)*LOG(D52:I52/100,2),0)),0)</f>
        <v>-0</v>
      </c>
    </row>
    <row r="53" customFormat="false" ht="15" hidden="false" customHeight="false" outlineLevel="0" collapsed="false">
      <c r="A53" s="4" t="n">
        <v>17</v>
      </c>
      <c r="B53" s="19"/>
      <c r="C53" s="30"/>
      <c r="D53" s="31" t="n">
        <f aca="false">IFERROR(D20/$J$20*100,0)</f>
        <v>0</v>
      </c>
      <c r="E53" s="31" t="n">
        <f aca="false">IFERROR(E20/$J$20*100,0)</f>
        <v>0</v>
      </c>
      <c r="F53" s="31" t="n">
        <f aca="false">IFERROR(F20/$J$20*100,0)</f>
        <v>0</v>
      </c>
      <c r="G53" s="31" t="n">
        <f aca="false">IFERROR(G20/$J$20*100,0)</f>
        <v>0</v>
      </c>
      <c r="H53" s="31" t="n">
        <f aca="false">IFERROR(H20/$J$20*100,0)</f>
        <v>0</v>
      </c>
      <c r="I53" s="31" t="n">
        <f aca="false">IFERROR(I20/$J$20*100,0)</f>
        <v>0</v>
      </c>
      <c r="J53" s="32" t="n">
        <f aca="false">SUM(D53:I53)</f>
        <v>0</v>
      </c>
      <c r="K53" s="33" t="n">
        <f aca="false">IFERROR(-SUMPRODUCT(IF(D53:I53&gt;0,(D53:I53/100)*LOG(D53:I53/100,2),0)),0)</f>
        <v>-0</v>
      </c>
    </row>
    <row r="54" customFormat="false" ht="15" hidden="false" customHeight="false" outlineLevel="0" collapsed="false">
      <c r="A54" s="8" t="n">
        <v>18</v>
      </c>
      <c r="B54" s="17"/>
      <c r="C54" s="34"/>
      <c r="D54" s="35" t="n">
        <f aca="false">IFERROR(D21/$J$21*100,0)</f>
        <v>0</v>
      </c>
      <c r="E54" s="35" t="n">
        <f aca="false">IFERROR(E21/$J$21*100,0)</f>
        <v>0</v>
      </c>
      <c r="F54" s="35" t="n">
        <f aca="false">IFERROR(F21/$J$21*100,0)</f>
        <v>0</v>
      </c>
      <c r="G54" s="35" t="n">
        <f aca="false">IFERROR(G21/$J$21*100,0)</f>
        <v>0</v>
      </c>
      <c r="H54" s="35" t="n">
        <f aca="false">IFERROR(H21/$J$21*100,0)</f>
        <v>0</v>
      </c>
      <c r="I54" s="35" t="n">
        <f aca="false">IFERROR(I21/$J$21*100,0)</f>
        <v>0</v>
      </c>
      <c r="J54" s="36" t="n">
        <f aca="false">SUM(D54:I54)</f>
        <v>0</v>
      </c>
      <c r="K54" s="37" t="n">
        <f aca="false">IFERROR(-SUMPRODUCT(IF(D54:I54&gt;0,(D54:I54/100)*LOG(D54:I54/100,2),0)),0)</f>
        <v>-0</v>
      </c>
    </row>
    <row r="55" customFormat="false" ht="15" hidden="false" customHeight="false" outlineLevel="0" collapsed="false">
      <c r="A55" s="4" t="n">
        <v>19</v>
      </c>
      <c r="B55" s="19"/>
      <c r="C55" s="30"/>
      <c r="D55" s="31" t="n">
        <f aca="false">IFERROR(D22/$J$22*100,0)</f>
        <v>0</v>
      </c>
      <c r="E55" s="31" t="n">
        <f aca="false">IFERROR(E22/$J$22*100,0)</f>
        <v>0</v>
      </c>
      <c r="F55" s="31" t="n">
        <f aca="false">IFERROR(F22/$J$22*100,0)</f>
        <v>0</v>
      </c>
      <c r="G55" s="31" t="n">
        <f aca="false">IFERROR(G22/$J$22*100,0)</f>
        <v>0</v>
      </c>
      <c r="H55" s="31" t="n">
        <f aca="false">IFERROR(H22/$J$22*100,0)</f>
        <v>0</v>
      </c>
      <c r="I55" s="31" t="n">
        <f aca="false">IFERROR(I22/$J$22*100,0)</f>
        <v>0</v>
      </c>
      <c r="J55" s="32" t="n">
        <f aca="false">SUM(D55:I55)</f>
        <v>0</v>
      </c>
      <c r="K55" s="33" t="n">
        <f aca="false">IFERROR(-SUMPRODUCT(IF(D55:I55&gt;0,(D55:I55/100)*LOG(D55:I55/100,2),0)),0)</f>
        <v>-0</v>
      </c>
    </row>
    <row r="56" customFormat="false" ht="15" hidden="false" customHeight="false" outlineLevel="0" collapsed="false">
      <c r="A56" s="8" t="n">
        <v>20</v>
      </c>
      <c r="B56" s="17"/>
      <c r="C56" s="34"/>
      <c r="D56" s="35" t="n">
        <f aca="false">IFERROR(D23/$J$23*100,0)</f>
        <v>0</v>
      </c>
      <c r="E56" s="35" t="n">
        <f aca="false">IFERROR(E23/$J$23*100,0)</f>
        <v>0</v>
      </c>
      <c r="F56" s="35" t="n">
        <f aca="false">IFERROR(F23/$J$23*100,0)</f>
        <v>0</v>
      </c>
      <c r="G56" s="35" t="n">
        <f aca="false">IFERROR(G23/$J$23*100,0)</f>
        <v>0</v>
      </c>
      <c r="H56" s="35" t="n">
        <f aca="false">IFERROR(H23/$J$23*100,0)</f>
        <v>0</v>
      </c>
      <c r="I56" s="35" t="n">
        <f aca="false">IFERROR(I23/$J$23*100,0)</f>
        <v>0</v>
      </c>
      <c r="J56" s="36" t="n">
        <f aca="false">SUM(D56:I56)</f>
        <v>0</v>
      </c>
      <c r="K56" s="37" t="n">
        <f aca="false">IFERROR(-SUMPRODUCT(IF(D56:I56&gt;0,(D56:I56/100)*LOG(D56:I56/100,2),0)),0)</f>
        <v>-0</v>
      </c>
    </row>
    <row r="57" customFormat="false" ht="15" hidden="false" customHeight="false" outlineLevel="0" collapsed="false">
      <c r="A57" s="4" t="n">
        <v>21</v>
      </c>
      <c r="B57" s="19"/>
      <c r="C57" s="30"/>
      <c r="D57" s="31" t="n">
        <f aca="false">IFERROR(D24/$J$24*100,0)</f>
        <v>0</v>
      </c>
      <c r="E57" s="31" t="n">
        <f aca="false">IFERROR(E24/$J$24*100,0)</f>
        <v>0</v>
      </c>
      <c r="F57" s="31" t="n">
        <f aca="false">IFERROR(F24/$J$24*100,0)</f>
        <v>0</v>
      </c>
      <c r="G57" s="31" t="n">
        <f aca="false">IFERROR(G24/$J$24*100,0)</f>
        <v>0</v>
      </c>
      <c r="H57" s="31" t="n">
        <f aca="false">IFERROR(H24/$J$24*100,0)</f>
        <v>0</v>
      </c>
      <c r="I57" s="31" t="n">
        <f aca="false">IFERROR(I24/$J$24*100,0)</f>
        <v>0</v>
      </c>
      <c r="J57" s="32" t="n">
        <f aca="false">SUM(D57:I57)</f>
        <v>0</v>
      </c>
      <c r="K57" s="33" t="n">
        <f aca="false">IFERROR(-SUMPRODUCT(IF(D57:I57&gt;0,(D57:I57/100)*LOG(D57:I57/100,2),0)),0)</f>
        <v>-0</v>
      </c>
    </row>
    <row r="58" customFormat="false" ht="15" hidden="false" customHeight="false" outlineLevel="0" collapsed="false">
      <c r="A58" s="8" t="n">
        <v>22</v>
      </c>
      <c r="B58" s="17"/>
      <c r="C58" s="34"/>
      <c r="D58" s="35" t="n">
        <f aca="false">IFERROR(D25/$J$25*100,0)</f>
        <v>0</v>
      </c>
      <c r="E58" s="35" t="n">
        <f aca="false">IFERROR(E25/$J$25*100,0)</f>
        <v>0</v>
      </c>
      <c r="F58" s="35" t="n">
        <f aca="false">IFERROR(F25/$J$25*100,0)</f>
        <v>0</v>
      </c>
      <c r="G58" s="35" t="n">
        <f aca="false">IFERROR(G25/$J$25*100,0)</f>
        <v>0</v>
      </c>
      <c r="H58" s="35" t="n">
        <f aca="false">IFERROR(H25/$J$25*100,0)</f>
        <v>0</v>
      </c>
      <c r="I58" s="35" t="n">
        <f aca="false">IFERROR(I25/$J$25*100,0)</f>
        <v>0</v>
      </c>
      <c r="J58" s="36" t="n">
        <f aca="false">SUM(D58:I58)</f>
        <v>0</v>
      </c>
      <c r="K58" s="37" t="n">
        <f aca="false">IFERROR(-SUMPRODUCT(IF(D58:I58&gt;0,(D58:I58/100)*LOG(D58:I58/100,2),0)),0)</f>
        <v>-0</v>
      </c>
    </row>
    <row r="59" customFormat="false" ht="15" hidden="false" customHeight="false" outlineLevel="0" collapsed="false">
      <c r="A59" s="4" t="n">
        <v>23</v>
      </c>
      <c r="B59" s="19"/>
      <c r="C59" s="30"/>
      <c r="D59" s="31" t="n">
        <f aca="false">IFERROR(D26/$J$26*100,0)</f>
        <v>0</v>
      </c>
      <c r="E59" s="31" t="n">
        <f aca="false">IFERROR(E26/$J$26*100,0)</f>
        <v>0</v>
      </c>
      <c r="F59" s="31" t="n">
        <f aca="false">IFERROR(F26/$J$26*100,0)</f>
        <v>0</v>
      </c>
      <c r="G59" s="31" t="n">
        <f aca="false">IFERROR(G26/$J$26*100,0)</f>
        <v>0</v>
      </c>
      <c r="H59" s="31" t="n">
        <f aca="false">IFERROR(H26/$J$26*100,0)</f>
        <v>0</v>
      </c>
      <c r="I59" s="31" t="n">
        <f aca="false">IFERROR(I26/$J$26*100,0)</f>
        <v>0</v>
      </c>
      <c r="J59" s="32" t="n">
        <f aca="false">SUM(D59:I59)</f>
        <v>0</v>
      </c>
      <c r="K59" s="33" t="n">
        <f aca="false">IFERROR(-SUMPRODUCT(IF(D59:I59&gt;0,(D59:I59/100)*LOG(D59:I59/100,2),0)),0)</f>
        <v>-0</v>
      </c>
    </row>
    <row r="60" customFormat="false" ht="15" hidden="false" customHeight="false" outlineLevel="0" collapsed="false">
      <c r="A60" s="8" t="n">
        <v>24</v>
      </c>
      <c r="B60" s="17"/>
      <c r="C60" s="34"/>
      <c r="D60" s="35" t="n">
        <f aca="false">IFERROR(D27/$J$27*100,0)</f>
        <v>0</v>
      </c>
      <c r="E60" s="35" t="n">
        <f aca="false">IFERROR(E27/$J$27*100,0)</f>
        <v>0</v>
      </c>
      <c r="F60" s="35" t="n">
        <f aca="false">IFERROR(F27/$J$27*100,0)</f>
        <v>0</v>
      </c>
      <c r="G60" s="35" t="n">
        <f aca="false">IFERROR(G27/$J$27*100,0)</f>
        <v>0</v>
      </c>
      <c r="H60" s="35" t="n">
        <f aca="false">IFERROR(H27/$J$27*100,0)</f>
        <v>0</v>
      </c>
      <c r="I60" s="35" t="n">
        <f aca="false">IFERROR(I27/$J$27*100,0)</f>
        <v>0</v>
      </c>
      <c r="J60" s="36" t="n">
        <f aca="false">SUM(D60:I60)</f>
        <v>0</v>
      </c>
      <c r="K60" s="37" t="n">
        <f aca="false">IFERROR(-SUMPRODUCT(IF(D60:I60&gt;0,(D60:I60/100)*LOG(D60:I60/100,2),0)),0)</f>
        <v>-0</v>
      </c>
    </row>
    <row r="61" customFormat="false" ht="15" hidden="false" customHeight="false" outlineLevel="0" collapsed="false">
      <c r="A61" s="4" t="n">
        <v>25</v>
      </c>
      <c r="B61" s="19"/>
      <c r="C61" s="30"/>
      <c r="D61" s="31" t="n">
        <f aca="false">IFERROR(D28/$J$28*100,0)</f>
        <v>0</v>
      </c>
      <c r="E61" s="31" t="n">
        <f aca="false">IFERROR(E28/$J$28*100,0)</f>
        <v>0</v>
      </c>
      <c r="F61" s="31" t="n">
        <f aca="false">IFERROR(F28/$J$28*100,0)</f>
        <v>0</v>
      </c>
      <c r="G61" s="31" t="n">
        <f aca="false">IFERROR(G28/$J$28*100,0)</f>
        <v>0</v>
      </c>
      <c r="H61" s="31" t="n">
        <f aca="false">IFERROR(H28/$J$28*100,0)</f>
        <v>0</v>
      </c>
      <c r="I61" s="31" t="n">
        <f aca="false">IFERROR(I28/$J$28*100,0)</f>
        <v>0</v>
      </c>
      <c r="J61" s="32" t="n">
        <f aca="false">SUM(D61:I61)</f>
        <v>0</v>
      </c>
      <c r="K61" s="33" t="n">
        <f aca="false">IFERROR(-SUMPRODUCT(IF(D61:I61&gt;0,(D61:I61/100)*LOG(D61:I61/100,2),0)),0)</f>
        <v>-0</v>
      </c>
    </row>
    <row r="62" customFormat="false" ht="15" hidden="false" customHeight="false" outlineLevel="0" collapsed="false">
      <c r="A62" s="8" t="n">
        <v>26</v>
      </c>
      <c r="B62" s="17"/>
      <c r="C62" s="34"/>
      <c r="D62" s="35" t="n">
        <f aca="false">IFERROR(D29/$J$29*100,0)</f>
        <v>0</v>
      </c>
      <c r="E62" s="35" t="n">
        <f aca="false">IFERROR(E29/$J$29*100,0)</f>
        <v>0</v>
      </c>
      <c r="F62" s="35" t="n">
        <f aca="false">IFERROR(F29/$J$29*100,0)</f>
        <v>0</v>
      </c>
      <c r="G62" s="35" t="n">
        <f aca="false">IFERROR(G29/$J$29*100,0)</f>
        <v>0</v>
      </c>
      <c r="H62" s="35" t="n">
        <f aca="false">IFERROR(H29/$J$29*100,0)</f>
        <v>0</v>
      </c>
      <c r="I62" s="35" t="n">
        <f aca="false">IFERROR(I29/$J$29*100,0)</f>
        <v>0</v>
      </c>
      <c r="J62" s="36" t="n">
        <f aca="false">SUM(D62:I62)</f>
        <v>0</v>
      </c>
      <c r="K62" s="37" t="n">
        <f aca="false">IFERROR(-SUMPRODUCT(IF(D62:I62&gt;0,(D62:I62/100)*LOG(D62:I62/100,2),0)),0)</f>
        <v>-0</v>
      </c>
    </row>
    <row r="63" customFormat="false" ht="15" hidden="false" customHeight="false" outlineLevel="0" collapsed="false">
      <c r="A63" s="4" t="n">
        <v>27</v>
      </c>
      <c r="B63" s="19"/>
      <c r="C63" s="30"/>
      <c r="D63" s="31" t="n">
        <f aca="false">IFERROR(D30/$J$30*100,0)</f>
        <v>0</v>
      </c>
      <c r="E63" s="31" t="n">
        <f aca="false">IFERROR(E30/$J$30*100,0)</f>
        <v>0</v>
      </c>
      <c r="F63" s="31" t="n">
        <f aca="false">IFERROR(F30/$J$30*100,0)</f>
        <v>0</v>
      </c>
      <c r="G63" s="31" t="n">
        <f aca="false">IFERROR(G30/$J$30*100,0)</f>
        <v>0</v>
      </c>
      <c r="H63" s="31" t="n">
        <f aca="false">IFERROR(H30/$J$30*100,0)</f>
        <v>0</v>
      </c>
      <c r="I63" s="31" t="n">
        <f aca="false">IFERROR(I30/$J$30*100,0)</f>
        <v>0</v>
      </c>
      <c r="J63" s="32" t="n">
        <f aca="false">SUM(D63:I63)</f>
        <v>0</v>
      </c>
      <c r="K63" s="33" t="n">
        <f aca="false">IFERROR(-SUMPRODUCT(IF(D63:I63&gt;0,(D63:I63/100)*LOG(D63:I63/100,2),0)),0)</f>
        <v>-0</v>
      </c>
    </row>
    <row r="64" customFormat="false" ht="15" hidden="false" customHeight="false" outlineLevel="0" collapsed="false">
      <c r="A64" s="8" t="n">
        <v>28</v>
      </c>
      <c r="B64" s="17"/>
      <c r="C64" s="34"/>
      <c r="D64" s="35" t="n">
        <f aca="false">IFERROR(D31/$J$31*100,0)</f>
        <v>0</v>
      </c>
      <c r="E64" s="35" t="n">
        <f aca="false">IFERROR(E31/$J$31*100,0)</f>
        <v>0</v>
      </c>
      <c r="F64" s="35" t="n">
        <f aca="false">IFERROR(F31/$J$31*100,0)</f>
        <v>0</v>
      </c>
      <c r="G64" s="35" t="n">
        <f aca="false">IFERROR(G31/$J$31*100,0)</f>
        <v>0</v>
      </c>
      <c r="H64" s="35" t="n">
        <f aca="false">IFERROR(H31/$J$31*100,0)</f>
        <v>0</v>
      </c>
      <c r="I64" s="35" t="n">
        <f aca="false">IFERROR(I31/$J$31*100,0)</f>
        <v>0</v>
      </c>
      <c r="J64" s="36" t="n">
        <f aca="false">SUM(D64:I64)</f>
        <v>0</v>
      </c>
      <c r="K64" s="37" t="n">
        <f aca="false">IFERROR(-SUMPRODUCT(IF(D64:I64&gt;0,(D64:I64/100)*LOG(D64:I64/100,2),0)),0)</f>
        <v>-0</v>
      </c>
    </row>
    <row r="65" customFormat="false" ht="15" hidden="false" customHeight="false" outlineLevel="0" collapsed="false">
      <c r="A65" s="4" t="n">
        <v>29</v>
      </c>
      <c r="B65" s="19"/>
      <c r="C65" s="30"/>
      <c r="D65" s="31" t="n">
        <f aca="false">IFERROR(D32/$J$32*100,0)</f>
        <v>0</v>
      </c>
      <c r="E65" s="31" t="n">
        <f aca="false">IFERROR(E32/$J$32*100,0)</f>
        <v>0</v>
      </c>
      <c r="F65" s="31" t="n">
        <f aca="false">IFERROR(F32/$J$32*100,0)</f>
        <v>0</v>
      </c>
      <c r="G65" s="31" t="n">
        <f aca="false">IFERROR(G32/$J$32*100,0)</f>
        <v>0</v>
      </c>
      <c r="H65" s="31" t="n">
        <f aca="false">IFERROR(H32/$J$32*100,0)</f>
        <v>0</v>
      </c>
      <c r="I65" s="31" t="n">
        <f aca="false">IFERROR(I32/$J$32*100,0)</f>
        <v>0</v>
      </c>
      <c r="J65" s="32" t="n">
        <f aca="false">SUM(D65:I65)</f>
        <v>0</v>
      </c>
      <c r="K65" s="33" t="n">
        <f aca="false">IFERROR(-SUMPRODUCT(IF(D65:I65&gt;0,(D65:I65/100)*LOG(D65:I65/100,2),0)),0)</f>
        <v>-0</v>
      </c>
    </row>
    <row r="66" customFormat="false" ht="15" hidden="false" customHeight="false" outlineLevel="0" collapsed="false">
      <c r="A66" s="8" t="n">
        <v>30</v>
      </c>
      <c r="B66" s="17"/>
      <c r="C66" s="34"/>
      <c r="D66" s="35" t="n">
        <f aca="false">IFERROR(D33/$J$33*100,0)</f>
        <v>0</v>
      </c>
      <c r="E66" s="35" t="n">
        <f aca="false">IFERROR(E33/$J$33*100,0)</f>
        <v>0</v>
      </c>
      <c r="F66" s="35" t="n">
        <f aca="false">IFERROR(F33/$J$33*100,0)</f>
        <v>0</v>
      </c>
      <c r="G66" s="35" t="n">
        <f aca="false">IFERROR(G33/$J$33*100,0)</f>
        <v>0</v>
      </c>
      <c r="H66" s="35" t="n">
        <f aca="false">IFERROR(H33/$J$33*100,0)</f>
        <v>0</v>
      </c>
      <c r="I66" s="35" t="n">
        <f aca="false">IFERROR(I33/$J$33*100,0)</f>
        <v>0</v>
      </c>
      <c r="J66" s="36" t="n">
        <f aca="false">SUM(D66:I66)</f>
        <v>0</v>
      </c>
      <c r="K66" s="37" t="n">
        <f aca="false">IFERROR(-SUMPRODUCT(IF(D66:I66&gt;0,(D66:I66/100)*LOG(D66:I66/100,2),0)),0)</f>
        <v>-0</v>
      </c>
    </row>
  </sheetData>
  <mergeCells count="3">
    <mergeCell ref="A1:K1"/>
    <mergeCell ref="A2:K2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K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20"/>
    <col collapsed="false" customWidth="true" hidden="false" outlineLevel="0" max="10" min="9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38" t="s">
        <v>68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25.5" hidden="false" customHeight="true" outlineLevel="0" collapsed="false">
      <c r="A2" s="39" t="s">
        <v>69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5.05" hidden="false" customHeight="false" outlineLevel="0" collapsed="false">
      <c r="A3" s="40" t="s">
        <v>32</v>
      </c>
      <c r="B3" s="40" t="s">
        <v>33</v>
      </c>
      <c r="C3" s="40" t="s">
        <v>34</v>
      </c>
      <c r="D3" s="40" t="s">
        <v>70</v>
      </c>
      <c r="E3" s="40" t="s">
        <v>71</v>
      </c>
      <c r="F3" s="40" t="s">
        <v>72</v>
      </c>
      <c r="G3" s="40" t="s">
        <v>73</v>
      </c>
      <c r="H3" s="40" t="s">
        <v>74</v>
      </c>
      <c r="I3" s="40" t="s">
        <v>75</v>
      </c>
      <c r="J3" s="40" t="s">
        <v>76</v>
      </c>
      <c r="K3" s="40" t="s">
        <v>58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8" t="n">
        <f aca="false">SUM(E4:H4)</f>
        <v>0</v>
      </c>
      <c r="J4" s="35" t="n">
        <f aca="false">IF(D4&gt;0,I4/D4*100,0)</f>
        <v>0</v>
      </c>
      <c r="K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19"/>
      <c r="I5" s="20" t="n">
        <f aca="false">SUM(E5:H5)</f>
        <v>0</v>
      </c>
      <c r="J5" s="31" t="n">
        <f aca="false">IF(D5&gt;0,I5/D5*100,0)</f>
        <v>0</v>
      </c>
      <c r="K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8" t="n">
        <f aca="false">SUM(E6:H6)</f>
        <v>0</v>
      </c>
      <c r="J6" s="35" t="n">
        <f aca="false">IF(D6&gt;0,I6/D6*100,0)</f>
        <v>0</v>
      </c>
      <c r="K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19"/>
      <c r="I7" s="20" t="n">
        <f aca="false">SUM(E7:H7)</f>
        <v>0</v>
      </c>
      <c r="J7" s="31" t="n">
        <f aca="false">IF(D7&gt;0,I7/D7*100,0)</f>
        <v>0</v>
      </c>
      <c r="K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8" t="n">
        <f aca="false">SUM(E8:H8)</f>
        <v>0</v>
      </c>
      <c r="J8" s="35" t="n">
        <f aca="false">IF(D8&gt;0,I8/D8*100,0)</f>
        <v>0</v>
      </c>
      <c r="K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19"/>
      <c r="I9" s="20" t="n">
        <f aca="false">SUM(E9:H9)</f>
        <v>0</v>
      </c>
      <c r="J9" s="31" t="n">
        <f aca="false">IF(D9&gt;0,I9/D9*100,0)</f>
        <v>0</v>
      </c>
      <c r="K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8" t="n">
        <f aca="false">SUM(E10:H10)</f>
        <v>0</v>
      </c>
      <c r="J10" s="35" t="n">
        <f aca="false">IF(D10&gt;0,I10/D10*100,0)</f>
        <v>0</v>
      </c>
      <c r="K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19"/>
      <c r="I11" s="20" t="n">
        <f aca="false">SUM(E11:H11)</f>
        <v>0</v>
      </c>
      <c r="J11" s="31" t="n">
        <f aca="false">IF(D11&gt;0,I11/D11*100,0)</f>
        <v>0</v>
      </c>
      <c r="K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8" t="n">
        <f aca="false">SUM(E12:H12)</f>
        <v>0</v>
      </c>
      <c r="J12" s="35" t="n">
        <f aca="false">IF(D12&gt;0,I12/D12*100,0)</f>
        <v>0</v>
      </c>
      <c r="K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19"/>
      <c r="I13" s="20" t="n">
        <f aca="false">SUM(E13:H13)</f>
        <v>0</v>
      </c>
      <c r="J13" s="31" t="n">
        <f aca="false">IF(D13&gt;0,I13/D13*100,0)</f>
        <v>0</v>
      </c>
      <c r="K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8" t="n">
        <f aca="false">SUM(E14:H14)</f>
        <v>0</v>
      </c>
      <c r="J14" s="35" t="n">
        <f aca="false">IF(D14&gt;0,I14/D14*100,0)</f>
        <v>0</v>
      </c>
      <c r="K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19"/>
      <c r="I15" s="20" t="n">
        <f aca="false">SUM(E15:H15)</f>
        <v>0</v>
      </c>
      <c r="J15" s="31" t="n">
        <f aca="false">IF(D15&gt;0,I15/D15*100,0)</f>
        <v>0</v>
      </c>
      <c r="K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8" t="n">
        <f aca="false">SUM(E16:H16)</f>
        <v>0</v>
      </c>
      <c r="J16" s="35" t="n">
        <f aca="false">IF(D16&gt;0,I16/D16*100,0)</f>
        <v>0</v>
      </c>
      <c r="K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19"/>
      <c r="I17" s="20" t="n">
        <f aca="false">SUM(E17:H17)</f>
        <v>0</v>
      </c>
      <c r="J17" s="31" t="n">
        <f aca="false">IF(D17&gt;0,I17/D17*100,0)</f>
        <v>0</v>
      </c>
      <c r="K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8" t="n">
        <f aca="false">SUM(E18:H18)</f>
        <v>0</v>
      </c>
      <c r="J18" s="35" t="n">
        <f aca="false">IF(D18&gt;0,I18/D18*100,0)</f>
        <v>0</v>
      </c>
      <c r="K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19"/>
      <c r="I19" s="20" t="n">
        <f aca="false">SUM(E19:H19)</f>
        <v>0</v>
      </c>
      <c r="J19" s="31" t="n">
        <f aca="false">IF(D19&gt;0,I19/D19*100,0)</f>
        <v>0</v>
      </c>
      <c r="K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8" t="n">
        <f aca="false">SUM(E20:H20)</f>
        <v>0</v>
      </c>
      <c r="J20" s="35" t="n">
        <f aca="false">IF(D20&gt;0,I20/D20*100,0)</f>
        <v>0</v>
      </c>
      <c r="K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19"/>
      <c r="I21" s="20" t="n">
        <f aca="false">SUM(E21:H21)</f>
        <v>0</v>
      </c>
      <c r="J21" s="31" t="n">
        <f aca="false">IF(D21&gt;0,I21/D21*100,0)</f>
        <v>0</v>
      </c>
      <c r="K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8" t="n">
        <f aca="false">SUM(E22:H22)</f>
        <v>0</v>
      </c>
      <c r="J22" s="35" t="n">
        <f aca="false">IF(D22&gt;0,I22/D22*100,0)</f>
        <v>0</v>
      </c>
      <c r="K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19"/>
      <c r="I23" s="20" t="n">
        <f aca="false">SUM(E23:H23)</f>
        <v>0</v>
      </c>
      <c r="J23" s="31" t="n">
        <f aca="false">IF(D23&gt;0,I23/D23*100,0)</f>
        <v>0</v>
      </c>
      <c r="K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8" t="n">
        <f aca="false">SUM(E24:H24)</f>
        <v>0</v>
      </c>
      <c r="J24" s="35" t="n">
        <f aca="false">IF(D24&gt;0,I24/D24*100,0)</f>
        <v>0</v>
      </c>
      <c r="K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19"/>
      <c r="I25" s="20" t="n">
        <f aca="false">SUM(E25:H25)</f>
        <v>0</v>
      </c>
      <c r="J25" s="31" t="n">
        <f aca="false">IF(D25&gt;0,I25/D25*100,0)</f>
        <v>0</v>
      </c>
      <c r="K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8" t="n">
        <f aca="false">SUM(E26:H26)</f>
        <v>0</v>
      </c>
      <c r="J26" s="35" t="n">
        <f aca="false">IF(D26&gt;0,I26/D26*100,0)</f>
        <v>0</v>
      </c>
      <c r="K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19"/>
      <c r="I27" s="20" t="n">
        <f aca="false">SUM(E27:H27)</f>
        <v>0</v>
      </c>
      <c r="J27" s="31" t="n">
        <f aca="false">IF(D27&gt;0,I27/D27*100,0)</f>
        <v>0</v>
      </c>
      <c r="K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8" t="n">
        <f aca="false">SUM(E28:H28)</f>
        <v>0</v>
      </c>
      <c r="J28" s="35" t="n">
        <f aca="false">IF(D28&gt;0,I28/D28*100,0)</f>
        <v>0</v>
      </c>
      <c r="K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19"/>
      <c r="I29" s="20" t="n">
        <f aca="false">SUM(E29:H29)</f>
        <v>0</v>
      </c>
      <c r="J29" s="31" t="n">
        <f aca="false">IF(D29&gt;0,I29/D29*100,0)</f>
        <v>0</v>
      </c>
      <c r="K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8" t="n">
        <f aca="false">SUM(E30:H30)</f>
        <v>0</v>
      </c>
      <c r="J30" s="35" t="n">
        <f aca="false">IF(D30&gt;0,I30/D30*100,0)</f>
        <v>0</v>
      </c>
      <c r="K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19"/>
      <c r="I31" s="20" t="n">
        <f aca="false">SUM(E31:H31)</f>
        <v>0</v>
      </c>
      <c r="J31" s="31" t="n">
        <f aca="false">IF(D31&gt;0,I31/D31*100,0)</f>
        <v>0</v>
      </c>
      <c r="K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8" t="n">
        <f aca="false">SUM(E32:H32)</f>
        <v>0</v>
      </c>
      <c r="J32" s="35" t="n">
        <f aca="false">IF(D32&gt;0,I32/D32*100,0)</f>
        <v>0</v>
      </c>
      <c r="K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19"/>
      <c r="I33" s="20" t="n">
        <f aca="false">SUM(E33:H33)</f>
        <v>0</v>
      </c>
      <c r="J33" s="31" t="n">
        <f aca="false">IF(D33&gt;0,I33/D33*100,0)</f>
        <v>0</v>
      </c>
      <c r="K33" s="19"/>
    </row>
    <row r="35" customFormat="false" ht="25.5" hidden="false" customHeight="true" outlineLevel="0" collapsed="false">
      <c r="A35" s="41" t="s">
        <v>77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</row>
    <row r="36" customFormat="false" ht="35.05" hidden="false" customHeight="false" outlineLevel="0" collapsed="false">
      <c r="A36" s="42" t="s">
        <v>32</v>
      </c>
      <c r="B36" s="42" t="s">
        <v>78</v>
      </c>
      <c r="C36" s="42" t="s">
        <v>79</v>
      </c>
      <c r="D36" s="42" t="s">
        <v>80</v>
      </c>
      <c r="E36" s="42" t="s">
        <v>81</v>
      </c>
      <c r="F36" s="42" t="s">
        <v>82</v>
      </c>
      <c r="G36" s="42" t="s">
        <v>83</v>
      </c>
      <c r="H36" s="42" t="s">
        <v>84</v>
      </c>
      <c r="I36" s="42" t="s">
        <v>85</v>
      </c>
      <c r="J36" s="42" t="s">
        <v>86</v>
      </c>
      <c r="K36" s="42" t="s">
        <v>33</v>
      </c>
    </row>
    <row r="37" customFormat="false" ht="15" hidden="false" customHeight="false" outlineLevel="0" collapsed="false">
      <c r="A37" s="4" t="n">
        <v>1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customFormat="false" ht="15" hidden="false" customHeight="false" outlineLevel="0" collapsed="false">
      <c r="A39" s="4" t="n">
        <v>3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customFormat="false" ht="15" hidden="false" customHeight="false" outlineLevel="0" collapsed="false">
      <c r="A41" s="4" t="n">
        <v>5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customFormat="false" ht="15" hidden="false" customHeight="false" outlineLevel="0" collapsed="false">
      <c r="A43" s="4" t="n">
        <v>7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customFormat="false" ht="15" hidden="false" customHeight="false" outlineLevel="0" collapsed="false">
      <c r="A45" s="4" t="n">
        <v>9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customFormat="false" ht="15" hidden="false" customHeight="false" outlineLevel="0" collapsed="false">
      <c r="A47" s="4" t="n">
        <v>11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customFormat="false" ht="15" hidden="false" customHeight="false" outlineLevel="0" collapsed="false">
      <c r="A49" s="4" t="n">
        <v>13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customFormat="false" ht="15" hidden="false" customHeight="false" outlineLevel="0" collapsed="false">
      <c r="A51" s="4" t="n">
        <v>15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customFormat="false" ht="15" hidden="false" customHeight="false" outlineLevel="0" collapsed="false">
      <c r="A53" s="4" t="n">
        <v>17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customFormat="false" ht="15" hidden="false" customHeight="false" outlineLevel="0" collapsed="false">
      <c r="A55" s="4" t="n">
        <v>19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customFormat="false" ht="15" hidden="false" customHeight="false" outlineLevel="0" collapsed="false">
      <c r="A57" s="4" t="n">
        <v>21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customFormat="false" ht="15" hidden="false" customHeight="false" outlineLevel="0" collapsed="false">
      <c r="A59" s="4" t="n">
        <v>23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customFormat="false" ht="15" hidden="false" customHeight="false" outlineLevel="0" collapsed="false">
      <c r="A61" s="4" t="n">
        <v>25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customFormat="false" ht="15" hidden="false" customHeight="false" outlineLevel="0" collapsed="false">
      <c r="A63" s="4" t="n">
        <v>27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customFormat="false" ht="15" hidden="false" customHeight="false" outlineLevel="0" collapsed="false">
      <c r="A65" s="4" t="n">
        <v>29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customFormat="false" ht="15" hidden="false" customHeight="false" outlineLevel="0" collapsed="false">
      <c r="A67" s="4" t="n">
        <v>31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customFormat="false" ht="15" hidden="false" customHeight="false" outlineLevel="0" collapsed="false">
      <c r="A69" s="4" t="n">
        <v>33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customFormat="false" ht="15" hidden="false" customHeight="false" outlineLevel="0" collapsed="false">
      <c r="A71" s="4" t="n">
        <v>35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customFormat="false" ht="15" hidden="false" customHeight="false" outlineLevel="0" collapsed="false">
      <c r="A73" s="4" t="n">
        <v>37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customFormat="false" ht="15" hidden="false" customHeight="false" outlineLevel="0" collapsed="false">
      <c r="A75" s="4" t="n">
        <v>39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customFormat="false" ht="15" hidden="false" customHeight="false" outlineLevel="0" collapsed="false">
      <c r="A77" s="4" t="n">
        <v>41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customFormat="false" ht="15" hidden="false" customHeight="false" outlineLevel="0" collapsed="false">
      <c r="A78" s="8" t="n">
        <v>42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customFormat="false" ht="15" hidden="false" customHeight="false" outlineLevel="0" collapsed="false">
      <c r="A79" s="4" t="n">
        <v>43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customFormat="false" ht="15" hidden="false" customHeight="false" outlineLevel="0" collapsed="false">
      <c r="A80" s="8" t="n">
        <v>44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customFormat="false" ht="15" hidden="false" customHeight="false" outlineLevel="0" collapsed="false">
      <c r="A81" s="4" t="n">
        <v>45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customFormat="false" ht="15" hidden="false" customHeight="false" outlineLevel="0" collapsed="false">
      <c r="A82" s="8" t="n">
        <v>46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customFormat="false" ht="15" hidden="false" customHeight="false" outlineLevel="0" collapsed="false">
      <c r="A83" s="4" t="n">
        <v>47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customFormat="false" ht="15" hidden="false" customHeight="false" outlineLevel="0" collapsed="false">
      <c r="A84" s="8" t="n">
        <v>48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customFormat="false" ht="15" hidden="false" customHeight="false" outlineLevel="0" collapsed="false">
      <c r="A85" s="4" t="n">
        <v>49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customFormat="false" ht="15" hidden="false" customHeight="false" outlineLevel="0" collapsed="false">
      <c r="A86" s="8" t="n">
        <v>50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</row>
  </sheetData>
  <mergeCells count="3">
    <mergeCell ref="A1:K1"/>
    <mergeCell ref="A2:K2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3" t="s">
        <v>87</v>
      </c>
      <c r="B1" s="43"/>
      <c r="C1" s="43"/>
      <c r="D1" s="43"/>
      <c r="E1" s="43"/>
      <c r="F1" s="43"/>
      <c r="G1" s="43"/>
      <c r="H1" s="43"/>
      <c r="I1" s="43"/>
      <c r="J1" s="43"/>
    </row>
    <row r="2" customFormat="false" ht="25.5" hidden="false" customHeight="true" outlineLevel="0" collapsed="false">
      <c r="A2" s="28" t="s">
        <v>88</v>
      </c>
      <c r="B2" s="28"/>
      <c r="C2" s="28"/>
      <c r="D2" s="28"/>
      <c r="E2" s="28"/>
      <c r="F2" s="28"/>
      <c r="G2" s="28"/>
      <c r="H2" s="28"/>
      <c r="I2" s="28"/>
      <c r="J2" s="28"/>
    </row>
    <row r="3" customFormat="false" ht="23.85" hidden="false" customHeight="false" outlineLevel="0" collapsed="false">
      <c r="A3" s="29" t="s">
        <v>32</v>
      </c>
      <c r="B3" s="29" t="s">
        <v>33</v>
      </c>
      <c r="C3" s="29" t="s">
        <v>34</v>
      </c>
      <c r="D3" s="29" t="s">
        <v>89</v>
      </c>
      <c r="E3" s="29" t="s">
        <v>90</v>
      </c>
      <c r="F3" s="29" t="s">
        <v>91</v>
      </c>
      <c r="G3" s="29" t="s">
        <v>92</v>
      </c>
      <c r="H3" s="29" t="s">
        <v>93</v>
      </c>
      <c r="I3" s="29" t="s">
        <v>94</v>
      </c>
      <c r="J3" s="29" t="s">
        <v>58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35" t="n">
        <f aca="false">IF(E4&gt;0,F4/E4*100,0)</f>
        <v>0</v>
      </c>
      <c r="H4" s="17"/>
      <c r="I4" s="35" t="n">
        <f aca="false">IF(D4&gt;0,H4/D4*100,0)</f>
        <v>0</v>
      </c>
      <c r="J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31" t="n">
        <f aca="false">IF(E5&gt;0,F5/E5*100,0)</f>
        <v>0</v>
      </c>
      <c r="H5" s="19"/>
      <c r="I5" s="31" t="n">
        <f aca="false">IF(D5&gt;0,H5/D5*100,0)</f>
        <v>0</v>
      </c>
      <c r="J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35" t="n">
        <f aca="false">IF(E6&gt;0,F6/E6*100,0)</f>
        <v>0</v>
      </c>
      <c r="H6" s="17"/>
      <c r="I6" s="35" t="n">
        <f aca="false">IF(D6&gt;0,H6/D6*100,0)</f>
        <v>0</v>
      </c>
      <c r="J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31" t="n">
        <f aca="false">IF(E7&gt;0,F7/E7*100,0)</f>
        <v>0</v>
      </c>
      <c r="H7" s="19"/>
      <c r="I7" s="31" t="n">
        <f aca="false">IF(D7&gt;0,H7/D7*100,0)</f>
        <v>0</v>
      </c>
      <c r="J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35" t="n">
        <f aca="false">IF(E8&gt;0,F8/E8*100,0)</f>
        <v>0</v>
      </c>
      <c r="H8" s="17"/>
      <c r="I8" s="35" t="n">
        <f aca="false">IF(D8&gt;0,H8/D8*100,0)</f>
        <v>0</v>
      </c>
      <c r="J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31" t="n">
        <f aca="false">IF(E9&gt;0,F9/E9*100,0)</f>
        <v>0</v>
      </c>
      <c r="H9" s="19"/>
      <c r="I9" s="31" t="n">
        <f aca="false">IF(D9&gt;0,H9/D9*100,0)</f>
        <v>0</v>
      </c>
      <c r="J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35" t="n">
        <f aca="false">IF(E10&gt;0,F10/E10*100,0)</f>
        <v>0</v>
      </c>
      <c r="H10" s="17"/>
      <c r="I10" s="35" t="n">
        <f aca="false">IF(D10&gt;0,H10/D10*100,0)</f>
        <v>0</v>
      </c>
      <c r="J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31" t="n">
        <f aca="false">IF(E11&gt;0,F11/E11*100,0)</f>
        <v>0</v>
      </c>
      <c r="H11" s="19"/>
      <c r="I11" s="31" t="n">
        <f aca="false">IF(D11&gt;0,H11/D11*100,0)</f>
        <v>0</v>
      </c>
      <c r="J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35" t="n">
        <f aca="false">IF(E12&gt;0,F12/E12*100,0)</f>
        <v>0</v>
      </c>
      <c r="H12" s="17"/>
      <c r="I12" s="35" t="n">
        <f aca="false">IF(D12&gt;0,H12/D12*100,0)</f>
        <v>0</v>
      </c>
      <c r="J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31" t="n">
        <f aca="false">IF(E13&gt;0,F13/E13*100,0)</f>
        <v>0</v>
      </c>
      <c r="H13" s="19"/>
      <c r="I13" s="31" t="n">
        <f aca="false">IF(D13&gt;0,H13/D13*100,0)</f>
        <v>0</v>
      </c>
      <c r="J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35" t="n">
        <f aca="false">IF(E14&gt;0,F14/E14*100,0)</f>
        <v>0</v>
      </c>
      <c r="H14" s="17"/>
      <c r="I14" s="35" t="n">
        <f aca="false">IF(D14&gt;0,H14/D14*100,0)</f>
        <v>0</v>
      </c>
      <c r="J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31" t="n">
        <f aca="false">IF(E15&gt;0,F15/E15*100,0)</f>
        <v>0</v>
      </c>
      <c r="H15" s="19"/>
      <c r="I15" s="31" t="n">
        <f aca="false">IF(D15&gt;0,H15/D15*100,0)</f>
        <v>0</v>
      </c>
      <c r="J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35" t="n">
        <f aca="false">IF(E16&gt;0,F16/E16*100,0)</f>
        <v>0</v>
      </c>
      <c r="H16" s="17"/>
      <c r="I16" s="35" t="n">
        <f aca="false">IF(D16&gt;0,H16/D16*100,0)</f>
        <v>0</v>
      </c>
      <c r="J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31" t="n">
        <f aca="false">IF(E17&gt;0,F17/E17*100,0)</f>
        <v>0</v>
      </c>
      <c r="H17" s="19"/>
      <c r="I17" s="31" t="n">
        <f aca="false">IF(D17&gt;0,H17/D17*100,0)</f>
        <v>0</v>
      </c>
      <c r="J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35" t="n">
        <f aca="false">IF(E18&gt;0,F18/E18*100,0)</f>
        <v>0</v>
      </c>
      <c r="H18" s="17"/>
      <c r="I18" s="35" t="n">
        <f aca="false">IF(D18&gt;0,H18/D18*100,0)</f>
        <v>0</v>
      </c>
      <c r="J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31" t="n">
        <f aca="false">IF(E19&gt;0,F19/E19*100,0)</f>
        <v>0</v>
      </c>
      <c r="H19" s="19"/>
      <c r="I19" s="31" t="n">
        <f aca="false">IF(D19&gt;0,H19/D19*100,0)</f>
        <v>0</v>
      </c>
      <c r="J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35" t="n">
        <f aca="false">IF(E20&gt;0,F20/E20*100,0)</f>
        <v>0</v>
      </c>
      <c r="H20" s="17"/>
      <c r="I20" s="35" t="n">
        <f aca="false">IF(D20&gt;0,H20/D20*100,0)</f>
        <v>0</v>
      </c>
      <c r="J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31" t="n">
        <f aca="false">IF(E21&gt;0,F21/E21*100,0)</f>
        <v>0</v>
      </c>
      <c r="H21" s="19"/>
      <c r="I21" s="31" t="n">
        <f aca="false">IF(D21&gt;0,H21/D21*100,0)</f>
        <v>0</v>
      </c>
      <c r="J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35" t="n">
        <f aca="false">IF(E22&gt;0,F22/E22*100,0)</f>
        <v>0</v>
      </c>
      <c r="H22" s="17"/>
      <c r="I22" s="35" t="n">
        <f aca="false">IF(D22&gt;0,H22/D22*100,0)</f>
        <v>0</v>
      </c>
      <c r="J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31" t="n">
        <f aca="false">IF(E23&gt;0,F23/E23*100,0)</f>
        <v>0</v>
      </c>
      <c r="H23" s="19"/>
      <c r="I23" s="31" t="n">
        <f aca="false">IF(D23&gt;0,H23/D23*100,0)</f>
        <v>0</v>
      </c>
      <c r="J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35" t="n">
        <f aca="false">IF(E24&gt;0,F24/E24*100,0)</f>
        <v>0</v>
      </c>
      <c r="H24" s="17"/>
      <c r="I24" s="35" t="n">
        <f aca="false">IF(D24&gt;0,H24/D24*100,0)</f>
        <v>0</v>
      </c>
      <c r="J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31" t="n">
        <f aca="false">IF(E25&gt;0,F25/E25*100,0)</f>
        <v>0</v>
      </c>
      <c r="H25" s="19"/>
      <c r="I25" s="31" t="n">
        <f aca="false">IF(D25&gt;0,H25/D25*100,0)</f>
        <v>0</v>
      </c>
      <c r="J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35" t="n">
        <f aca="false">IF(E26&gt;0,F26/E26*100,0)</f>
        <v>0</v>
      </c>
      <c r="H26" s="17"/>
      <c r="I26" s="35" t="n">
        <f aca="false">IF(D26&gt;0,H26/D26*100,0)</f>
        <v>0</v>
      </c>
      <c r="J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31" t="n">
        <f aca="false">IF(E27&gt;0,F27/E27*100,0)</f>
        <v>0</v>
      </c>
      <c r="H27" s="19"/>
      <c r="I27" s="31" t="n">
        <f aca="false">IF(D27&gt;0,H27/D27*100,0)</f>
        <v>0</v>
      </c>
      <c r="J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35" t="n">
        <f aca="false">IF(E28&gt;0,F28/E28*100,0)</f>
        <v>0</v>
      </c>
      <c r="H28" s="17"/>
      <c r="I28" s="35" t="n">
        <f aca="false">IF(D28&gt;0,H28/D28*100,0)</f>
        <v>0</v>
      </c>
      <c r="J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31" t="n">
        <f aca="false">IF(E29&gt;0,F29/E29*100,0)</f>
        <v>0</v>
      </c>
      <c r="H29" s="19"/>
      <c r="I29" s="31" t="n">
        <f aca="false">IF(D29&gt;0,H29/D29*100,0)</f>
        <v>0</v>
      </c>
      <c r="J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35" t="n">
        <f aca="false">IF(E30&gt;0,F30/E30*100,0)</f>
        <v>0</v>
      </c>
      <c r="H30" s="17"/>
      <c r="I30" s="35" t="n">
        <f aca="false">IF(D30&gt;0,H30/D30*100,0)</f>
        <v>0</v>
      </c>
      <c r="J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31" t="n">
        <f aca="false">IF(E31&gt;0,F31/E31*100,0)</f>
        <v>0</v>
      </c>
      <c r="H31" s="19"/>
      <c r="I31" s="31" t="n">
        <f aca="false">IF(D31&gt;0,H31/D31*100,0)</f>
        <v>0</v>
      </c>
      <c r="J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35" t="n">
        <f aca="false">IF(E32&gt;0,F32/E32*100,0)</f>
        <v>0</v>
      </c>
      <c r="H32" s="17"/>
      <c r="I32" s="35" t="n">
        <f aca="false">IF(D32&gt;0,H32/D32*100,0)</f>
        <v>0</v>
      </c>
      <c r="J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31" t="n">
        <f aca="false">IF(E33&gt;0,F33/E33*100,0)</f>
        <v>0</v>
      </c>
      <c r="H33" s="19"/>
      <c r="I33" s="31" t="n">
        <f aca="false">IF(D33&gt;0,H33/D33*100,0)</f>
        <v>0</v>
      </c>
      <c r="J33" s="19"/>
    </row>
    <row r="35" customFormat="false" ht="25.5" hidden="false" customHeight="true" outlineLevel="0" collapsed="false">
      <c r="A35" s="44" t="s">
        <v>95</v>
      </c>
      <c r="B35" s="44"/>
      <c r="C35" s="44"/>
      <c r="D35" s="44"/>
      <c r="E35" s="44"/>
      <c r="F35" s="44"/>
      <c r="G35" s="44"/>
      <c r="H35" s="44"/>
      <c r="I35" s="44"/>
      <c r="J35" s="44"/>
    </row>
    <row r="36" customFormat="false" ht="23.85" hidden="false" customHeight="false" outlineLevel="0" collapsed="false">
      <c r="A36" s="45" t="s">
        <v>32</v>
      </c>
      <c r="B36" s="45" t="s">
        <v>96</v>
      </c>
      <c r="C36" s="45" t="s">
        <v>97</v>
      </c>
      <c r="D36" s="45" t="s">
        <v>98</v>
      </c>
      <c r="E36" s="45" t="s">
        <v>99</v>
      </c>
      <c r="F36" s="45" t="s">
        <v>90</v>
      </c>
      <c r="G36" s="45" t="s">
        <v>100</v>
      </c>
      <c r="H36" s="45" t="s">
        <v>101</v>
      </c>
      <c r="I36" s="45" t="s">
        <v>102</v>
      </c>
      <c r="J36" s="45" t="s">
        <v>33</v>
      </c>
    </row>
    <row r="37" customFormat="false" ht="15" hidden="false" customHeight="false" outlineLevel="0" collapsed="false">
      <c r="A37" s="4" t="n">
        <v>1</v>
      </c>
      <c r="B37" s="19"/>
      <c r="C37" s="19"/>
      <c r="D37" s="19"/>
      <c r="E37" s="31" t="n">
        <f aca="false">IF(C37&gt;0,D37/C37*100,0)</f>
        <v>0</v>
      </c>
      <c r="F37" s="19"/>
      <c r="G37" s="19"/>
      <c r="H37" s="31" t="n">
        <f aca="false">IF(F37&gt;0,G37/F37*100,0)</f>
        <v>0</v>
      </c>
      <c r="I37" s="19"/>
      <c r="J37" s="19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35" t="n">
        <f aca="false">IF(C38&gt;0,D38/C38*100,0)</f>
        <v>0</v>
      </c>
      <c r="F38" s="17"/>
      <c r="G38" s="17"/>
      <c r="H38" s="35" t="n">
        <f aca="false">IF(F38&gt;0,G38/F38*100,0)</f>
        <v>0</v>
      </c>
      <c r="I38" s="17"/>
      <c r="J38" s="17"/>
    </row>
    <row r="39" customFormat="false" ht="15" hidden="false" customHeight="false" outlineLevel="0" collapsed="false">
      <c r="A39" s="4" t="n">
        <v>3</v>
      </c>
      <c r="B39" s="19"/>
      <c r="C39" s="19"/>
      <c r="D39" s="19"/>
      <c r="E39" s="31" t="n">
        <f aca="false">IF(C39&gt;0,D39/C39*100,0)</f>
        <v>0</v>
      </c>
      <c r="F39" s="19"/>
      <c r="G39" s="19"/>
      <c r="H39" s="31" t="n">
        <f aca="false">IF(F39&gt;0,G39/F39*100,0)</f>
        <v>0</v>
      </c>
      <c r="I39" s="19"/>
      <c r="J39" s="19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35" t="n">
        <f aca="false">IF(C40&gt;0,D40/C40*100,0)</f>
        <v>0</v>
      </c>
      <c r="F40" s="17"/>
      <c r="G40" s="17"/>
      <c r="H40" s="35" t="n">
        <f aca="false">IF(F40&gt;0,G40/F40*100,0)</f>
        <v>0</v>
      </c>
      <c r="I40" s="17"/>
      <c r="J40" s="17"/>
    </row>
    <row r="41" customFormat="false" ht="15" hidden="false" customHeight="false" outlineLevel="0" collapsed="false">
      <c r="A41" s="4" t="n">
        <v>5</v>
      </c>
      <c r="B41" s="19"/>
      <c r="C41" s="19"/>
      <c r="D41" s="19"/>
      <c r="E41" s="31" t="n">
        <f aca="false">IF(C41&gt;0,D41/C41*100,0)</f>
        <v>0</v>
      </c>
      <c r="F41" s="19"/>
      <c r="G41" s="19"/>
      <c r="H41" s="31" t="n">
        <f aca="false">IF(F41&gt;0,G41/F41*100,0)</f>
        <v>0</v>
      </c>
      <c r="I41" s="19"/>
      <c r="J41" s="19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35" t="n">
        <f aca="false">IF(C42&gt;0,D42/C42*100,0)</f>
        <v>0</v>
      </c>
      <c r="F42" s="17"/>
      <c r="G42" s="17"/>
      <c r="H42" s="35" t="n">
        <f aca="false">IF(F42&gt;0,G42/F42*100,0)</f>
        <v>0</v>
      </c>
      <c r="I42" s="17"/>
      <c r="J42" s="17"/>
    </row>
    <row r="43" customFormat="false" ht="15" hidden="false" customHeight="false" outlineLevel="0" collapsed="false">
      <c r="A43" s="4" t="n">
        <v>7</v>
      </c>
      <c r="B43" s="19"/>
      <c r="C43" s="19"/>
      <c r="D43" s="19"/>
      <c r="E43" s="31" t="n">
        <f aca="false">IF(C43&gt;0,D43/C43*100,0)</f>
        <v>0</v>
      </c>
      <c r="F43" s="19"/>
      <c r="G43" s="19"/>
      <c r="H43" s="31" t="n">
        <f aca="false">IF(F43&gt;0,G43/F43*100,0)</f>
        <v>0</v>
      </c>
      <c r="I43" s="19"/>
      <c r="J43" s="19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35" t="n">
        <f aca="false">IF(C44&gt;0,D44/C44*100,0)</f>
        <v>0</v>
      </c>
      <c r="F44" s="17"/>
      <c r="G44" s="17"/>
      <c r="H44" s="35" t="n">
        <f aca="false">IF(F44&gt;0,G44/F44*100,0)</f>
        <v>0</v>
      </c>
      <c r="I44" s="17"/>
      <c r="J44" s="17"/>
    </row>
    <row r="45" customFormat="false" ht="15" hidden="false" customHeight="false" outlineLevel="0" collapsed="false">
      <c r="A45" s="4" t="n">
        <v>9</v>
      </c>
      <c r="B45" s="19"/>
      <c r="C45" s="19"/>
      <c r="D45" s="19"/>
      <c r="E45" s="31" t="n">
        <f aca="false">IF(C45&gt;0,D45/C45*100,0)</f>
        <v>0</v>
      </c>
      <c r="F45" s="19"/>
      <c r="G45" s="19"/>
      <c r="H45" s="31" t="n">
        <f aca="false">IF(F45&gt;0,G45/F45*100,0)</f>
        <v>0</v>
      </c>
      <c r="I45" s="19"/>
      <c r="J45" s="19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35" t="n">
        <f aca="false">IF(C46&gt;0,D46/C46*100,0)</f>
        <v>0</v>
      </c>
      <c r="F46" s="17"/>
      <c r="G46" s="17"/>
      <c r="H46" s="35" t="n">
        <f aca="false">IF(F46&gt;0,G46/F46*100,0)</f>
        <v>0</v>
      </c>
      <c r="I46" s="17"/>
      <c r="J46" s="17"/>
    </row>
    <row r="47" customFormat="false" ht="15" hidden="false" customHeight="false" outlineLevel="0" collapsed="false">
      <c r="A47" s="4" t="n">
        <v>11</v>
      </c>
      <c r="B47" s="19"/>
      <c r="C47" s="19"/>
      <c r="D47" s="19"/>
      <c r="E47" s="31" t="n">
        <f aca="false">IF(C47&gt;0,D47/C47*100,0)</f>
        <v>0</v>
      </c>
      <c r="F47" s="19"/>
      <c r="G47" s="19"/>
      <c r="H47" s="31" t="n">
        <f aca="false">IF(F47&gt;0,G47/F47*100,0)</f>
        <v>0</v>
      </c>
      <c r="I47" s="19"/>
      <c r="J47" s="19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35" t="n">
        <f aca="false">IF(C48&gt;0,D48/C48*100,0)</f>
        <v>0</v>
      </c>
      <c r="F48" s="17"/>
      <c r="G48" s="17"/>
      <c r="H48" s="35" t="n">
        <f aca="false">IF(F48&gt;0,G48/F48*100,0)</f>
        <v>0</v>
      </c>
      <c r="I48" s="17"/>
      <c r="J48" s="17"/>
    </row>
    <row r="49" customFormat="false" ht="15" hidden="false" customHeight="false" outlineLevel="0" collapsed="false">
      <c r="A49" s="4" t="n">
        <v>13</v>
      </c>
      <c r="B49" s="19"/>
      <c r="C49" s="19"/>
      <c r="D49" s="19"/>
      <c r="E49" s="31" t="n">
        <f aca="false">IF(C49&gt;0,D49/C49*100,0)</f>
        <v>0</v>
      </c>
      <c r="F49" s="19"/>
      <c r="G49" s="19"/>
      <c r="H49" s="31" t="n">
        <f aca="false">IF(F49&gt;0,G49/F49*100,0)</f>
        <v>0</v>
      </c>
      <c r="I49" s="19"/>
      <c r="J49" s="19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35" t="n">
        <f aca="false">IF(C50&gt;0,D50/C50*100,0)</f>
        <v>0</v>
      </c>
      <c r="F50" s="17"/>
      <c r="G50" s="17"/>
      <c r="H50" s="35" t="n">
        <f aca="false">IF(F50&gt;0,G50/F50*100,0)</f>
        <v>0</v>
      </c>
      <c r="I50" s="17"/>
      <c r="J50" s="17"/>
    </row>
    <row r="51" customFormat="false" ht="15" hidden="false" customHeight="false" outlineLevel="0" collapsed="false">
      <c r="A51" s="4" t="n">
        <v>15</v>
      </c>
      <c r="B51" s="19"/>
      <c r="C51" s="19"/>
      <c r="D51" s="19"/>
      <c r="E51" s="31" t="n">
        <f aca="false">IF(C51&gt;0,D51/C51*100,0)</f>
        <v>0</v>
      </c>
      <c r="F51" s="19"/>
      <c r="G51" s="19"/>
      <c r="H51" s="31" t="n">
        <f aca="false">IF(F51&gt;0,G51/F51*100,0)</f>
        <v>0</v>
      </c>
      <c r="I51" s="19"/>
      <c r="J51" s="19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35" t="n">
        <f aca="false">IF(C52&gt;0,D52/C52*100,0)</f>
        <v>0</v>
      </c>
      <c r="F52" s="17"/>
      <c r="G52" s="17"/>
      <c r="H52" s="35" t="n">
        <f aca="false">IF(F52&gt;0,G52/F52*100,0)</f>
        <v>0</v>
      </c>
      <c r="I52" s="17"/>
      <c r="J52" s="17"/>
    </row>
    <row r="53" customFormat="false" ht="15" hidden="false" customHeight="false" outlineLevel="0" collapsed="false">
      <c r="A53" s="4" t="n">
        <v>17</v>
      </c>
      <c r="B53" s="19"/>
      <c r="C53" s="19"/>
      <c r="D53" s="19"/>
      <c r="E53" s="31" t="n">
        <f aca="false">IF(C53&gt;0,D53/C53*100,0)</f>
        <v>0</v>
      </c>
      <c r="F53" s="19"/>
      <c r="G53" s="19"/>
      <c r="H53" s="31" t="n">
        <f aca="false">IF(F53&gt;0,G53/F53*100,0)</f>
        <v>0</v>
      </c>
      <c r="I53" s="19"/>
      <c r="J53" s="19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35" t="n">
        <f aca="false">IF(C54&gt;0,D54/C54*100,0)</f>
        <v>0</v>
      </c>
      <c r="F54" s="17"/>
      <c r="G54" s="17"/>
      <c r="H54" s="35" t="n">
        <f aca="false">IF(F54&gt;0,G54/F54*100,0)</f>
        <v>0</v>
      </c>
      <c r="I54" s="17"/>
      <c r="J54" s="17"/>
    </row>
    <row r="55" customFormat="false" ht="15" hidden="false" customHeight="false" outlineLevel="0" collapsed="false">
      <c r="A55" s="4" t="n">
        <v>19</v>
      </c>
      <c r="B55" s="19"/>
      <c r="C55" s="19"/>
      <c r="D55" s="19"/>
      <c r="E55" s="31" t="n">
        <f aca="false">IF(C55&gt;0,D55/C55*100,0)</f>
        <v>0</v>
      </c>
      <c r="F55" s="19"/>
      <c r="G55" s="19"/>
      <c r="H55" s="31" t="n">
        <f aca="false">IF(F55&gt;0,G55/F55*100,0)</f>
        <v>0</v>
      </c>
      <c r="I55" s="19"/>
      <c r="J55" s="19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35" t="n">
        <f aca="false">IF(C56&gt;0,D56/C56*100,0)</f>
        <v>0</v>
      </c>
      <c r="F56" s="17"/>
      <c r="G56" s="17"/>
      <c r="H56" s="35" t="n">
        <f aca="false">IF(F56&gt;0,G56/F56*100,0)</f>
        <v>0</v>
      </c>
      <c r="I56" s="17"/>
      <c r="J56" s="17"/>
    </row>
    <row r="57" customFormat="false" ht="15" hidden="false" customHeight="false" outlineLevel="0" collapsed="false">
      <c r="A57" s="4" t="n">
        <v>21</v>
      </c>
      <c r="B57" s="19"/>
      <c r="C57" s="19"/>
      <c r="D57" s="19"/>
      <c r="E57" s="31" t="n">
        <f aca="false">IF(C57&gt;0,D57/C57*100,0)</f>
        <v>0</v>
      </c>
      <c r="F57" s="19"/>
      <c r="G57" s="19"/>
      <c r="H57" s="31" t="n">
        <f aca="false">IF(F57&gt;0,G57/F57*100,0)</f>
        <v>0</v>
      </c>
      <c r="I57" s="19"/>
      <c r="J57" s="19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35" t="n">
        <f aca="false">IF(C58&gt;0,D58/C58*100,0)</f>
        <v>0</v>
      </c>
      <c r="F58" s="17"/>
      <c r="G58" s="17"/>
      <c r="H58" s="35" t="n">
        <f aca="false">IF(F58&gt;0,G58/F58*100,0)</f>
        <v>0</v>
      </c>
      <c r="I58" s="17"/>
      <c r="J58" s="17"/>
    </row>
    <row r="59" customFormat="false" ht="15" hidden="false" customHeight="false" outlineLevel="0" collapsed="false">
      <c r="A59" s="4" t="n">
        <v>23</v>
      </c>
      <c r="B59" s="19"/>
      <c r="C59" s="19"/>
      <c r="D59" s="19"/>
      <c r="E59" s="31" t="n">
        <f aca="false">IF(C59&gt;0,D59/C59*100,0)</f>
        <v>0</v>
      </c>
      <c r="F59" s="19"/>
      <c r="G59" s="19"/>
      <c r="H59" s="31" t="n">
        <f aca="false">IF(F59&gt;0,G59/F59*100,0)</f>
        <v>0</v>
      </c>
      <c r="I59" s="19"/>
      <c r="J59" s="19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35" t="n">
        <f aca="false">IF(C60&gt;0,D60/C60*100,0)</f>
        <v>0</v>
      </c>
      <c r="F60" s="17"/>
      <c r="G60" s="17"/>
      <c r="H60" s="35" t="n">
        <f aca="false">IF(F60&gt;0,G60/F60*100,0)</f>
        <v>0</v>
      </c>
      <c r="I60" s="17"/>
      <c r="J60" s="17"/>
    </row>
    <row r="61" customFormat="false" ht="15" hidden="false" customHeight="false" outlineLevel="0" collapsed="false">
      <c r="A61" s="4" t="n">
        <v>25</v>
      </c>
      <c r="B61" s="19"/>
      <c r="C61" s="19"/>
      <c r="D61" s="19"/>
      <c r="E61" s="31" t="n">
        <f aca="false">IF(C61&gt;0,D61/C61*100,0)</f>
        <v>0</v>
      </c>
      <c r="F61" s="19"/>
      <c r="G61" s="19"/>
      <c r="H61" s="31" t="n">
        <f aca="false">IF(F61&gt;0,G61/F61*100,0)</f>
        <v>0</v>
      </c>
      <c r="I61" s="19"/>
      <c r="J61" s="19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35" t="n">
        <f aca="false">IF(C62&gt;0,D62/C62*100,0)</f>
        <v>0</v>
      </c>
      <c r="F62" s="17"/>
      <c r="G62" s="17"/>
      <c r="H62" s="35" t="n">
        <f aca="false">IF(F62&gt;0,G62/F62*100,0)</f>
        <v>0</v>
      </c>
      <c r="I62" s="17"/>
      <c r="J62" s="17"/>
    </row>
    <row r="63" customFormat="false" ht="15" hidden="false" customHeight="false" outlineLevel="0" collapsed="false">
      <c r="A63" s="4" t="n">
        <v>27</v>
      </c>
      <c r="B63" s="19"/>
      <c r="C63" s="19"/>
      <c r="D63" s="19"/>
      <c r="E63" s="31" t="n">
        <f aca="false">IF(C63&gt;0,D63/C63*100,0)</f>
        <v>0</v>
      </c>
      <c r="F63" s="19"/>
      <c r="G63" s="19"/>
      <c r="H63" s="31" t="n">
        <f aca="false">IF(F63&gt;0,G63/F63*100,0)</f>
        <v>0</v>
      </c>
      <c r="I63" s="19"/>
      <c r="J63" s="19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35" t="n">
        <f aca="false">IF(C64&gt;0,D64/C64*100,0)</f>
        <v>0</v>
      </c>
      <c r="F64" s="17"/>
      <c r="G64" s="17"/>
      <c r="H64" s="35" t="n">
        <f aca="false">IF(F64&gt;0,G64/F64*100,0)</f>
        <v>0</v>
      </c>
      <c r="I64" s="17"/>
      <c r="J64" s="17"/>
    </row>
    <row r="65" customFormat="false" ht="15" hidden="false" customHeight="false" outlineLevel="0" collapsed="false">
      <c r="A65" s="4" t="n">
        <v>29</v>
      </c>
      <c r="B65" s="19"/>
      <c r="C65" s="19"/>
      <c r="D65" s="19"/>
      <c r="E65" s="31" t="n">
        <f aca="false">IF(C65&gt;0,D65/C65*100,0)</f>
        <v>0</v>
      </c>
      <c r="F65" s="19"/>
      <c r="G65" s="19"/>
      <c r="H65" s="31" t="n">
        <f aca="false">IF(F65&gt;0,G65/F65*100,0)</f>
        <v>0</v>
      </c>
      <c r="I65" s="19"/>
      <c r="J65" s="19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35" t="n">
        <f aca="false">IF(C66&gt;0,D66/C66*100,0)</f>
        <v>0</v>
      </c>
      <c r="F66" s="17"/>
      <c r="G66" s="17"/>
      <c r="H66" s="35" t="n">
        <f aca="false">IF(F66&gt;0,G66/F66*100,0)</f>
        <v>0</v>
      </c>
      <c r="I66" s="17"/>
      <c r="J66" s="17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7" min="4" style="0" width="18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6" t="s">
        <v>103</v>
      </c>
      <c r="B1" s="46"/>
      <c r="C1" s="46"/>
      <c r="D1" s="46"/>
      <c r="E1" s="46"/>
      <c r="F1" s="46"/>
      <c r="G1" s="46"/>
      <c r="H1" s="46"/>
      <c r="I1" s="46"/>
    </row>
    <row r="2" customFormat="false" ht="25.5" hidden="false" customHeight="true" outlineLevel="0" collapsed="false">
      <c r="A2" s="44" t="s">
        <v>104</v>
      </c>
      <c r="B2" s="44"/>
      <c r="C2" s="44"/>
      <c r="D2" s="44"/>
      <c r="E2" s="44"/>
      <c r="F2" s="44"/>
      <c r="G2" s="44"/>
      <c r="H2" s="44"/>
      <c r="I2" s="44"/>
    </row>
    <row r="3" customFormat="false" ht="23.85" hidden="false" customHeight="false" outlineLevel="0" collapsed="false">
      <c r="A3" s="45" t="s">
        <v>32</v>
      </c>
      <c r="B3" s="45" t="s">
        <v>33</v>
      </c>
      <c r="C3" s="45" t="s">
        <v>34</v>
      </c>
      <c r="D3" s="45" t="s">
        <v>105</v>
      </c>
      <c r="E3" s="45" t="s">
        <v>106</v>
      </c>
      <c r="F3" s="45" t="s">
        <v>107</v>
      </c>
      <c r="G3" s="45" t="s">
        <v>108</v>
      </c>
      <c r="H3" s="45" t="s">
        <v>109</v>
      </c>
      <c r="I3" s="45" t="s">
        <v>110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47" t="n">
        <f aca="false">'2. Funding by Source'!K37</f>
        <v>-0</v>
      </c>
      <c r="F4" s="47" t="n">
        <f aca="false">IF(D4&gt;1,LOG(D4,2),0)</f>
        <v>0</v>
      </c>
      <c r="G4" s="47" t="n">
        <f aca="false">IFERROR(IF(F4&gt;0,E4/F4,0),0)</f>
        <v>0</v>
      </c>
      <c r="H4" s="36" t="n">
        <f aca="false">IFERROR(IF(MAX($E$4:$E$33)&gt;0,E4/MAX($E$4:$E$33)*100,0),0)</f>
        <v>0</v>
      </c>
      <c r="I4" s="11" t="str">
        <f aca="false">IF(H4&gt;=80,"Very High",IF(H4&gt;=60,"High",IF(H4&gt;=40,"Medium",IF(H4&gt;=20,"Low","Very Low"))))</f>
        <v>Very Low</v>
      </c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48" t="n">
        <f aca="false">'2. Funding by Source'!K38</f>
        <v>-0</v>
      </c>
      <c r="F5" s="48" t="n">
        <f aca="false">IF(D5&gt;1,LOG(D5,2),0)</f>
        <v>0</v>
      </c>
      <c r="G5" s="48" t="n">
        <f aca="false">IFERROR(IF(F5&gt;0,E5/F5,0),0)</f>
        <v>0</v>
      </c>
      <c r="H5" s="32" t="n">
        <f aca="false">IFERROR(IF(MAX($E$4:$E$33)&gt;0,E5/MAX($E$4:$E$33)*100,0),0)</f>
        <v>0</v>
      </c>
      <c r="I5" s="7" t="str">
        <f aca="false">IF(H5&gt;=80,"Very High",IF(H5&gt;=60,"High",IF(H5&gt;=40,"Medium",IF(H5&gt;=20,"Low","Very Low"))))</f>
        <v>Very Low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47" t="n">
        <f aca="false">'2. Funding by Source'!K39</f>
        <v>-0</v>
      </c>
      <c r="F6" s="47" t="n">
        <f aca="false">IF(D6&gt;1,LOG(D6,2),0)</f>
        <v>0</v>
      </c>
      <c r="G6" s="47" t="n">
        <f aca="false">IFERROR(IF(F6&gt;0,E6/F6,0),0)</f>
        <v>0</v>
      </c>
      <c r="H6" s="36" t="n">
        <f aca="false">IFERROR(IF(MAX($E$4:$E$33)&gt;0,E6/MAX($E$4:$E$33)*100,0),0)</f>
        <v>0</v>
      </c>
      <c r="I6" s="11" t="str">
        <f aca="false">IF(H6&gt;=80,"Very High",IF(H6&gt;=60,"High",IF(H6&gt;=40,"Medium",IF(H6&gt;=20,"Low","Very Low"))))</f>
        <v>Very Low</v>
      </c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48" t="n">
        <f aca="false">'2. Funding by Source'!K40</f>
        <v>-0</v>
      </c>
      <c r="F7" s="48" t="n">
        <f aca="false">IF(D7&gt;1,LOG(D7,2),0)</f>
        <v>0</v>
      </c>
      <c r="G7" s="48" t="n">
        <f aca="false">IFERROR(IF(F7&gt;0,E7/F7,0),0)</f>
        <v>0</v>
      </c>
      <c r="H7" s="32" t="n">
        <f aca="false">IFERROR(IF(MAX($E$4:$E$33)&gt;0,E7/MAX($E$4:$E$33)*100,0),0)</f>
        <v>0</v>
      </c>
      <c r="I7" s="7" t="str">
        <f aca="false">IF(H7&gt;=80,"Very High",IF(H7&gt;=60,"High",IF(H7&gt;=40,"Medium",IF(H7&gt;=20,"Low","Very Low"))))</f>
        <v>Very Low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47" t="n">
        <f aca="false">'2. Funding by Source'!K41</f>
        <v>-0</v>
      </c>
      <c r="F8" s="47" t="n">
        <f aca="false">IF(D8&gt;1,LOG(D8,2),0)</f>
        <v>0</v>
      </c>
      <c r="G8" s="47" t="n">
        <f aca="false">IFERROR(IF(F8&gt;0,E8/F8,0),0)</f>
        <v>0</v>
      </c>
      <c r="H8" s="36" t="n">
        <f aca="false">IFERROR(IF(MAX($E$4:$E$33)&gt;0,E8/MAX($E$4:$E$33)*100,0),0)</f>
        <v>0</v>
      </c>
      <c r="I8" s="11" t="str">
        <f aca="false">IF(H8&gt;=80,"Very High",IF(H8&gt;=60,"High",IF(H8&gt;=40,"Medium",IF(H8&gt;=20,"Low","Very Low"))))</f>
        <v>Very Low</v>
      </c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48" t="n">
        <f aca="false">'2. Funding by Source'!K42</f>
        <v>-0</v>
      </c>
      <c r="F9" s="48" t="n">
        <f aca="false">IF(D9&gt;1,LOG(D9,2),0)</f>
        <v>0</v>
      </c>
      <c r="G9" s="48" t="n">
        <f aca="false">IFERROR(IF(F9&gt;0,E9/F9,0),0)</f>
        <v>0</v>
      </c>
      <c r="H9" s="32" t="n">
        <f aca="false">IFERROR(IF(MAX($E$4:$E$33)&gt;0,E9/MAX($E$4:$E$33)*100,0),0)</f>
        <v>0</v>
      </c>
      <c r="I9" s="7" t="str">
        <f aca="false">IF(H9&gt;=80,"Very High",IF(H9&gt;=60,"High",IF(H9&gt;=40,"Medium",IF(H9&gt;=20,"Low","Very Low"))))</f>
        <v>Very Low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47" t="n">
        <f aca="false">'2. Funding by Source'!K43</f>
        <v>-0</v>
      </c>
      <c r="F10" s="47" t="n">
        <f aca="false">IF(D10&gt;1,LOG(D10,2),0)</f>
        <v>0</v>
      </c>
      <c r="G10" s="47" t="n">
        <f aca="false">IFERROR(IF(F10&gt;0,E10/F10,0),0)</f>
        <v>0</v>
      </c>
      <c r="H10" s="36" t="n">
        <f aca="false">IFERROR(IF(MAX($E$4:$E$33)&gt;0,E10/MAX($E$4:$E$33)*100,0),0)</f>
        <v>0</v>
      </c>
      <c r="I10" s="11" t="str">
        <f aca="false">IF(H10&gt;=80,"Very High",IF(H10&gt;=60,"High",IF(H10&gt;=40,"Medium",IF(H10&gt;=20,"Low","Very Low"))))</f>
        <v>Very Low</v>
      </c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48" t="n">
        <f aca="false">'2. Funding by Source'!K44</f>
        <v>-0</v>
      </c>
      <c r="F11" s="48" t="n">
        <f aca="false">IF(D11&gt;1,LOG(D11,2),0)</f>
        <v>0</v>
      </c>
      <c r="G11" s="48" t="n">
        <f aca="false">IFERROR(IF(F11&gt;0,E11/F11,0),0)</f>
        <v>0</v>
      </c>
      <c r="H11" s="32" t="n">
        <f aca="false">IFERROR(IF(MAX($E$4:$E$33)&gt;0,E11/MAX($E$4:$E$33)*100,0),0)</f>
        <v>0</v>
      </c>
      <c r="I11" s="7" t="str">
        <f aca="false">IF(H11&gt;=80,"Very High",IF(H11&gt;=60,"High",IF(H11&gt;=40,"Medium",IF(H11&gt;=20,"Low","Very Low"))))</f>
        <v>Very Low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47" t="n">
        <f aca="false">'2. Funding by Source'!K45</f>
        <v>-0</v>
      </c>
      <c r="F12" s="47" t="n">
        <f aca="false">IF(D12&gt;1,LOG(D12,2),0)</f>
        <v>0</v>
      </c>
      <c r="G12" s="47" t="n">
        <f aca="false">IFERROR(IF(F12&gt;0,E12/F12,0),0)</f>
        <v>0</v>
      </c>
      <c r="H12" s="36" t="n">
        <f aca="false">IFERROR(IF(MAX($E$4:$E$33)&gt;0,E12/MAX($E$4:$E$33)*100,0),0)</f>
        <v>0</v>
      </c>
      <c r="I12" s="11" t="str">
        <f aca="false">IF(H12&gt;=80,"Very High",IF(H12&gt;=60,"High",IF(H12&gt;=40,"Medium",IF(H12&gt;=20,"Low","Very Low"))))</f>
        <v>Very Low</v>
      </c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48" t="n">
        <f aca="false">'2. Funding by Source'!K46</f>
        <v>-0</v>
      </c>
      <c r="F13" s="48" t="n">
        <f aca="false">IF(D13&gt;1,LOG(D13,2),0)</f>
        <v>0</v>
      </c>
      <c r="G13" s="48" t="n">
        <f aca="false">IFERROR(IF(F13&gt;0,E13/F13,0),0)</f>
        <v>0</v>
      </c>
      <c r="H13" s="32" t="n">
        <f aca="false">IFERROR(IF(MAX($E$4:$E$33)&gt;0,E13/MAX($E$4:$E$33)*100,0),0)</f>
        <v>0</v>
      </c>
      <c r="I13" s="7" t="str">
        <f aca="false">IF(H13&gt;=80,"Very High",IF(H13&gt;=60,"High",IF(H13&gt;=40,"Medium",IF(H13&gt;=20,"Low","Very Low"))))</f>
        <v>Very Low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47" t="n">
        <f aca="false">'2. Funding by Source'!K47</f>
        <v>-0</v>
      </c>
      <c r="F14" s="47" t="n">
        <f aca="false">IF(D14&gt;1,LOG(D14,2),0)</f>
        <v>0</v>
      </c>
      <c r="G14" s="47" t="n">
        <f aca="false">IFERROR(IF(F14&gt;0,E14/F14,0),0)</f>
        <v>0</v>
      </c>
      <c r="H14" s="36" t="n">
        <f aca="false">IFERROR(IF(MAX($E$4:$E$33)&gt;0,E14/MAX($E$4:$E$33)*100,0),0)</f>
        <v>0</v>
      </c>
      <c r="I14" s="11" t="str">
        <f aca="false">IF(H14&gt;=80,"Very High",IF(H14&gt;=60,"High",IF(H14&gt;=40,"Medium",IF(H14&gt;=20,"Low","Very Low"))))</f>
        <v>Very Low</v>
      </c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48" t="n">
        <f aca="false">'2. Funding by Source'!K48</f>
        <v>-0</v>
      </c>
      <c r="F15" s="48" t="n">
        <f aca="false">IF(D15&gt;1,LOG(D15,2),0)</f>
        <v>0</v>
      </c>
      <c r="G15" s="48" t="n">
        <f aca="false">IFERROR(IF(F15&gt;0,E15/F15,0),0)</f>
        <v>0</v>
      </c>
      <c r="H15" s="32" t="n">
        <f aca="false">IFERROR(IF(MAX($E$4:$E$33)&gt;0,E15/MAX($E$4:$E$33)*100,0),0)</f>
        <v>0</v>
      </c>
      <c r="I15" s="7" t="str">
        <f aca="false">IF(H15&gt;=80,"Very High",IF(H15&gt;=60,"High",IF(H15&gt;=40,"Medium",IF(H15&gt;=20,"Low","Very Low"))))</f>
        <v>Very Low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47" t="n">
        <f aca="false">'2. Funding by Source'!K49</f>
        <v>-0</v>
      </c>
      <c r="F16" s="47" t="n">
        <f aca="false">IF(D16&gt;1,LOG(D16,2),0)</f>
        <v>0</v>
      </c>
      <c r="G16" s="47" t="n">
        <f aca="false">IFERROR(IF(F16&gt;0,E16/F16,0),0)</f>
        <v>0</v>
      </c>
      <c r="H16" s="36" t="n">
        <f aca="false">IFERROR(IF(MAX($E$4:$E$33)&gt;0,E16/MAX($E$4:$E$33)*100,0),0)</f>
        <v>0</v>
      </c>
      <c r="I16" s="11" t="str">
        <f aca="false">IF(H16&gt;=80,"Very High",IF(H16&gt;=60,"High",IF(H16&gt;=40,"Medium",IF(H16&gt;=20,"Low","Very Low"))))</f>
        <v>Very Low</v>
      </c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48" t="n">
        <f aca="false">'2. Funding by Source'!K50</f>
        <v>-0</v>
      </c>
      <c r="F17" s="48" t="n">
        <f aca="false">IF(D17&gt;1,LOG(D17,2),0)</f>
        <v>0</v>
      </c>
      <c r="G17" s="48" t="n">
        <f aca="false">IFERROR(IF(F17&gt;0,E17/F17,0),0)</f>
        <v>0</v>
      </c>
      <c r="H17" s="32" t="n">
        <f aca="false">IFERROR(IF(MAX($E$4:$E$33)&gt;0,E17/MAX($E$4:$E$33)*100,0),0)</f>
        <v>0</v>
      </c>
      <c r="I17" s="7" t="str">
        <f aca="false">IF(H17&gt;=80,"Very High",IF(H17&gt;=60,"High",IF(H17&gt;=40,"Medium",IF(H17&gt;=20,"Low","Very Low"))))</f>
        <v>Very Low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47" t="n">
        <f aca="false">'2. Funding by Source'!K51</f>
        <v>-0</v>
      </c>
      <c r="F18" s="47" t="n">
        <f aca="false">IF(D18&gt;1,LOG(D18,2),0)</f>
        <v>0</v>
      </c>
      <c r="G18" s="47" t="n">
        <f aca="false">IFERROR(IF(F18&gt;0,E18/F18,0),0)</f>
        <v>0</v>
      </c>
      <c r="H18" s="36" t="n">
        <f aca="false">IFERROR(IF(MAX($E$4:$E$33)&gt;0,E18/MAX($E$4:$E$33)*100,0),0)</f>
        <v>0</v>
      </c>
      <c r="I18" s="11" t="str">
        <f aca="false">IF(H18&gt;=80,"Very High",IF(H18&gt;=60,"High",IF(H18&gt;=40,"Medium",IF(H18&gt;=20,"Low","Very Low"))))</f>
        <v>Very Low</v>
      </c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48" t="n">
        <f aca="false">'2. Funding by Source'!K52</f>
        <v>-0</v>
      </c>
      <c r="F19" s="48" t="n">
        <f aca="false">IF(D19&gt;1,LOG(D19,2),0)</f>
        <v>0</v>
      </c>
      <c r="G19" s="48" t="n">
        <f aca="false">IFERROR(IF(F19&gt;0,E19/F19,0),0)</f>
        <v>0</v>
      </c>
      <c r="H19" s="32" t="n">
        <f aca="false">IFERROR(IF(MAX($E$4:$E$33)&gt;0,E19/MAX($E$4:$E$33)*100,0),0)</f>
        <v>0</v>
      </c>
      <c r="I19" s="7" t="str">
        <f aca="false">IF(H19&gt;=80,"Very High",IF(H19&gt;=60,"High",IF(H19&gt;=40,"Medium",IF(H19&gt;=20,"Low","Very Low"))))</f>
        <v>Very Low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47" t="n">
        <f aca="false">'2. Funding by Source'!K53</f>
        <v>-0</v>
      </c>
      <c r="F20" s="47" t="n">
        <f aca="false">IF(D20&gt;1,LOG(D20,2),0)</f>
        <v>0</v>
      </c>
      <c r="G20" s="47" t="n">
        <f aca="false">IFERROR(IF(F20&gt;0,E20/F20,0),0)</f>
        <v>0</v>
      </c>
      <c r="H20" s="36" t="n">
        <f aca="false">IFERROR(IF(MAX($E$4:$E$33)&gt;0,E20/MAX($E$4:$E$33)*100,0),0)</f>
        <v>0</v>
      </c>
      <c r="I20" s="11" t="str">
        <f aca="false">IF(H20&gt;=80,"Very High",IF(H20&gt;=60,"High",IF(H20&gt;=40,"Medium",IF(H20&gt;=20,"Low","Very Low"))))</f>
        <v>Very Low</v>
      </c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48" t="n">
        <f aca="false">'2. Funding by Source'!K54</f>
        <v>-0</v>
      </c>
      <c r="F21" s="48" t="n">
        <f aca="false">IF(D21&gt;1,LOG(D21,2),0)</f>
        <v>0</v>
      </c>
      <c r="G21" s="48" t="n">
        <f aca="false">IFERROR(IF(F21&gt;0,E21/F21,0),0)</f>
        <v>0</v>
      </c>
      <c r="H21" s="32" t="n">
        <f aca="false">IFERROR(IF(MAX($E$4:$E$33)&gt;0,E21/MAX($E$4:$E$33)*100,0),0)</f>
        <v>0</v>
      </c>
      <c r="I21" s="7" t="str">
        <f aca="false">IF(H21&gt;=80,"Very High",IF(H21&gt;=60,"High",IF(H21&gt;=40,"Medium",IF(H21&gt;=20,"Low","Very Low"))))</f>
        <v>Very Low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47" t="n">
        <f aca="false">'2. Funding by Source'!K55</f>
        <v>-0</v>
      </c>
      <c r="F22" s="47" t="n">
        <f aca="false">IF(D22&gt;1,LOG(D22,2),0)</f>
        <v>0</v>
      </c>
      <c r="G22" s="47" t="n">
        <f aca="false">IFERROR(IF(F22&gt;0,E22/F22,0),0)</f>
        <v>0</v>
      </c>
      <c r="H22" s="36" t="n">
        <f aca="false">IFERROR(IF(MAX($E$4:$E$33)&gt;0,E22/MAX($E$4:$E$33)*100,0),0)</f>
        <v>0</v>
      </c>
      <c r="I22" s="11" t="str">
        <f aca="false">IF(H22&gt;=80,"Very High",IF(H22&gt;=60,"High",IF(H22&gt;=40,"Medium",IF(H22&gt;=20,"Low","Very Low"))))</f>
        <v>Very Low</v>
      </c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48" t="n">
        <f aca="false">'2. Funding by Source'!K56</f>
        <v>-0</v>
      </c>
      <c r="F23" s="48" t="n">
        <f aca="false">IF(D23&gt;1,LOG(D23,2),0)</f>
        <v>0</v>
      </c>
      <c r="G23" s="48" t="n">
        <f aca="false">IFERROR(IF(F23&gt;0,E23/F23,0),0)</f>
        <v>0</v>
      </c>
      <c r="H23" s="32" t="n">
        <f aca="false">IFERROR(IF(MAX($E$4:$E$33)&gt;0,E23/MAX($E$4:$E$33)*100,0),0)</f>
        <v>0</v>
      </c>
      <c r="I23" s="7" t="str">
        <f aca="false">IF(H23&gt;=80,"Very High",IF(H23&gt;=60,"High",IF(H23&gt;=40,"Medium",IF(H23&gt;=20,"Low","Very Low"))))</f>
        <v>Very Low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47" t="n">
        <f aca="false">'2. Funding by Source'!K57</f>
        <v>-0</v>
      </c>
      <c r="F24" s="47" t="n">
        <f aca="false">IF(D24&gt;1,LOG(D24,2),0)</f>
        <v>0</v>
      </c>
      <c r="G24" s="47" t="n">
        <f aca="false">IFERROR(IF(F24&gt;0,E24/F24,0),0)</f>
        <v>0</v>
      </c>
      <c r="H24" s="36" t="n">
        <f aca="false">IFERROR(IF(MAX($E$4:$E$33)&gt;0,E24/MAX($E$4:$E$33)*100,0),0)</f>
        <v>0</v>
      </c>
      <c r="I24" s="11" t="str">
        <f aca="false">IF(H24&gt;=80,"Very High",IF(H24&gt;=60,"High",IF(H24&gt;=40,"Medium",IF(H24&gt;=20,"Low","Very Low"))))</f>
        <v>Very Low</v>
      </c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48" t="n">
        <f aca="false">'2. Funding by Source'!K58</f>
        <v>-0</v>
      </c>
      <c r="F25" s="48" t="n">
        <f aca="false">IF(D25&gt;1,LOG(D25,2),0)</f>
        <v>0</v>
      </c>
      <c r="G25" s="48" t="n">
        <f aca="false">IFERROR(IF(F25&gt;0,E25/F25,0),0)</f>
        <v>0</v>
      </c>
      <c r="H25" s="32" t="n">
        <f aca="false">IFERROR(IF(MAX($E$4:$E$33)&gt;0,E25/MAX($E$4:$E$33)*100,0),0)</f>
        <v>0</v>
      </c>
      <c r="I25" s="7" t="str">
        <f aca="false">IF(H25&gt;=80,"Very High",IF(H25&gt;=60,"High",IF(H25&gt;=40,"Medium",IF(H25&gt;=20,"Low","Very Low"))))</f>
        <v>Very Low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47" t="n">
        <f aca="false">'2. Funding by Source'!K59</f>
        <v>-0</v>
      </c>
      <c r="F26" s="47" t="n">
        <f aca="false">IF(D26&gt;1,LOG(D26,2),0)</f>
        <v>0</v>
      </c>
      <c r="G26" s="47" t="n">
        <f aca="false">IFERROR(IF(F26&gt;0,E26/F26,0),0)</f>
        <v>0</v>
      </c>
      <c r="H26" s="36" t="n">
        <f aca="false">IFERROR(IF(MAX($E$4:$E$33)&gt;0,E26/MAX($E$4:$E$33)*100,0),0)</f>
        <v>0</v>
      </c>
      <c r="I26" s="11" t="str">
        <f aca="false">IF(H26&gt;=80,"Very High",IF(H26&gt;=60,"High",IF(H26&gt;=40,"Medium",IF(H26&gt;=20,"Low","Very Low"))))</f>
        <v>Very Low</v>
      </c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48" t="n">
        <f aca="false">'2. Funding by Source'!K60</f>
        <v>-0</v>
      </c>
      <c r="F27" s="48" t="n">
        <f aca="false">IF(D27&gt;1,LOG(D27,2),0)</f>
        <v>0</v>
      </c>
      <c r="G27" s="48" t="n">
        <f aca="false">IFERROR(IF(F27&gt;0,E27/F27,0),0)</f>
        <v>0</v>
      </c>
      <c r="H27" s="32" t="n">
        <f aca="false">IFERROR(IF(MAX($E$4:$E$33)&gt;0,E27/MAX($E$4:$E$33)*100,0),0)</f>
        <v>0</v>
      </c>
      <c r="I27" s="7" t="str">
        <f aca="false">IF(H27&gt;=80,"Very High",IF(H27&gt;=60,"High",IF(H27&gt;=40,"Medium",IF(H27&gt;=20,"Low","Very Low"))))</f>
        <v>Very Low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47" t="n">
        <f aca="false">'2. Funding by Source'!K61</f>
        <v>-0</v>
      </c>
      <c r="F28" s="47" t="n">
        <f aca="false">IF(D28&gt;1,LOG(D28,2),0)</f>
        <v>0</v>
      </c>
      <c r="G28" s="47" t="n">
        <f aca="false">IFERROR(IF(F28&gt;0,E28/F28,0),0)</f>
        <v>0</v>
      </c>
      <c r="H28" s="36" t="n">
        <f aca="false">IFERROR(IF(MAX($E$4:$E$33)&gt;0,E28/MAX($E$4:$E$33)*100,0),0)</f>
        <v>0</v>
      </c>
      <c r="I28" s="11" t="str">
        <f aca="false">IF(H28&gt;=80,"Very High",IF(H28&gt;=60,"High",IF(H28&gt;=40,"Medium",IF(H28&gt;=20,"Low","Very Low"))))</f>
        <v>Very Low</v>
      </c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48" t="n">
        <f aca="false">'2. Funding by Source'!K62</f>
        <v>-0</v>
      </c>
      <c r="F29" s="48" t="n">
        <f aca="false">IF(D29&gt;1,LOG(D29,2),0)</f>
        <v>0</v>
      </c>
      <c r="G29" s="48" t="n">
        <f aca="false">IFERROR(IF(F29&gt;0,E29/F29,0),0)</f>
        <v>0</v>
      </c>
      <c r="H29" s="32" t="n">
        <f aca="false">IFERROR(IF(MAX($E$4:$E$33)&gt;0,E29/MAX($E$4:$E$33)*100,0),0)</f>
        <v>0</v>
      </c>
      <c r="I29" s="7" t="str">
        <f aca="false">IF(H29&gt;=80,"Very High",IF(H29&gt;=60,"High",IF(H29&gt;=40,"Medium",IF(H29&gt;=20,"Low","Very Low"))))</f>
        <v>Very Low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47" t="n">
        <f aca="false">'2. Funding by Source'!K63</f>
        <v>-0</v>
      </c>
      <c r="F30" s="47" t="n">
        <f aca="false">IF(D30&gt;1,LOG(D30,2),0)</f>
        <v>0</v>
      </c>
      <c r="G30" s="47" t="n">
        <f aca="false">IFERROR(IF(F30&gt;0,E30/F30,0),0)</f>
        <v>0</v>
      </c>
      <c r="H30" s="36" t="n">
        <f aca="false">IFERROR(IF(MAX($E$4:$E$33)&gt;0,E30/MAX($E$4:$E$33)*100,0),0)</f>
        <v>0</v>
      </c>
      <c r="I30" s="11" t="str">
        <f aca="false">IF(H30&gt;=80,"Very High",IF(H30&gt;=60,"High",IF(H30&gt;=40,"Medium",IF(H30&gt;=20,"Low","Very Low"))))</f>
        <v>Very Low</v>
      </c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48" t="n">
        <f aca="false">'2. Funding by Source'!K64</f>
        <v>-0</v>
      </c>
      <c r="F31" s="48" t="n">
        <f aca="false">IF(D31&gt;1,LOG(D31,2),0)</f>
        <v>0</v>
      </c>
      <c r="G31" s="48" t="n">
        <f aca="false">IFERROR(IF(F31&gt;0,E31/F31,0),0)</f>
        <v>0</v>
      </c>
      <c r="H31" s="32" t="n">
        <f aca="false">IFERROR(IF(MAX($E$4:$E$33)&gt;0,E31/MAX($E$4:$E$33)*100,0),0)</f>
        <v>0</v>
      </c>
      <c r="I31" s="7" t="str">
        <f aca="false">IF(H31&gt;=80,"Very High",IF(H31&gt;=60,"High",IF(H31&gt;=40,"Medium",IF(H31&gt;=20,"Low","Very Low"))))</f>
        <v>Very Low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47" t="n">
        <f aca="false">'2. Funding by Source'!K65</f>
        <v>-0</v>
      </c>
      <c r="F32" s="47" t="n">
        <f aca="false">IF(D32&gt;1,LOG(D32,2),0)</f>
        <v>0</v>
      </c>
      <c r="G32" s="47" t="n">
        <f aca="false">IFERROR(IF(F32&gt;0,E32/F32,0),0)</f>
        <v>0</v>
      </c>
      <c r="H32" s="36" t="n">
        <f aca="false">IFERROR(IF(MAX($E$4:$E$33)&gt;0,E32/MAX($E$4:$E$33)*100,0),0)</f>
        <v>0</v>
      </c>
      <c r="I32" s="11" t="str">
        <f aca="false">IF(H32&gt;=80,"Very High",IF(H32&gt;=60,"High",IF(H32&gt;=40,"Medium",IF(H32&gt;=20,"Low","Very Low"))))</f>
        <v>Very Low</v>
      </c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48" t="n">
        <f aca="false">'2. Funding by Source'!K66</f>
        <v>-0</v>
      </c>
      <c r="F33" s="48" t="n">
        <f aca="false">IF(D33&gt;1,LOG(D33,2),0)</f>
        <v>0</v>
      </c>
      <c r="G33" s="48" t="n">
        <f aca="false">IFERROR(IF(F33&gt;0,E33/F33,0),0)</f>
        <v>0</v>
      </c>
      <c r="H33" s="32" t="n">
        <f aca="false">IFERROR(IF(MAX($E$4:$E$33)&gt;0,E33/MAX($E$4:$E$33)*100,0),0)</f>
        <v>0</v>
      </c>
      <c r="I33" s="7" t="str">
        <f aca="false">IF(H33&gt;=80,"Very High",IF(H33&gt;=60,"High",IF(H33&gt;=40,"Medium",IF(H33&gt;=20,"Low","Very Low"))))</f>
        <v>Very Low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10" min="4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49" t="s">
        <v>111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customFormat="false" ht="25.5" hidden="false" customHeight="true" outlineLevel="0" collapsed="false">
      <c r="A2" s="21" t="s">
        <v>112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23.85" hidden="false" customHeight="false" outlineLevel="0" collapsed="false">
      <c r="A3" s="50" t="s">
        <v>32</v>
      </c>
      <c r="B3" s="50" t="s">
        <v>33</v>
      </c>
      <c r="C3" s="50" t="s">
        <v>34</v>
      </c>
      <c r="D3" s="50" t="s">
        <v>113</v>
      </c>
      <c r="E3" s="50" t="s">
        <v>36</v>
      </c>
      <c r="F3" s="50" t="s">
        <v>37</v>
      </c>
      <c r="G3" s="50" t="s">
        <v>38</v>
      </c>
      <c r="H3" s="50" t="s">
        <v>39</v>
      </c>
      <c r="I3" s="50" t="s">
        <v>114</v>
      </c>
      <c r="J3" s="50" t="s">
        <v>115</v>
      </c>
      <c r="K3" s="50" t="s">
        <v>116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36" t="n">
        <f aca="false">IFERROR(IF(AND(D4&gt;0,H4&gt;0),(H4/D4)^(1/4)-1,0)*100,0)</f>
        <v>0</v>
      </c>
      <c r="J4" s="35" t="n">
        <f aca="false">IFERROR(IF(D4&gt;0,(H4-D4)/D4*100,0),0)</f>
        <v>0</v>
      </c>
      <c r="K4" s="11" t="str">
        <f aca="false">IF(I4&gt;=15,"High Growth",IF(I4&gt;=5,"Moderate Growth",IF(I4&gt;=0,"Stable","Declining")))</f>
        <v>Stable</v>
      </c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19"/>
      <c r="I5" s="32" t="n">
        <f aca="false">IFERROR(IF(AND(D5&gt;0,H5&gt;0),(H5/D5)^(1/4)-1,0)*100,0)</f>
        <v>0</v>
      </c>
      <c r="J5" s="31" t="n">
        <f aca="false">IFERROR(IF(D5&gt;0,(H5-D5)/D5*100,0),0)</f>
        <v>0</v>
      </c>
      <c r="K5" s="7" t="str">
        <f aca="false">IF(I5&gt;=15,"High Growth",IF(I5&gt;=5,"Moderate Growth",IF(I5&gt;=0,"Stable","Declining")))</f>
        <v>Stable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36" t="n">
        <f aca="false">IFERROR(IF(AND(D6&gt;0,H6&gt;0),(H6/D6)^(1/4)-1,0)*100,0)</f>
        <v>0</v>
      </c>
      <c r="J6" s="35" t="n">
        <f aca="false">IFERROR(IF(D6&gt;0,(H6-D6)/D6*100,0),0)</f>
        <v>0</v>
      </c>
      <c r="K6" s="11" t="str">
        <f aca="false">IF(I6&gt;=15,"High Growth",IF(I6&gt;=5,"Moderate Growth",IF(I6&gt;=0,"Stable","Declining")))</f>
        <v>Stable</v>
      </c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19"/>
      <c r="I7" s="32" t="n">
        <f aca="false">IFERROR(IF(AND(D7&gt;0,H7&gt;0),(H7/D7)^(1/4)-1,0)*100,0)</f>
        <v>0</v>
      </c>
      <c r="J7" s="31" t="n">
        <f aca="false">IFERROR(IF(D7&gt;0,(H7-D7)/D7*100,0),0)</f>
        <v>0</v>
      </c>
      <c r="K7" s="7" t="str">
        <f aca="false">IF(I7&gt;=15,"High Growth",IF(I7&gt;=5,"Moderate Growth",IF(I7&gt;=0,"Stable","Declining")))</f>
        <v>Stable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36" t="n">
        <f aca="false">IFERROR(IF(AND(D8&gt;0,H8&gt;0),(H8/D8)^(1/4)-1,0)*100,0)</f>
        <v>0</v>
      </c>
      <c r="J8" s="35" t="n">
        <f aca="false">IFERROR(IF(D8&gt;0,(H8-D8)/D8*100,0),0)</f>
        <v>0</v>
      </c>
      <c r="K8" s="11" t="str">
        <f aca="false">IF(I8&gt;=15,"High Growth",IF(I8&gt;=5,"Moderate Growth",IF(I8&gt;=0,"Stable","Declining")))</f>
        <v>Stable</v>
      </c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19"/>
      <c r="I9" s="32" t="n">
        <f aca="false">IFERROR(IF(AND(D9&gt;0,H9&gt;0),(H9/D9)^(1/4)-1,0)*100,0)</f>
        <v>0</v>
      </c>
      <c r="J9" s="31" t="n">
        <f aca="false">IFERROR(IF(D9&gt;0,(H9-D9)/D9*100,0),0)</f>
        <v>0</v>
      </c>
      <c r="K9" s="7" t="str">
        <f aca="false">IF(I9&gt;=15,"High Growth",IF(I9&gt;=5,"Moderate Growth",IF(I9&gt;=0,"Stable","Declining")))</f>
        <v>Stable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36" t="n">
        <f aca="false">IFERROR(IF(AND(D10&gt;0,H10&gt;0),(H10/D10)^(1/4)-1,0)*100,0)</f>
        <v>0</v>
      </c>
      <c r="J10" s="35" t="n">
        <f aca="false">IFERROR(IF(D10&gt;0,(H10-D10)/D10*100,0),0)</f>
        <v>0</v>
      </c>
      <c r="K10" s="11" t="str">
        <f aca="false">IF(I10&gt;=15,"High Growth",IF(I10&gt;=5,"Moderate Growth",IF(I10&gt;=0,"Stable","Declining")))</f>
        <v>Stable</v>
      </c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19"/>
      <c r="I11" s="32" t="n">
        <f aca="false">IFERROR(IF(AND(D11&gt;0,H11&gt;0),(H11/D11)^(1/4)-1,0)*100,0)</f>
        <v>0</v>
      </c>
      <c r="J11" s="31" t="n">
        <f aca="false">IFERROR(IF(D11&gt;0,(H11-D11)/D11*100,0),0)</f>
        <v>0</v>
      </c>
      <c r="K11" s="7" t="str">
        <f aca="false">IF(I11&gt;=15,"High Growth",IF(I11&gt;=5,"Moderate Growth",IF(I11&gt;=0,"Stable","Declining")))</f>
        <v>Stable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36" t="n">
        <f aca="false">IFERROR(IF(AND(D12&gt;0,H12&gt;0),(H12/D12)^(1/4)-1,0)*100,0)</f>
        <v>0</v>
      </c>
      <c r="J12" s="35" t="n">
        <f aca="false">IFERROR(IF(D12&gt;0,(H12-D12)/D12*100,0),0)</f>
        <v>0</v>
      </c>
      <c r="K12" s="11" t="str">
        <f aca="false">IF(I12&gt;=15,"High Growth",IF(I12&gt;=5,"Moderate Growth",IF(I12&gt;=0,"Stable","Declining")))</f>
        <v>Stable</v>
      </c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19"/>
      <c r="I13" s="32" t="n">
        <f aca="false">IFERROR(IF(AND(D13&gt;0,H13&gt;0),(H13/D13)^(1/4)-1,0)*100,0)</f>
        <v>0</v>
      </c>
      <c r="J13" s="31" t="n">
        <f aca="false">IFERROR(IF(D13&gt;0,(H13-D13)/D13*100,0),0)</f>
        <v>0</v>
      </c>
      <c r="K13" s="7" t="str">
        <f aca="false">IF(I13&gt;=15,"High Growth",IF(I13&gt;=5,"Moderate Growth",IF(I13&gt;=0,"Stable","Declining")))</f>
        <v>Stable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36" t="n">
        <f aca="false">IFERROR(IF(AND(D14&gt;0,H14&gt;0),(H14/D14)^(1/4)-1,0)*100,0)</f>
        <v>0</v>
      </c>
      <c r="J14" s="35" t="n">
        <f aca="false">IFERROR(IF(D14&gt;0,(H14-D14)/D14*100,0),0)</f>
        <v>0</v>
      </c>
      <c r="K14" s="11" t="str">
        <f aca="false">IF(I14&gt;=15,"High Growth",IF(I14&gt;=5,"Moderate Growth",IF(I14&gt;=0,"Stable","Declining")))</f>
        <v>Stable</v>
      </c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19"/>
      <c r="I15" s="32" t="n">
        <f aca="false">IFERROR(IF(AND(D15&gt;0,H15&gt;0),(H15/D15)^(1/4)-1,0)*100,0)</f>
        <v>0</v>
      </c>
      <c r="J15" s="31" t="n">
        <f aca="false">IFERROR(IF(D15&gt;0,(H15-D15)/D15*100,0),0)</f>
        <v>0</v>
      </c>
      <c r="K15" s="7" t="str">
        <f aca="false">IF(I15&gt;=15,"High Growth",IF(I15&gt;=5,"Moderate Growth",IF(I15&gt;=0,"Stable","Declining")))</f>
        <v>Stable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36" t="n">
        <f aca="false">IFERROR(IF(AND(D16&gt;0,H16&gt;0),(H16/D16)^(1/4)-1,0)*100,0)</f>
        <v>0</v>
      </c>
      <c r="J16" s="35" t="n">
        <f aca="false">IFERROR(IF(D16&gt;0,(H16-D16)/D16*100,0),0)</f>
        <v>0</v>
      </c>
      <c r="K16" s="11" t="str">
        <f aca="false">IF(I16&gt;=15,"High Growth",IF(I16&gt;=5,"Moderate Growth",IF(I16&gt;=0,"Stable","Declining")))</f>
        <v>Stable</v>
      </c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19"/>
      <c r="I17" s="32" t="n">
        <f aca="false">IFERROR(IF(AND(D17&gt;0,H17&gt;0),(H17/D17)^(1/4)-1,0)*100,0)</f>
        <v>0</v>
      </c>
      <c r="J17" s="31" t="n">
        <f aca="false">IFERROR(IF(D17&gt;0,(H17-D17)/D17*100,0),0)</f>
        <v>0</v>
      </c>
      <c r="K17" s="7" t="str">
        <f aca="false">IF(I17&gt;=15,"High Growth",IF(I17&gt;=5,"Moderate Growth",IF(I17&gt;=0,"Stable","Declining")))</f>
        <v>Stable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36" t="n">
        <f aca="false">IFERROR(IF(AND(D18&gt;0,H18&gt;0),(H18/D18)^(1/4)-1,0)*100,0)</f>
        <v>0</v>
      </c>
      <c r="J18" s="35" t="n">
        <f aca="false">IFERROR(IF(D18&gt;0,(H18-D18)/D18*100,0),0)</f>
        <v>0</v>
      </c>
      <c r="K18" s="11" t="str">
        <f aca="false">IF(I18&gt;=15,"High Growth",IF(I18&gt;=5,"Moderate Growth",IF(I18&gt;=0,"Stable","Declining")))</f>
        <v>Stable</v>
      </c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19"/>
      <c r="I19" s="32" t="n">
        <f aca="false">IFERROR(IF(AND(D19&gt;0,H19&gt;0),(H19/D19)^(1/4)-1,0)*100,0)</f>
        <v>0</v>
      </c>
      <c r="J19" s="31" t="n">
        <f aca="false">IFERROR(IF(D19&gt;0,(H19-D19)/D19*100,0),0)</f>
        <v>0</v>
      </c>
      <c r="K19" s="7" t="str">
        <f aca="false">IF(I19&gt;=15,"High Growth",IF(I19&gt;=5,"Moderate Growth",IF(I19&gt;=0,"Stable","Declining")))</f>
        <v>Stable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36" t="n">
        <f aca="false">IFERROR(IF(AND(D20&gt;0,H20&gt;0),(H20/D20)^(1/4)-1,0)*100,0)</f>
        <v>0</v>
      </c>
      <c r="J20" s="35" t="n">
        <f aca="false">IFERROR(IF(D20&gt;0,(H20-D20)/D20*100,0),0)</f>
        <v>0</v>
      </c>
      <c r="K20" s="11" t="str">
        <f aca="false">IF(I20&gt;=15,"High Growth",IF(I20&gt;=5,"Moderate Growth",IF(I20&gt;=0,"Stable","Declining")))</f>
        <v>Stable</v>
      </c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19"/>
      <c r="I21" s="32" t="n">
        <f aca="false">IFERROR(IF(AND(D21&gt;0,H21&gt;0),(H21/D21)^(1/4)-1,0)*100,0)</f>
        <v>0</v>
      </c>
      <c r="J21" s="31" t="n">
        <f aca="false">IFERROR(IF(D21&gt;0,(H21-D21)/D21*100,0),0)</f>
        <v>0</v>
      </c>
      <c r="K21" s="7" t="str">
        <f aca="false">IF(I21&gt;=15,"High Growth",IF(I21&gt;=5,"Moderate Growth",IF(I21&gt;=0,"Stable","Declining")))</f>
        <v>Stable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36" t="n">
        <f aca="false">IFERROR(IF(AND(D22&gt;0,H22&gt;0),(H22/D22)^(1/4)-1,0)*100,0)</f>
        <v>0</v>
      </c>
      <c r="J22" s="35" t="n">
        <f aca="false">IFERROR(IF(D22&gt;0,(H22-D22)/D22*100,0),0)</f>
        <v>0</v>
      </c>
      <c r="K22" s="11" t="str">
        <f aca="false">IF(I22&gt;=15,"High Growth",IF(I22&gt;=5,"Moderate Growth",IF(I22&gt;=0,"Stable","Declining")))</f>
        <v>Stable</v>
      </c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19"/>
      <c r="I23" s="32" t="n">
        <f aca="false">IFERROR(IF(AND(D23&gt;0,H23&gt;0),(H23/D23)^(1/4)-1,0)*100,0)</f>
        <v>0</v>
      </c>
      <c r="J23" s="31" t="n">
        <f aca="false">IFERROR(IF(D23&gt;0,(H23-D23)/D23*100,0),0)</f>
        <v>0</v>
      </c>
      <c r="K23" s="7" t="str">
        <f aca="false">IF(I23&gt;=15,"High Growth",IF(I23&gt;=5,"Moderate Growth",IF(I23&gt;=0,"Stable","Declining")))</f>
        <v>Stable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36" t="n">
        <f aca="false">IFERROR(IF(AND(D24&gt;0,H24&gt;0),(H24/D24)^(1/4)-1,0)*100,0)</f>
        <v>0</v>
      </c>
      <c r="J24" s="35" t="n">
        <f aca="false">IFERROR(IF(D24&gt;0,(H24-D24)/D24*100,0),0)</f>
        <v>0</v>
      </c>
      <c r="K24" s="11" t="str">
        <f aca="false">IF(I24&gt;=15,"High Growth",IF(I24&gt;=5,"Moderate Growth",IF(I24&gt;=0,"Stable","Declining")))</f>
        <v>Stable</v>
      </c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19"/>
      <c r="I25" s="32" t="n">
        <f aca="false">IFERROR(IF(AND(D25&gt;0,H25&gt;0),(H25/D25)^(1/4)-1,0)*100,0)</f>
        <v>0</v>
      </c>
      <c r="J25" s="31" t="n">
        <f aca="false">IFERROR(IF(D25&gt;0,(H25-D25)/D25*100,0),0)</f>
        <v>0</v>
      </c>
      <c r="K25" s="7" t="str">
        <f aca="false">IF(I25&gt;=15,"High Growth",IF(I25&gt;=5,"Moderate Growth",IF(I25&gt;=0,"Stable","Declining")))</f>
        <v>Stable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36" t="n">
        <f aca="false">IFERROR(IF(AND(D26&gt;0,H26&gt;0),(H26/D26)^(1/4)-1,0)*100,0)</f>
        <v>0</v>
      </c>
      <c r="J26" s="35" t="n">
        <f aca="false">IFERROR(IF(D26&gt;0,(H26-D26)/D26*100,0),0)</f>
        <v>0</v>
      </c>
      <c r="K26" s="11" t="str">
        <f aca="false">IF(I26&gt;=15,"High Growth",IF(I26&gt;=5,"Moderate Growth",IF(I26&gt;=0,"Stable","Declining")))</f>
        <v>Stable</v>
      </c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19"/>
      <c r="I27" s="32" t="n">
        <f aca="false">IFERROR(IF(AND(D27&gt;0,H27&gt;0),(H27/D27)^(1/4)-1,0)*100,0)</f>
        <v>0</v>
      </c>
      <c r="J27" s="31" t="n">
        <f aca="false">IFERROR(IF(D27&gt;0,(H27-D27)/D27*100,0),0)</f>
        <v>0</v>
      </c>
      <c r="K27" s="7" t="str">
        <f aca="false">IF(I27&gt;=15,"High Growth",IF(I27&gt;=5,"Moderate Growth",IF(I27&gt;=0,"Stable","Declining")))</f>
        <v>Stable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36" t="n">
        <f aca="false">IFERROR(IF(AND(D28&gt;0,H28&gt;0),(H28/D28)^(1/4)-1,0)*100,0)</f>
        <v>0</v>
      </c>
      <c r="J28" s="35" t="n">
        <f aca="false">IFERROR(IF(D28&gt;0,(H28-D28)/D28*100,0),0)</f>
        <v>0</v>
      </c>
      <c r="K28" s="11" t="str">
        <f aca="false">IF(I28&gt;=15,"High Growth",IF(I28&gt;=5,"Moderate Growth",IF(I28&gt;=0,"Stable","Declining")))</f>
        <v>Stable</v>
      </c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19"/>
      <c r="I29" s="32" t="n">
        <f aca="false">IFERROR(IF(AND(D29&gt;0,H29&gt;0),(H29/D29)^(1/4)-1,0)*100,0)</f>
        <v>0</v>
      </c>
      <c r="J29" s="31" t="n">
        <f aca="false">IFERROR(IF(D29&gt;0,(H29-D29)/D29*100,0),0)</f>
        <v>0</v>
      </c>
      <c r="K29" s="7" t="str">
        <f aca="false">IF(I29&gt;=15,"High Growth",IF(I29&gt;=5,"Moderate Growth",IF(I29&gt;=0,"Stable","Declining")))</f>
        <v>Stable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36" t="n">
        <f aca="false">IFERROR(IF(AND(D30&gt;0,H30&gt;0),(H30/D30)^(1/4)-1,0)*100,0)</f>
        <v>0</v>
      </c>
      <c r="J30" s="35" t="n">
        <f aca="false">IFERROR(IF(D30&gt;0,(H30-D30)/D30*100,0),0)</f>
        <v>0</v>
      </c>
      <c r="K30" s="11" t="str">
        <f aca="false">IF(I30&gt;=15,"High Growth",IF(I30&gt;=5,"Moderate Growth",IF(I30&gt;=0,"Stable","Declining")))</f>
        <v>Stable</v>
      </c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19"/>
      <c r="I31" s="32" t="n">
        <f aca="false">IFERROR(IF(AND(D31&gt;0,H31&gt;0),(H31/D31)^(1/4)-1,0)*100,0)</f>
        <v>0</v>
      </c>
      <c r="J31" s="31" t="n">
        <f aca="false">IFERROR(IF(D31&gt;0,(H31-D31)/D31*100,0),0)</f>
        <v>0</v>
      </c>
      <c r="K31" s="7" t="str">
        <f aca="false">IF(I31&gt;=15,"High Growth",IF(I31&gt;=5,"Moderate Growth",IF(I31&gt;=0,"Stable","Declining")))</f>
        <v>Stable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36" t="n">
        <f aca="false">IFERROR(IF(AND(D32&gt;0,H32&gt;0),(H32/D32)^(1/4)-1,0)*100,0)</f>
        <v>0</v>
      </c>
      <c r="J32" s="35" t="n">
        <f aca="false">IFERROR(IF(D32&gt;0,(H32-D32)/D32*100,0),0)</f>
        <v>0</v>
      </c>
      <c r="K32" s="11" t="str">
        <f aca="false">IF(I32&gt;=15,"High Growth",IF(I32&gt;=5,"Moderate Growth",IF(I32&gt;=0,"Stable","Declining")))</f>
        <v>Stable</v>
      </c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19"/>
      <c r="I33" s="32" t="n">
        <f aca="false">IFERROR(IF(AND(D33&gt;0,H33&gt;0),(H33/D33)^(1/4)-1,0)*100,0)</f>
        <v>0</v>
      </c>
      <c r="J33" s="31" t="n">
        <f aca="false">IFERROR(IF(D33&gt;0,(H33-D33)/D33*100,0),0)</f>
        <v>0</v>
      </c>
      <c r="K33" s="7" t="str">
        <f aca="false">IF(I33&gt;=15,"High Growth",IF(I33&gt;=5,"Moderate Growth",IF(I33&gt;=0,"Stable","Declining")))</f>
        <v>Stable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8"/>
  </cols>
  <sheetData>
    <row r="1" customFormat="false" ht="33.75" hidden="false" customHeight="true" outlineLevel="0" collapsed="false">
      <c r="A1" s="51" t="s">
        <v>117</v>
      </c>
      <c r="B1" s="51"/>
      <c r="C1" s="51"/>
      <c r="D1" s="51"/>
      <c r="E1" s="51"/>
      <c r="F1" s="51"/>
    </row>
    <row r="2" customFormat="false" ht="25.5" hidden="false" customHeight="true" outlineLevel="0" collapsed="false">
      <c r="A2" s="52" t="s">
        <v>118</v>
      </c>
      <c r="B2" s="52"/>
      <c r="C2" s="52"/>
      <c r="D2" s="52"/>
      <c r="E2" s="52"/>
      <c r="F2" s="52"/>
    </row>
    <row r="3" customFormat="false" ht="15" hidden="false" customHeight="false" outlineLevel="0" collapsed="false">
      <c r="A3" s="53" t="s">
        <v>2</v>
      </c>
      <c r="B3" s="53" t="s">
        <v>34</v>
      </c>
      <c r="C3" s="53" t="s">
        <v>119</v>
      </c>
      <c r="D3" s="53" t="s">
        <v>120</v>
      </c>
      <c r="E3" s="53" t="s">
        <v>121</v>
      </c>
      <c r="F3" s="53" t="s">
        <v>122</v>
      </c>
    </row>
    <row r="4" customFormat="false" ht="36" hidden="false" customHeight="true" outlineLevel="0" collapsed="false">
      <c r="A4" s="8" t="n">
        <v>1</v>
      </c>
      <c r="B4" s="8" t="s">
        <v>123</v>
      </c>
      <c r="C4" s="9" t="s">
        <v>124</v>
      </c>
      <c r="D4" s="11" t="s">
        <v>125</v>
      </c>
      <c r="E4" s="10" t="s">
        <v>126</v>
      </c>
      <c r="F4" s="8" t="s">
        <v>127</v>
      </c>
    </row>
    <row r="5" customFormat="false" ht="36" hidden="false" customHeight="true" outlineLevel="0" collapsed="false">
      <c r="A5" s="4" t="n">
        <v>2</v>
      </c>
      <c r="B5" s="4" t="s">
        <v>123</v>
      </c>
      <c r="C5" s="5" t="s">
        <v>128</v>
      </c>
      <c r="D5" s="7" t="s">
        <v>129</v>
      </c>
      <c r="E5" s="6" t="s">
        <v>130</v>
      </c>
      <c r="F5" s="4" t="s">
        <v>127</v>
      </c>
    </row>
    <row r="6" customFormat="false" ht="36" hidden="false" customHeight="true" outlineLevel="0" collapsed="false">
      <c r="A6" s="8" t="n">
        <v>3</v>
      </c>
      <c r="B6" s="8" t="s">
        <v>123</v>
      </c>
      <c r="C6" s="9" t="s">
        <v>131</v>
      </c>
      <c r="D6" s="11" t="s">
        <v>132</v>
      </c>
      <c r="E6" s="10" t="s">
        <v>133</v>
      </c>
      <c r="F6" s="8" t="s">
        <v>127</v>
      </c>
    </row>
    <row r="7" customFormat="false" ht="36" hidden="false" customHeight="true" outlineLevel="0" collapsed="false">
      <c r="A7" s="4" t="n">
        <v>4</v>
      </c>
      <c r="B7" s="4" t="s">
        <v>123</v>
      </c>
      <c r="C7" s="5" t="s">
        <v>134</v>
      </c>
      <c r="D7" s="7" t="s">
        <v>135</v>
      </c>
      <c r="E7" s="6" t="s">
        <v>136</v>
      </c>
      <c r="F7" s="4" t="s">
        <v>127</v>
      </c>
    </row>
    <row r="8" customFormat="false" ht="36" hidden="false" customHeight="true" outlineLevel="0" collapsed="false">
      <c r="A8" s="8" t="n">
        <v>5</v>
      </c>
      <c r="B8" s="8" t="s">
        <v>123</v>
      </c>
      <c r="C8" s="9" t="s">
        <v>137</v>
      </c>
      <c r="D8" s="11" t="s">
        <v>137</v>
      </c>
      <c r="E8" s="10" t="s">
        <v>138</v>
      </c>
      <c r="F8" s="8" t="s">
        <v>127</v>
      </c>
    </row>
    <row r="9" customFormat="false" ht="36" hidden="false" customHeight="true" outlineLevel="0" collapsed="false">
      <c r="A9" s="4" t="n">
        <v>6</v>
      </c>
      <c r="B9" s="4" t="s">
        <v>123</v>
      </c>
      <c r="C9" s="5" t="s">
        <v>139</v>
      </c>
      <c r="D9" s="7" t="s">
        <v>140</v>
      </c>
      <c r="E9" s="6" t="s">
        <v>141</v>
      </c>
      <c r="F9" s="4" t="s">
        <v>127</v>
      </c>
    </row>
    <row r="10" customFormat="false" ht="36" hidden="false" customHeight="true" outlineLevel="0" collapsed="false">
      <c r="A10" s="8" t="n">
        <v>7</v>
      </c>
      <c r="B10" s="8" t="s">
        <v>142</v>
      </c>
      <c r="C10" s="9" t="s">
        <v>143</v>
      </c>
      <c r="D10" s="11" t="s">
        <v>144</v>
      </c>
      <c r="E10" s="10" t="s">
        <v>145</v>
      </c>
      <c r="F10" s="8" t="s">
        <v>127</v>
      </c>
    </row>
    <row r="11" customFormat="false" ht="36" hidden="false" customHeight="true" outlineLevel="0" collapsed="false">
      <c r="A11" s="4" t="n">
        <v>8</v>
      </c>
      <c r="B11" s="4" t="s">
        <v>142</v>
      </c>
      <c r="C11" s="5" t="s">
        <v>146</v>
      </c>
      <c r="D11" s="7" t="s">
        <v>147</v>
      </c>
      <c r="E11" s="6" t="s">
        <v>148</v>
      </c>
      <c r="F11" s="4" t="s">
        <v>127</v>
      </c>
    </row>
    <row r="12" customFormat="false" ht="36" hidden="false" customHeight="true" outlineLevel="0" collapsed="false">
      <c r="A12" s="8" t="n">
        <v>9</v>
      </c>
      <c r="B12" s="8" t="s">
        <v>149</v>
      </c>
      <c r="C12" s="9" t="s">
        <v>150</v>
      </c>
      <c r="D12" s="11" t="s">
        <v>151</v>
      </c>
      <c r="E12" s="10" t="s">
        <v>152</v>
      </c>
      <c r="F12" s="8" t="s">
        <v>127</v>
      </c>
    </row>
    <row r="13" customFormat="false" ht="36" hidden="false" customHeight="true" outlineLevel="0" collapsed="false">
      <c r="A13" s="4" t="n">
        <v>10</v>
      </c>
      <c r="B13" s="4" t="s">
        <v>149</v>
      </c>
      <c r="C13" s="5" t="s">
        <v>153</v>
      </c>
      <c r="D13" s="7" t="s">
        <v>154</v>
      </c>
      <c r="E13" s="6" t="s">
        <v>155</v>
      </c>
      <c r="F13" s="4" t="s">
        <v>127</v>
      </c>
    </row>
    <row r="14" customFormat="false" ht="36" hidden="false" customHeight="true" outlineLevel="0" collapsed="false">
      <c r="A14" s="8" t="n">
        <v>11</v>
      </c>
      <c r="B14" s="8" t="s">
        <v>156</v>
      </c>
      <c r="C14" s="9" t="s">
        <v>157</v>
      </c>
      <c r="D14" s="11" t="s">
        <v>158</v>
      </c>
      <c r="E14" s="10" t="s">
        <v>159</v>
      </c>
      <c r="F14" s="8" t="s">
        <v>127</v>
      </c>
    </row>
    <row r="15" customFormat="false" ht="36" hidden="false" customHeight="true" outlineLevel="0" collapsed="false">
      <c r="A15" s="4" t="n">
        <v>12</v>
      </c>
      <c r="B15" s="4" t="s">
        <v>160</v>
      </c>
      <c r="C15" s="5" t="s">
        <v>161</v>
      </c>
      <c r="D15" s="7" t="s">
        <v>162</v>
      </c>
      <c r="E15" s="6" t="s">
        <v>163</v>
      </c>
      <c r="F15" s="4" t="s">
        <v>164</v>
      </c>
    </row>
    <row r="16" customFormat="false" ht="36" hidden="false" customHeight="true" outlineLevel="0" collapsed="false">
      <c r="A16" s="8" t="n">
        <v>13</v>
      </c>
      <c r="B16" s="8" t="s">
        <v>160</v>
      </c>
      <c r="C16" s="9" t="s">
        <v>165</v>
      </c>
      <c r="D16" s="11" t="s">
        <v>166</v>
      </c>
      <c r="E16" s="10" t="s">
        <v>167</v>
      </c>
      <c r="F16" s="8" t="s">
        <v>168</v>
      </c>
    </row>
    <row r="17" customFormat="false" ht="36" hidden="false" customHeight="true" outlineLevel="0" collapsed="false">
      <c r="A17" s="4" t="n">
        <v>14</v>
      </c>
      <c r="B17" s="4" t="s">
        <v>160</v>
      </c>
      <c r="C17" s="5" t="s">
        <v>169</v>
      </c>
      <c r="D17" s="7" t="s">
        <v>170</v>
      </c>
      <c r="E17" s="6" t="s">
        <v>171</v>
      </c>
      <c r="F17" s="4" t="s">
        <v>168</v>
      </c>
    </row>
    <row r="18" customFormat="false" ht="36" hidden="false" customHeight="true" outlineLevel="0" collapsed="false">
      <c r="A18" s="8" t="n">
        <v>15</v>
      </c>
      <c r="B18" s="8" t="s">
        <v>172</v>
      </c>
      <c r="C18" s="9" t="s">
        <v>173</v>
      </c>
      <c r="D18" s="11" t="s">
        <v>174</v>
      </c>
      <c r="E18" s="10" t="s">
        <v>175</v>
      </c>
      <c r="F18" s="8" t="s">
        <v>172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54" t="s">
        <v>176</v>
      </c>
      <c r="B1" s="54"/>
      <c r="C1" s="54"/>
      <c r="D1" s="54"/>
      <c r="E1" s="54"/>
      <c r="F1" s="54"/>
      <c r="G1" s="54"/>
      <c r="H1" s="54"/>
      <c r="I1" s="54"/>
    </row>
    <row r="2" customFormat="false" ht="25.5" hidden="false" customHeight="true" outlineLevel="0" collapsed="false">
      <c r="A2" s="15" t="s">
        <v>177</v>
      </c>
      <c r="B2" s="15"/>
      <c r="C2" s="15"/>
      <c r="D2" s="15"/>
      <c r="E2" s="15"/>
      <c r="F2" s="15"/>
      <c r="G2" s="15"/>
      <c r="H2" s="15"/>
      <c r="I2" s="15"/>
    </row>
    <row r="3" customFormat="false" ht="23.85" hidden="false" customHeight="false" outlineLevel="0" collapsed="false">
      <c r="A3" s="55" t="s">
        <v>32</v>
      </c>
      <c r="B3" s="55" t="s">
        <v>33</v>
      </c>
      <c r="C3" s="55" t="s">
        <v>178</v>
      </c>
      <c r="D3" s="55" t="s">
        <v>179</v>
      </c>
      <c r="E3" s="55" t="s">
        <v>180</v>
      </c>
      <c r="F3" s="55" t="s">
        <v>181</v>
      </c>
      <c r="G3" s="55" t="s">
        <v>182</v>
      </c>
      <c r="H3" s="55" t="s">
        <v>183</v>
      </c>
      <c r="I3" s="55" t="s">
        <v>184</v>
      </c>
    </row>
    <row r="4" customFormat="false" ht="15" hidden="false" customHeight="false" outlineLevel="0" collapsed="false">
      <c r="B4" s="56" t="s">
        <v>185</v>
      </c>
      <c r="C4" s="57" t="n">
        <v>0.375</v>
      </c>
      <c r="D4" s="57" t="n">
        <v>0.25</v>
      </c>
      <c r="E4" s="57" t="n">
        <v>0.1875</v>
      </c>
      <c r="F4" s="57" t="n">
        <v>0.125</v>
      </c>
      <c r="G4" s="57" t="n">
        <v>0.0625</v>
      </c>
    </row>
    <row r="5" customFormat="false" ht="15" hidden="false" customHeight="false" outlineLevel="0" collapsed="false">
      <c r="A5" s="4" t="n">
        <v>1</v>
      </c>
      <c r="B5" s="19"/>
      <c r="C5" s="58"/>
      <c r="D5" s="58"/>
      <c r="E5" s="58"/>
      <c r="F5" s="58"/>
      <c r="G5" s="58"/>
      <c r="H5" s="32" t="n">
        <f aca="false">C5*$C$4+D5*$D$4+E5*$E$4+F5*$F$4+G5*$G$4</f>
        <v>0</v>
      </c>
      <c r="I5" s="7" t="n">
        <f aca="false">IFERROR(RANK(H5,$H$5:$H$34,0),"")</f>
        <v>1</v>
      </c>
    </row>
    <row r="6" customFormat="false" ht="15" hidden="false" customHeight="false" outlineLevel="0" collapsed="false">
      <c r="A6" s="8" t="n">
        <v>2</v>
      </c>
      <c r="B6" s="17"/>
      <c r="C6" s="59"/>
      <c r="D6" s="59"/>
      <c r="E6" s="59"/>
      <c r="F6" s="59"/>
      <c r="G6" s="59"/>
      <c r="H6" s="36" t="n">
        <f aca="false">C6*$C$4+D6*$D$4+E6*$E$4+F6*$F$4+G6*$G$4</f>
        <v>0</v>
      </c>
      <c r="I6" s="11" t="n">
        <f aca="false">IFERROR(RANK(H6,$H$5:$H$34,0),"")</f>
        <v>1</v>
      </c>
    </row>
    <row r="7" customFormat="false" ht="15" hidden="false" customHeight="false" outlineLevel="0" collapsed="false">
      <c r="A7" s="4" t="n">
        <v>3</v>
      </c>
      <c r="B7" s="19"/>
      <c r="C7" s="58"/>
      <c r="D7" s="58"/>
      <c r="E7" s="58"/>
      <c r="F7" s="58"/>
      <c r="G7" s="58"/>
      <c r="H7" s="32" t="n">
        <f aca="false">C7*$C$4+D7*$D$4+E7*$E$4+F7*$F$4+G7*$G$4</f>
        <v>0</v>
      </c>
      <c r="I7" s="7" t="n">
        <f aca="false">IFERROR(RANK(H7,$H$5:$H$34,0),"")</f>
        <v>1</v>
      </c>
    </row>
    <row r="8" customFormat="false" ht="15" hidden="false" customHeight="false" outlineLevel="0" collapsed="false">
      <c r="A8" s="8" t="n">
        <v>4</v>
      </c>
      <c r="B8" s="17"/>
      <c r="C8" s="59"/>
      <c r="D8" s="59"/>
      <c r="E8" s="59"/>
      <c r="F8" s="59"/>
      <c r="G8" s="59"/>
      <c r="H8" s="36" t="n">
        <f aca="false">C8*$C$4+D8*$D$4+E8*$E$4+F8*$F$4+G8*$G$4</f>
        <v>0</v>
      </c>
      <c r="I8" s="11" t="n">
        <f aca="false">IFERROR(RANK(H8,$H$5:$H$34,0),"")</f>
        <v>1</v>
      </c>
    </row>
    <row r="9" customFormat="false" ht="15" hidden="false" customHeight="false" outlineLevel="0" collapsed="false">
      <c r="A9" s="4" t="n">
        <v>5</v>
      </c>
      <c r="B9" s="19"/>
      <c r="C9" s="58"/>
      <c r="D9" s="58"/>
      <c r="E9" s="58"/>
      <c r="F9" s="58"/>
      <c r="G9" s="58"/>
      <c r="H9" s="32" t="n">
        <f aca="false">C9*$C$4+D9*$D$4+E9*$E$4+F9*$F$4+G9*$G$4</f>
        <v>0</v>
      </c>
      <c r="I9" s="7" t="n">
        <f aca="false">IFERROR(RANK(H9,$H$5:$H$34,0),"")</f>
        <v>1</v>
      </c>
    </row>
    <row r="10" customFormat="false" ht="15" hidden="false" customHeight="false" outlineLevel="0" collapsed="false">
      <c r="A10" s="8" t="n">
        <v>6</v>
      </c>
      <c r="B10" s="17"/>
      <c r="C10" s="59"/>
      <c r="D10" s="59"/>
      <c r="E10" s="59"/>
      <c r="F10" s="59"/>
      <c r="G10" s="59"/>
      <c r="H10" s="36" t="n">
        <f aca="false">C10*$C$4+D10*$D$4+E10*$E$4+F10*$F$4+G10*$G$4</f>
        <v>0</v>
      </c>
      <c r="I10" s="11" t="n">
        <f aca="false">IFERROR(RANK(H10,$H$5:$H$34,0),"")</f>
        <v>1</v>
      </c>
    </row>
    <row r="11" customFormat="false" ht="15" hidden="false" customHeight="false" outlineLevel="0" collapsed="false">
      <c r="A11" s="4" t="n">
        <v>7</v>
      </c>
      <c r="B11" s="19"/>
      <c r="C11" s="58"/>
      <c r="D11" s="58"/>
      <c r="E11" s="58"/>
      <c r="F11" s="58"/>
      <c r="G11" s="58"/>
      <c r="H11" s="32" t="n">
        <f aca="false">C11*$C$4+D11*$D$4+E11*$E$4+F11*$F$4+G11*$G$4</f>
        <v>0</v>
      </c>
      <c r="I11" s="7" t="n">
        <f aca="false">IFERROR(RANK(H11,$H$5:$H$34,0),"")</f>
        <v>1</v>
      </c>
    </row>
    <row r="12" customFormat="false" ht="15" hidden="false" customHeight="false" outlineLevel="0" collapsed="false">
      <c r="A12" s="8" t="n">
        <v>8</v>
      </c>
      <c r="B12" s="17"/>
      <c r="C12" s="59"/>
      <c r="D12" s="59"/>
      <c r="E12" s="59"/>
      <c r="F12" s="59"/>
      <c r="G12" s="59"/>
      <c r="H12" s="36" t="n">
        <f aca="false">C12*$C$4+D12*$D$4+E12*$E$4+F12*$F$4+G12*$G$4</f>
        <v>0</v>
      </c>
      <c r="I12" s="11" t="n">
        <f aca="false">IFERROR(RANK(H12,$H$5:$H$34,0),"")</f>
        <v>1</v>
      </c>
    </row>
    <row r="13" customFormat="false" ht="15" hidden="false" customHeight="false" outlineLevel="0" collapsed="false">
      <c r="A13" s="4" t="n">
        <v>9</v>
      </c>
      <c r="B13" s="19"/>
      <c r="C13" s="58"/>
      <c r="D13" s="58"/>
      <c r="E13" s="58"/>
      <c r="F13" s="58"/>
      <c r="G13" s="58"/>
      <c r="H13" s="32" t="n">
        <f aca="false">C13*$C$4+D13*$D$4+E13*$E$4+F13*$F$4+G13*$G$4</f>
        <v>0</v>
      </c>
      <c r="I13" s="7" t="n">
        <f aca="false">IFERROR(RANK(H13,$H$5:$H$34,0),"")</f>
        <v>1</v>
      </c>
    </row>
    <row r="14" customFormat="false" ht="15" hidden="false" customHeight="false" outlineLevel="0" collapsed="false">
      <c r="A14" s="8" t="n">
        <v>10</v>
      </c>
      <c r="B14" s="17"/>
      <c r="C14" s="59"/>
      <c r="D14" s="59"/>
      <c r="E14" s="59"/>
      <c r="F14" s="59"/>
      <c r="G14" s="59"/>
      <c r="H14" s="36" t="n">
        <f aca="false">C14*$C$4+D14*$D$4+E14*$E$4+F14*$F$4+G14*$G$4</f>
        <v>0</v>
      </c>
      <c r="I14" s="11" t="n">
        <f aca="false">IFERROR(RANK(H14,$H$5:$H$34,0),"")</f>
        <v>1</v>
      </c>
    </row>
    <row r="15" customFormat="false" ht="15" hidden="false" customHeight="false" outlineLevel="0" collapsed="false">
      <c r="A15" s="4" t="n">
        <v>11</v>
      </c>
      <c r="B15" s="19"/>
      <c r="C15" s="58"/>
      <c r="D15" s="58"/>
      <c r="E15" s="58"/>
      <c r="F15" s="58"/>
      <c r="G15" s="58"/>
      <c r="H15" s="32" t="n">
        <f aca="false">C15*$C$4+D15*$D$4+E15*$E$4+F15*$F$4+G15*$G$4</f>
        <v>0</v>
      </c>
      <c r="I15" s="7" t="n">
        <f aca="false">IFERROR(RANK(H15,$H$5:$H$34,0),"")</f>
        <v>1</v>
      </c>
    </row>
    <row r="16" customFormat="false" ht="15" hidden="false" customHeight="false" outlineLevel="0" collapsed="false">
      <c r="A16" s="8" t="n">
        <v>12</v>
      </c>
      <c r="B16" s="17"/>
      <c r="C16" s="59"/>
      <c r="D16" s="59"/>
      <c r="E16" s="59"/>
      <c r="F16" s="59"/>
      <c r="G16" s="59"/>
      <c r="H16" s="36" t="n">
        <f aca="false">C16*$C$4+D16*$D$4+E16*$E$4+F16*$F$4+G16*$G$4</f>
        <v>0</v>
      </c>
      <c r="I16" s="11" t="n">
        <f aca="false">IFERROR(RANK(H16,$H$5:$H$34,0),"")</f>
        <v>1</v>
      </c>
    </row>
    <row r="17" customFormat="false" ht="15" hidden="false" customHeight="false" outlineLevel="0" collapsed="false">
      <c r="A17" s="4" t="n">
        <v>13</v>
      </c>
      <c r="B17" s="19"/>
      <c r="C17" s="58"/>
      <c r="D17" s="58"/>
      <c r="E17" s="58"/>
      <c r="F17" s="58"/>
      <c r="G17" s="58"/>
      <c r="H17" s="32" t="n">
        <f aca="false">C17*$C$4+D17*$D$4+E17*$E$4+F17*$F$4+G17*$G$4</f>
        <v>0</v>
      </c>
      <c r="I17" s="7" t="n">
        <f aca="false">IFERROR(RANK(H17,$H$5:$H$34,0),"")</f>
        <v>1</v>
      </c>
    </row>
    <row r="18" customFormat="false" ht="15" hidden="false" customHeight="false" outlineLevel="0" collapsed="false">
      <c r="A18" s="8" t="n">
        <v>14</v>
      </c>
      <c r="B18" s="17"/>
      <c r="C18" s="59"/>
      <c r="D18" s="59"/>
      <c r="E18" s="59"/>
      <c r="F18" s="59"/>
      <c r="G18" s="59"/>
      <c r="H18" s="36" t="n">
        <f aca="false">C18*$C$4+D18*$D$4+E18*$E$4+F18*$F$4+G18*$G$4</f>
        <v>0</v>
      </c>
      <c r="I18" s="11" t="n">
        <f aca="false">IFERROR(RANK(H18,$H$5:$H$34,0),"")</f>
        <v>1</v>
      </c>
    </row>
    <row r="19" customFormat="false" ht="15" hidden="false" customHeight="false" outlineLevel="0" collapsed="false">
      <c r="A19" s="4" t="n">
        <v>15</v>
      </c>
      <c r="B19" s="19"/>
      <c r="C19" s="58"/>
      <c r="D19" s="58"/>
      <c r="E19" s="58"/>
      <c r="F19" s="58"/>
      <c r="G19" s="58"/>
      <c r="H19" s="32" t="n">
        <f aca="false">C19*$C$4+D19*$D$4+E19*$E$4+F19*$F$4+G19*$G$4</f>
        <v>0</v>
      </c>
      <c r="I19" s="7" t="n">
        <f aca="false">IFERROR(RANK(H19,$H$5:$H$34,0),"")</f>
        <v>1</v>
      </c>
    </row>
    <row r="20" customFormat="false" ht="15" hidden="false" customHeight="false" outlineLevel="0" collapsed="false">
      <c r="A20" s="8" t="n">
        <v>16</v>
      </c>
      <c r="B20" s="17"/>
      <c r="C20" s="59"/>
      <c r="D20" s="59"/>
      <c r="E20" s="59"/>
      <c r="F20" s="59"/>
      <c r="G20" s="59"/>
      <c r="H20" s="36" t="n">
        <f aca="false">C20*$C$4+D20*$D$4+E20*$E$4+F20*$F$4+G20*$G$4</f>
        <v>0</v>
      </c>
      <c r="I20" s="11" t="n">
        <f aca="false">IFERROR(RANK(H20,$H$5:$H$34,0),"")</f>
        <v>1</v>
      </c>
    </row>
    <row r="21" customFormat="false" ht="15" hidden="false" customHeight="false" outlineLevel="0" collapsed="false">
      <c r="A21" s="4" t="n">
        <v>17</v>
      </c>
      <c r="B21" s="19"/>
      <c r="C21" s="58"/>
      <c r="D21" s="58"/>
      <c r="E21" s="58"/>
      <c r="F21" s="58"/>
      <c r="G21" s="58"/>
      <c r="H21" s="32" t="n">
        <f aca="false">C21*$C$4+D21*$D$4+E21*$E$4+F21*$F$4+G21*$G$4</f>
        <v>0</v>
      </c>
      <c r="I21" s="7" t="n">
        <f aca="false">IFERROR(RANK(H21,$H$5:$H$34,0),"")</f>
        <v>1</v>
      </c>
    </row>
    <row r="22" customFormat="false" ht="15" hidden="false" customHeight="false" outlineLevel="0" collapsed="false">
      <c r="A22" s="8" t="n">
        <v>18</v>
      </c>
      <c r="B22" s="17"/>
      <c r="C22" s="59"/>
      <c r="D22" s="59"/>
      <c r="E22" s="59"/>
      <c r="F22" s="59"/>
      <c r="G22" s="59"/>
      <c r="H22" s="36" t="n">
        <f aca="false">C22*$C$4+D22*$D$4+E22*$E$4+F22*$F$4+G22*$G$4</f>
        <v>0</v>
      </c>
      <c r="I22" s="11" t="n">
        <f aca="false">IFERROR(RANK(H22,$H$5:$H$34,0),"")</f>
        <v>1</v>
      </c>
    </row>
    <row r="23" customFormat="false" ht="15" hidden="false" customHeight="false" outlineLevel="0" collapsed="false">
      <c r="A23" s="4" t="n">
        <v>19</v>
      </c>
      <c r="B23" s="19"/>
      <c r="C23" s="58"/>
      <c r="D23" s="58"/>
      <c r="E23" s="58"/>
      <c r="F23" s="58"/>
      <c r="G23" s="58"/>
      <c r="H23" s="32" t="n">
        <f aca="false">C23*$C$4+D23*$D$4+E23*$E$4+F23*$F$4+G23*$G$4</f>
        <v>0</v>
      </c>
      <c r="I23" s="7" t="n">
        <f aca="false">IFERROR(RANK(H23,$H$5:$H$34,0),"")</f>
        <v>1</v>
      </c>
    </row>
    <row r="24" customFormat="false" ht="15" hidden="false" customHeight="false" outlineLevel="0" collapsed="false">
      <c r="A24" s="8" t="n">
        <v>20</v>
      </c>
      <c r="B24" s="17"/>
      <c r="C24" s="59"/>
      <c r="D24" s="59"/>
      <c r="E24" s="59"/>
      <c r="F24" s="59"/>
      <c r="G24" s="59"/>
      <c r="H24" s="36" t="n">
        <f aca="false">C24*$C$4+D24*$D$4+E24*$E$4+F24*$F$4+G24*$G$4</f>
        <v>0</v>
      </c>
      <c r="I24" s="11" t="n">
        <f aca="false">IFERROR(RANK(H24,$H$5:$H$34,0),"")</f>
        <v>1</v>
      </c>
    </row>
    <row r="25" customFormat="false" ht="15" hidden="false" customHeight="false" outlineLevel="0" collapsed="false">
      <c r="A25" s="4" t="n">
        <v>21</v>
      </c>
      <c r="B25" s="19"/>
      <c r="C25" s="58"/>
      <c r="D25" s="58"/>
      <c r="E25" s="58"/>
      <c r="F25" s="58"/>
      <c r="G25" s="58"/>
      <c r="H25" s="32" t="n">
        <f aca="false">C25*$C$4+D25*$D$4+E25*$E$4+F25*$F$4+G25*$G$4</f>
        <v>0</v>
      </c>
      <c r="I25" s="7" t="n">
        <f aca="false">IFERROR(RANK(H25,$H$5:$H$34,0),"")</f>
        <v>1</v>
      </c>
    </row>
    <row r="26" customFormat="false" ht="15" hidden="false" customHeight="false" outlineLevel="0" collapsed="false">
      <c r="A26" s="8" t="n">
        <v>22</v>
      </c>
      <c r="B26" s="17"/>
      <c r="C26" s="59"/>
      <c r="D26" s="59"/>
      <c r="E26" s="59"/>
      <c r="F26" s="59"/>
      <c r="G26" s="59"/>
      <c r="H26" s="36" t="n">
        <f aca="false">C26*$C$4+D26*$D$4+E26*$E$4+F26*$F$4+G26*$G$4</f>
        <v>0</v>
      </c>
      <c r="I26" s="11" t="n">
        <f aca="false">IFERROR(RANK(H26,$H$5:$H$34,0),"")</f>
        <v>1</v>
      </c>
    </row>
    <row r="27" customFormat="false" ht="15" hidden="false" customHeight="false" outlineLevel="0" collapsed="false">
      <c r="A27" s="4" t="n">
        <v>23</v>
      </c>
      <c r="B27" s="19"/>
      <c r="C27" s="58"/>
      <c r="D27" s="58"/>
      <c r="E27" s="58"/>
      <c r="F27" s="58"/>
      <c r="G27" s="58"/>
      <c r="H27" s="32" t="n">
        <f aca="false">C27*$C$4+D27*$D$4+E27*$E$4+F27*$F$4+G27*$G$4</f>
        <v>0</v>
      </c>
      <c r="I27" s="7" t="n">
        <f aca="false">IFERROR(RANK(H27,$H$5:$H$34,0),"")</f>
        <v>1</v>
      </c>
    </row>
    <row r="28" customFormat="false" ht="15" hidden="false" customHeight="false" outlineLevel="0" collapsed="false">
      <c r="A28" s="8" t="n">
        <v>24</v>
      </c>
      <c r="B28" s="17"/>
      <c r="C28" s="59"/>
      <c r="D28" s="59"/>
      <c r="E28" s="59"/>
      <c r="F28" s="59"/>
      <c r="G28" s="59"/>
      <c r="H28" s="36" t="n">
        <f aca="false">C28*$C$4+D28*$D$4+E28*$E$4+F28*$F$4+G28*$G$4</f>
        <v>0</v>
      </c>
      <c r="I28" s="11" t="n">
        <f aca="false">IFERROR(RANK(H28,$H$5:$H$34,0),"")</f>
        <v>1</v>
      </c>
    </row>
    <row r="29" customFormat="false" ht="15" hidden="false" customHeight="false" outlineLevel="0" collapsed="false">
      <c r="A29" s="4" t="n">
        <v>25</v>
      </c>
      <c r="B29" s="19"/>
      <c r="C29" s="58"/>
      <c r="D29" s="58"/>
      <c r="E29" s="58"/>
      <c r="F29" s="58"/>
      <c r="G29" s="58"/>
      <c r="H29" s="32" t="n">
        <f aca="false">C29*$C$4+D29*$D$4+E29*$E$4+F29*$F$4+G29*$G$4</f>
        <v>0</v>
      </c>
      <c r="I29" s="7" t="n">
        <f aca="false">IFERROR(RANK(H29,$H$5:$H$34,0),"")</f>
        <v>1</v>
      </c>
    </row>
    <row r="30" customFormat="false" ht="15" hidden="false" customHeight="false" outlineLevel="0" collapsed="false">
      <c r="A30" s="8" t="n">
        <v>26</v>
      </c>
      <c r="B30" s="17"/>
      <c r="C30" s="59"/>
      <c r="D30" s="59"/>
      <c r="E30" s="59"/>
      <c r="F30" s="59"/>
      <c r="G30" s="59"/>
      <c r="H30" s="36" t="n">
        <f aca="false">C30*$C$4+D30*$D$4+E30*$E$4+F30*$F$4+G30*$G$4</f>
        <v>0</v>
      </c>
      <c r="I30" s="11" t="n">
        <f aca="false">IFERROR(RANK(H30,$H$5:$H$34,0),"")</f>
        <v>1</v>
      </c>
    </row>
    <row r="31" customFormat="false" ht="15" hidden="false" customHeight="false" outlineLevel="0" collapsed="false">
      <c r="A31" s="4" t="n">
        <v>27</v>
      </c>
      <c r="B31" s="19"/>
      <c r="C31" s="58"/>
      <c r="D31" s="58"/>
      <c r="E31" s="58"/>
      <c r="F31" s="58"/>
      <c r="G31" s="58"/>
      <c r="H31" s="32" t="n">
        <f aca="false">C31*$C$4+D31*$D$4+E31*$E$4+F31*$F$4+G31*$G$4</f>
        <v>0</v>
      </c>
      <c r="I31" s="7" t="n">
        <f aca="false">IFERROR(RANK(H31,$H$5:$H$34,0),"")</f>
        <v>1</v>
      </c>
    </row>
    <row r="32" customFormat="false" ht="15" hidden="false" customHeight="false" outlineLevel="0" collapsed="false">
      <c r="A32" s="8" t="n">
        <v>28</v>
      </c>
      <c r="B32" s="17"/>
      <c r="C32" s="59"/>
      <c r="D32" s="59"/>
      <c r="E32" s="59"/>
      <c r="F32" s="59"/>
      <c r="G32" s="59"/>
      <c r="H32" s="36" t="n">
        <f aca="false">C32*$C$4+D32*$D$4+E32*$E$4+F32*$F$4+G32*$G$4</f>
        <v>0</v>
      </c>
      <c r="I32" s="11" t="n">
        <f aca="false">IFERROR(RANK(H32,$H$5:$H$34,0),"")</f>
        <v>1</v>
      </c>
    </row>
    <row r="33" customFormat="false" ht="15" hidden="false" customHeight="false" outlineLevel="0" collapsed="false">
      <c r="A33" s="4" t="n">
        <v>29</v>
      </c>
      <c r="B33" s="19"/>
      <c r="C33" s="58"/>
      <c r="D33" s="58"/>
      <c r="E33" s="58"/>
      <c r="F33" s="58"/>
      <c r="G33" s="58"/>
      <c r="H33" s="32" t="n">
        <f aca="false">C33*$C$4+D33*$D$4+E33*$E$4+F33*$F$4+G33*$G$4</f>
        <v>0</v>
      </c>
      <c r="I33" s="7" t="n">
        <f aca="false">IFERROR(RANK(H33,$H$5:$H$34,0),"")</f>
        <v>1</v>
      </c>
    </row>
    <row r="34" customFormat="false" ht="15" hidden="false" customHeight="false" outlineLevel="0" collapsed="false">
      <c r="A34" s="8" t="n">
        <v>30</v>
      </c>
      <c r="B34" s="17"/>
      <c r="C34" s="59"/>
      <c r="D34" s="59"/>
      <c r="E34" s="59"/>
      <c r="F34" s="59"/>
      <c r="G34" s="59"/>
      <c r="H34" s="36" t="n">
        <f aca="false">C34*$C$4+D34*$D$4+E34*$E$4+F34*$F$4+G34*$G$4</f>
        <v>0</v>
      </c>
      <c r="I34" s="11" t="n">
        <f aca="false">IFERROR(RANK(H34,$H$5:$H$34,0),"")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25" t="s">
        <v>186</v>
      </c>
      <c r="B1" s="25"/>
      <c r="C1" s="25"/>
      <c r="D1" s="25"/>
      <c r="E1" s="25"/>
      <c r="F1" s="25"/>
      <c r="G1" s="25"/>
      <c r="H1" s="25"/>
      <c r="I1" s="25"/>
    </row>
    <row r="2" customFormat="false" ht="25.5" hidden="false" customHeight="true" outlineLevel="0" collapsed="false">
      <c r="A2" s="26" t="s">
        <v>187</v>
      </c>
      <c r="B2" s="26"/>
      <c r="C2" s="26"/>
      <c r="D2" s="26"/>
      <c r="E2" s="26"/>
      <c r="F2" s="26"/>
      <c r="G2" s="26"/>
      <c r="H2" s="26"/>
      <c r="I2" s="26"/>
    </row>
    <row r="3" customFormat="false" ht="15" hidden="false" customHeight="false" outlineLevel="0" collapsed="false">
      <c r="A3" s="27" t="s">
        <v>32</v>
      </c>
      <c r="B3" s="27" t="s">
        <v>188</v>
      </c>
      <c r="C3" s="27" t="s">
        <v>189</v>
      </c>
      <c r="D3" s="27" t="s">
        <v>190</v>
      </c>
      <c r="E3" s="27" t="s">
        <v>191</v>
      </c>
      <c r="F3" s="27" t="s">
        <v>192</v>
      </c>
      <c r="G3" s="27" t="s">
        <v>193</v>
      </c>
      <c r="H3" s="27" t="s">
        <v>194</v>
      </c>
      <c r="I3" s="27" t="s">
        <v>195</v>
      </c>
    </row>
    <row r="4" customFormat="false" ht="15" hidden="false" customHeight="false" outlineLevel="0" collapsed="false">
      <c r="A4" s="60" t="n">
        <v>1</v>
      </c>
      <c r="B4" s="61" t="s">
        <v>196</v>
      </c>
      <c r="C4" s="62"/>
      <c r="D4" s="62"/>
      <c r="E4" s="62"/>
      <c r="F4" s="62"/>
      <c r="G4" s="62"/>
      <c r="H4" s="62"/>
      <c r="I4" s="60" t="s">
        <v>197</v>
      </c>
    </row>
    <row r="5" customFormat="false" ht="15" hidden="false" customHeight="false" outlineLevel="0" collapsed="false">
      <c r="A5" s="4" t="n">
        <v>2</v>
      </c>
      <c r="B5" s="5" t="s">
        <v>198</v>
      </c>
      <c r="C5" s="19"/>
      <c r="D5" s="19"/>
      <c r="E5" s="19"/>
      <c r="F5" s="19"/>
      <c r="G5" s="19"/>
      <c r="H5" s="19"/>
      <c r="I5" s="4" t="s">
        <v>199</v>
      </c>
    </row>
    <row r="6" customFormat="false" ht="15" hidden="false" customHeight="false" outlineLevel="0" collapsed="false">
      <c r="A6" s="8" t="n">
        <v>3</v>
      </c>
      <c r="B6" s="9" t="s">
        <v>200</v>
      </c>
      <c r="C6" s="17"/>
      <c r="D6" s="17"/>
      <c r="E6" s="17"/>
      <c r="F6" s="17"/>
      <c r="G6" s="17"/>
      <c r="H6" s="17"/>
      <c r="I6" s="8" t="s">
        <v>201</v>
      </c>
    </row>
    <row r="7" customFormat="false" ht="15" hidden="false" customHeight="false" outlineLevel="0" collapsed="false">
      <c r="A7" s="4" t="n">
        <v>4</v>
      </c>
      <c r="B7" s="5" t="s">
        <v>202</v>
      </c>
      <c r="C7" s="19"/>
      <c r="D7" s="19"/>
      <c r="E7" s="19"/>
      <c r="F7" s="19"/>
      <c r="G7" s="19"/>
      <c r="H7" s="19"/>
      <c r="I7" s="4" t="s">
        <v>203</v>
      </c>
    </row>
    <row r="8" customFormat="false" ht="15" hidden="false" customHeight="false" outlineLevel="0" collapsed="false">
      <c r="A8" s="8" t="n">
        <v>1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4" t="n">
        <v>2</v>
      </c>
      <c r="B9" s="19"/>
      <c r="C9" s="19"/>
      <c r="D9" s="19"/>
      <c r="E9" s="19"/>
      <c r="F9" s="19"/>
      <c r="G9" s="19"/>
      <c r="H9" s="19"/>
      <c r="I9" s="19"/>
    </row>
    <row r="10" customFormat="false" ht="15" hidden="false" customHeight="false" outlineLevel="0" collapsed="false">
      <c r="A10" s="8" t="n">
        <v>3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4" t="n">
        <v>4</v>
      </c>
      <c r="B11" s="19"/>
      <c r="C11" s="19"/>
      <c r="D11" s="19"/>
      <c r="E11" s="19"/>
      <c r="F11" s="19"/>
      <c r="G11" s="19"/>
      <c r="H11" s="19"/>
      <c r="I11" s="19"/>
    </row>
    <row r="12" customFormat="false" ht="15" hidden="false" customHeight="false" outlineLevel="0" collapsed="false">
      <c r="A12" s="8" t="n">
        <v>5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4" t="n">
        <v>6</v>
      </c>
      <c r="B13" s="19"/>
      <c r="C13" s="19"/>
      <c r="D13" s="19"/>
      <c r="E13" s="19"/>
      <c r="F13" s="19"/>
      <c r="G13" s="19"/>
      <c r="H13" s="19"/>
      <c r="I13" s="19"/>
    </row>
    <row r="14" customFormat="false" ht="15" hidden="false" customHeight="false" outlineLevel="0" collapsed="false">
      <c r="A14" s="8" t="n">
        <v>7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4" t="n">
        <v>8</v>
      </c>
      <c r="B15" s="19"/>
      <c r="C15" s="19"/>
      <c r="D15" s="19"/>
      <c r="E15" s="19"/>
      <c r="F15" s="19"/>
      <c r="G15" s="19"/>
      <c r="H15" s="19"/>
      <c r="I15" s="19"/>
    </row>
    <row r="16" customFormat="false" ht="15" hidden="false" customHeight="false" outlineLevel="0" collapsed="false">
      <c r="A16" s="8" t="n">
        <v>9</v>
      </c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4" t="n">
        <v>10</v>
      </c>
      <c r="B17" s="19"/>
      <c r="C17" s="19"/>
      <c r="D17" s="19"/>
      <c r="E17" s="19"/>
      <c r="F17" s="19"/>
      <c r="G17" s="19"/>
      <c r="H17" s="19"/>
      <c r="I17" s="19"/>
    </row>
    <row r="18" customFormat="false" ht="15" hidden="false" customHeight="false" outlineLevel="0" collapsed="false">
      <c r="A18" s="8" t="n">
        <v>11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4" t="n">
        <v>12</v>
      </c>
      <c r="B19" s="19"/>
      <c r="C19" s="19"/>
      <c r="D19" s="19"/>
      <c r="E19" s="19"/>
      <c r="F19" s="19"/>
      <c r="G19" s="19"/>
      <c r="H19" s="19"/>
      <c r="I19" s="19"/>
    </row>
    <row r="20" customFormat="false" ht="15" hidden="false" customHeight="false" outlineLevel="0" collapsed="false">
      <c r="A20" s="8" t="n">
        <v>13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4" t="n">
        <v>14</v>
      </c>
      <c r="B21" s="19"/>
      <c r="C21" s="19"/>
      <c r="D21" s="19"/>
      <c r="E21" s="19"/>
      <c r="F21" s="19"/>
      <c r="G21" s="19"/>
      <c r="H21" s="19"/>
      <c r="I21" s="19"/>
    </row>
    <row r="22" customFormat="false" ht="15" hidden="false" customHeight="false" outlineLevel="0" collapsed="false">
      <c r="A22" s="8" t="n">
        <v>15</v>
      </c>
      <c r="B22" s="17"/>
      <c r="C22" s="17"/>
      <c r="D22" s="17"/>
      <c r="E22" s="17"/>
      <c r="F22" s="17"/>
      <c r="G22" s="17"/>
      <c r="H22" s="17"/>
      <c r="I22" s="17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204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63" t="s">
        <v>205</v>
      </c>
      <c r="B2" s="63"/>
      <c r="C2" s="63"/>
      <c r="D2" s="63"/>
      <c r="E2" s="63"/>
      <c r="F2" s="63"/>
    </row>
    <row r="3" customFormat="false" ht="15" hidden="false" customHeight="false" outlineLevel="0" collapsed="false">
      <c r="A3" s="16" t="s">
        <v>2</v>
      </c>
      <c r="B3" s="16" t="s">
        <v>206</v>
      </c>
      <c r="C3" s="16" t="s">
        <v>207</v>
      </c>
      <c r="D3" s="16" t="s">
        <v>208</v>
      </c>
      <c r="E3" s="16" t="s">
        <v>209</v>
      </c>
      <c r="F3" s="16" t="s">
        <v>210</v>
      </c>
    </row>
    <row r="4" customFormat="false" ht="31.5" hidden="false" customHeight="true" outlineLevel="0" collapsed="false">
      <c r="A4" s="8" t="n">
        <v>1</v>
      </c>
      <c r="B4" s="9" t="s">
        <v>211</v>
      </c>
      <c r="C4" s="10" t="s">
        <v>212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213</v>
      </c>
      <c r="C5" s="6" t="s">
        <v>214</v>
      </c>
      <c r="D5" s="19"/>
      <c r="E5" s="19"/>
      <c r="F5" s="19"/>
    </row>
    <row r="6" customFormat="false" ht="31.5" hidden="false" customHeight="true" outlineLevel="0" collapsed="false">
      <c r="A6" s="8" t="n">
        <v>3</v>
      </c>
      <c r="B6" s="9" t="s">
        <v>215</v>
      </c>
      <c r="C6" s="10" t="s">
        <v>216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217</v>
      </c>
      <c r="C7" s="6" t="s">
        <v>218</v>
      </c>
      <c r="D7" s="19"/>
      <c r="E7" s="19"/>
      <c r="F7" s="19"/>
    </row>
    <row r="8" customFormat="false" ht="31.5" hidden="false" customHeight="true" outlineLevel="0" collapsed="false">
      <c r="A8" s="8" t="n">
        <v>5</v>
      </c>
      <c r="B8" s="9" t="s">
        <v>219</v>
      </c>
      <c r="C8" s="10" t="s">
        <v>220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221</v>
      </c>
      <c r="C9" s="6" t="s">
        <v>222</v>
      </c>
      <c r="D9" s="19"/>
      <c r="E9" s="19"/>
      <c r="F9" s="19"/>
    </row>
    <row r="10" customFormat="false" ht="31.5" hidden="false" customHeight="true" outlineLevel="0" collapsed="false">
      <c r="A10" s="8" t="n">
        <v>7</v>
      </c>
      <c r="B10" s="9" t="s">
        <v>223</v>
      </c>
      <c r="C10" s="10" t="s">
        <v>224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225</v>
      </c>
      <c r="C11" s="6" t="s">
        <v>226</v>
      </c>
      <c r="D11" s="19"/>
      <c r="E11" s="19"/>
      <c r="F11" s="19"/>
    </row>
    <row r="12" customFormat="false" ht="31.5" hidden="false" customHeight="true" outlineLevel="0" collapsed="false">
      <c r="A12" s="8" t="n">
        <v>9</v>
      </c>
      <c r="B12" s="9" t="s">
        <v>227</v>
      </c>
      <c r="C12" s="10" t="s">
        <v>228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229</v>
      </c>
      <c r="C13" s="6" t="s">
        <v>230</v>
      </c>
      <c r="D13" s="19"/>
      <c r="E13" s="19"/>
      <c r="F13" s="19"/>
    </row>
    <row r="14" customFormat="false" ht="31.5" hidden="false" customHeight="true" outlineLevel="0" collapsed="false">
      <c r="A14" s="8" t="n">
        <v>11</v>
      </c>
      <c r="B14" s="9" t="s">
        <v>231</v>
      </c>
      <c r="C14" s="10" t="s">
        <v>232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233</v>
      </c>
      <c r="C15" s="6" t="s">
        <v>234</v>
      </c>
      <c r="D15" s="19"/>
      <c r="E15" s="19"/>
      <c r="F15" s="19"/>
    </row>
    <row r="16" customFormat="false" ht="31.5" hidden="false" customHeight="true" outlineLevel="0" collapsed="false">
      <c r="A16" s="8" t="n">
        <v>13</v>
      </c>
      <c r="B16" s="9" t="s">
        <v>235</v>
      </c>
      <c r="C16" s="10" t="s">
        <v>236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237</v>
      </c>
      <c r="C17" s="6" t="s">
        <v>238</v>
      </c>
      <c r="D17" s="19"/>
      <c r="E17" s="19"/>
      <c r="F17" s="19"/>
    </row>
    <row r="18" customFormat="false" ht="31.5" hidden="false" customHeight="true" outlineLevel="0" collapsed="false">
      <c r="A18" s="8" t="n">
        <v>15</v>
      </c>
      <c r="B18" s="9" t="s">
        <v>239</v>
      </c>
      <c r="C18" s="10" t="s">
        <v>240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241</v>
      </c>
      <c r="C19" s="6" t="s">
        <v>242</v>
      </c>
      <c r="D19" s="19"/>
      <c r="E19" s="19"/>
      <c r="F19" s="19"/>
    </row>
    <row r="20" customFormat="false" ht="31.5" hidden="false" customHeight="true" outlineLevel="0" collapsed="false">
      <c r="A20" s="8" t="n">
        <v>17</v>
      </c>
      <c r="B20" s="9" t="s">
        <v>243</v>
      </c>
      <c r="C20" s="10" t="s">
        <v>244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245</v>
      </c>
      <c r="C21" s="6" t="s">
        <v>246</v>
      </c>
      <c r="D21" s="19"/>
      <c r="E21" s="19"/>
      <c r="F21" s="19"/>
    </row>
    <row r="22" customFormat="false" ht="31.5" hidden="false" customHeight="true" outlineLevel="0" collapsed="false">
      <c r="A22" s="8" t="n">
        <v>19</v>
      </c>
      <c r="B22" s="9" t="s">
        <v>247</v>
      </c>
      <c r="C22" s="10" t="s">
        <v>248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249</v>
      </c>
      <c r="C23" s="6" t="s">
        <v>250</v>
      </c>
      <c r="D23" s="19"/>
      <c r="E23" s="19"/>
      <c r="F23" s="1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2026-05-04T12:00:13Z</dcterms:created>
  <dc:creator>openpyxl</dc:creator>
  <dc:description/>
  <dc:language>en-US</dc:language>
  <cp:lastModifiedBy/>
  <dcterms:modified xsi:type="dcterms:W3CDTF">2026-05-04T12:00:13Z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