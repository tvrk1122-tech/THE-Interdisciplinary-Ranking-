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Total Interdisc. Pubs" sheetId="2" state="visible" r:id="rId4"/>
    <sheet name="2. Total vs Interdisc." sheetId="3" state="visible" r:id="rId5"/>
    <sheet name="3. YoY Growth" sheetId="4" state="visible" r:id="rId6"/>
    <sheet name="4. ASJC Pair Matrix" sheetId="5" state="visible" r:id="rId7"/>
    <sheet name="5. Breadth &amp; Entropy" sheetId="6" state="visible" r:id="rId8"/>
    <sheet name="6. Pubs by ASJC Area" sheetId="7" state="visible" r:id="rId9"/>
    <sheet name="7. Fractional Analysis" sheetId="8" state="visible" r:id="rId10"/>
    <sheet name="8. Publication Types" sheetId="9" state="visible" r:id="rId11"/>
    <sheet name="9. Composite Pub Score" sheetId="10" state="visible" r:id="rId12"/>
    <sheet name="10. Benchmarking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<sst xmlns="http://schemas.openxmlformats.org/spreadsheetml/2006/main" count="241" uniqueCount="216">
  <si>
    <t xml:space="preserve">THE Interdisciplinary Rankings — Outputs Pillar (65%) → Number of Publications (10%)</t>
  </si>
  <si>
    <t xml:space="preserve">Volume of Interdisciplinary Research Output | Source: Scopus | 10% of Total Ranking Score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</si>
  <si>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</si>
  <si>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</si>
  <si>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</si>
  <si>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</si>
  <si>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Total Interdisciplinary Publication Count</t>
  </si>
  <si>
    <t xml:space="preserve">Total count of Scopus-indexed publications tagged to 2+ ASJC top-level subject areas over a 5-year rolling window. Includes articles, reviews, and conference papers. Fractional counting applied for multi-institution papers. Normalized by academic staff FTE for size-fair comparison.</t>
  </si>
  <si>
    <t xml:space="preserve">~4%</t>
  </si>
  <si>
    <t xml:space="preserve">Publication Volume by ASJC Cross-Domain Pairs</t>
  </si>
  <si>
    <t xml:space="preserve">Breakdown of interdisciplinary publications by specific ASJC area pairs (e.g., CS+MEDI, CHEM+ENGI, PHYS+MATE). Captures which cross-domain pairs are most productive. Maps the institution's interdisciplinary research profile.</t>
  </si>
  <si>
    <t xml:space="preserve">~2%</t>
  </si>
  <si>
    <t xml:space="preserve">Year-on-Year Growth of Interdisciplinary Output</t>
  </si>
  <si>
    <t xml:space="preserve">Compound Annual Growth Rate (CAGR) of interdisciplinary publications over the 5-year window. Measures whether the institution is accelerating or stagnating in cross-domain research production. High growth indicates emerging interdisciplinary culture.</t>
  </si>
  <si>
    <t xml:space="preserve">~1.5%</t>
  </si>
  <si>
    <t xml:space="preserve">Publication Breadth (ASJC Coverage)</t>
  </si>
  <si>
    <t xml:space="preserve">Number of unique ASJC top-level area pairs in which the institution has published. Entropy of pair distribution also assessed. Broader coverage = more comprehensive interdisciplinary research portfolio.</t>
  </si>
  <si>
    <t xml:space="preserve">Fractional vs. Full Counting Analysis</t>
  </si>
  <si>
    <t xml:space="preserve">Comparison of full-count vs. fractional-count publication volumes. High fractional ratio indicates strong lead-authorship in interdisciplinary work rather than peripheral contribution. Fractional share per paper = 1 / number of institutional affiliations.</t>
  </si>
  <si>
    <t xml:space="preserve">~1%</t>
  </si>
  <si>
    <t xml:space="preserve">Outputs Pillar Context &amp; Key Notes</t>
  </si>
  <si>
    <t xml:space="preserve">• Outputs Pillar = 65% of total ranking. Sub-components: Publications (10%) + Citations (15%) + Patents &amp; Innovation (10%) + Cross-field Citation Flows (15%) + International Collaboration (15%).</t>
  </si>
  <si>
    <t xml:space="preserve">• This workbook covers ONLY the Number of Publications sub-component (10% of total).</t>
  </si>
  <si>
    <t xml:space="preserve">• Data source: Scopus bibliometric database (Elsevier). 5-year rolling window (e.g., 2019–2023 for 2025 cycle).</t>
  </si>
  <si>
    <t xml:space="preserve">• Interdisciplinary = publication tagged to 2+ ASJC top-level areas in Scopus classification.</t>
  </si>
  <si>
    <t xml:space="preserve">• Publication types: articles, reviews, conference papers. Editorials, letters, errata excluded.</t>
  </si>
  <si>
    <t xml:space="preserve">• Fractional counting: each paper attributed proportionally across co-authoring institutions (1/N).</t>
  </si>
  <si>
    <t xml:space="preserve">• Normalization by academic FTE for size-fair comparison. PPP not required (count-based, not financial).</t>
  </si>
  <si>
    <t xml:space="preserve">• ASJC = All Science Journal Classification — Scopus standard with 27 top-level areas and 300+ sub-areas.</t>
  </si>
  <si>
    <t xml:space="preserve">Total Interdisciplinary Publication Count (5-Year Window)</t>
  </si>
  <si>
    <t xml:space="preserve">Scopus-indexed publications spanning 2+ ASJC areas | Full count &amp; fractional count | Normalized by FTE</t>
  </si>
  <si>
    <t xml:space="preserve">S.No.</t>
  </si>
  <si>
    <t xml:space="preserve">University Name</t>
  </si>
  <si>
    <t xml:space="preserve">Country</t>
  </si>
  <si>
    <t xml:space="preserve">Year 1 Pubs</t>
  </si>
  <si>
    <t xml:space="preserve">Year 2</t>
  </si>
  <si>
    <t xml:space="preserve">Year 3</t>
  </si>
  <si>
    <t xml:space="preserve">Year 4</t>
  </si>
  <si>
    <t xml:space="preserve">Year 5</t>
  </si>
  <si>
    <t xml:space="preserve">5-Year Total (Full Count)</t>
  </si>
  <si>
    <t xml:space="preserve">5-Year Fractional Count</t>
  </si>
  <si>
    <t xml:space="preserve">Academic Staff (FTE)</t>
  </si>
  <si>
    <t xml:space="preserve">Pubs per FTE (Full)</t>
  </si>
  <si>
    <t xml:space="preserve">Pubs per FTE (Fractional)</t>
  </si>
  <si>
    <t xml:space="preserve">Summary Statistics</t>
  </si>
  <si>
    <t xml:space="preserve">Total Interdisc. Pubs (All Universities)</t>
  </si>
  <si>
    <t xml:space="preserve">Average 5-Year Total per University</t>
  </si>
  <si>
    <t xml:space="preserve">Average Pubs per FTE</t>
  </si>
  <si>
    <t xml:space="preserve">Highest Pubs per FTE</t>
  </si>
  <si>
    <t xml:space="preserve">Average Fractional per FTE</t>
  </si>
  <si>
    <t xml:space="preserve">Total Publications vs. Interdisciplinary Publications</t>
  </si>
  <si>
    <t xml:space="preserve">Establishes overall research volume &amp; interdisciplinary share | 5-year window</t>
  </si>
  <si>
    <t xml:space="preserve">Total Publications (5yr, All Types)</t>
  </si>
  <si>
    <t xml:space="preserve">Scopus-Indexed (Articles+Reviews+Conf.)</t>
  </si>
  <si>
    <t xml:space="preserve">Single-ASJC Area Pubs</t>
  </si>
  <si>
    <t xml:space="preserve">Multi-ASJC (2 Areas)</t>
  </si>
  <si>
    <t xml:space="preserve">Multi-ASJC (3+ Areas)</t>
  </si>
  <si>
    <t xml:space="preserve">% Interdisciplinary (2+ ASJC)</t>
  </si>
  <si>
    <t xml:space="preserve">Reporting Period</t>
  </si>
  <si>
    <t xml:space="preserve">Year-on-Year Growth of Interdisciplinary Publication Output</t>
  </si>
  <si>
    <t xml:space="preserve">CAGR &amp; annual growth rates | 5-year trajectory of cross-domain research volume</t>
  </si>
  <si>
    <t xml:space="preserve">Year 1 Interdisc. Pubs</t>
  </si>
  <si>
    <t xml:space="preserve">CAGR (%)</t>
  </si>
  <si>
    <t xml:space="preserve">5-Year Absolute Growth (%)</t>
  </si>
  <si>
    <t xml:space="preserve">Growth Tier</t>
  </si>
  <si>
    <t xml:space="preserve">Interdisciplinary Publications by Top ASJC Cross-Domain Pairs</t>
  </si>
  <si>
    <t xml:space="preserve">Count of publications spanning each specific pair of ASJC areas | Top 15 most common pairs shown</t>
  </si>
  <si>
    <t xml:space="preserve">University ↓ / Pair →</t>
  </si>
  <si>
    <t xml:space="preserve">CS-MEDI</t>
  </si>
  <si>
    <t xml:space="preserve">CS-ENGI</t>
  </si>
  <si>
    <t xml:space="preserve">CHEM-MATE</t>
  </si>
  <si>
    <t xml:space="preserve">CHEM-ENGI</t>
  </si>
  <si>
    <t xml:space="preserve">PHYS-MATE</t>
  </si>
  <si>
    <t xml:space="preserve">ENGI-ENVI</t>
  </si>
  <si>
    <t xml:space="preserve">BIOC-MEDI</t>
  </si>
  <si>
    <t xml:space="preserve">CS-MATH</t>
  </si>
  <si>
    <t xml:space="preserve">EART-ENVI</t>
  </si>
  <si>
    <t xml:space="preserve">ENER-ENGI</t>
  </si>
  <si>
    <t xml:space="preserve">AGRI-ENVI</t>
  </si>
  <si>
    <t xml:space="preserve">CS-BIOC</t>
  </si>
  <si>
    <t xml:space="preserve">PHYS-ENGI</t>
  </si>
  <si>
    <t xml:space="preserve">MEDI-HEAL</t>
  </si>
  <si>
    <t xml:space="preserve">SOCI-PSYC</t>
  </si>
  <si>
    <t xml:space="preserve">Total Pairs</t>
  </si>
  <si>
    <t xml:space="preserve">Unique Pairs</t>
  </si>
  <si>
    <t xml:space="preserve">Publication Breadth — ASJC Pair Coverage &amp; Entropy</t>
  </si>
  <si>
    <t xml:space="preserve">How many unique ASJC pairs has the university published in? Higher entropy = more even spread across pairs</t>
  </si>
  <si>
    <t xml:space="preserve">Total Interdisc. Pubs (5yr)</t>
  </si>
  <si>
    <t xml:space="preserve">Unique ASJC Pair Count</t>
  </si>
  <si>
    <t xml:space="preserve">Max Possible Pairs</t>
  </si>
  <si>
    <t xml:space="preserve">Coverage (%)</t>
  </si>
  <si>
    <t xml:space="preserve">Pair Entropy H (bits)</t>
  </si>
  <si>
    <t xml:space="preserve">Breadth Score (0–100)</t>
  </si>
  <si>
    <t xml:space="preserve">Breadth Tier</t>
  </si>
  <si>
    <t xml:space="preserve">Interdisciplinary Publications by ASJC Area (Appearance Count)</t>
  </si>
  <si>
    <t xml:space="preserve">How often each ASJC area appears in the university's interdisc. publications | One paper may appear in multiple areas</t>
  </si>
  <si>
    <t xml:space="preserve">University ↓ / ASJC →</t>
  </si>
  <si>
    <t xml:space="preserve">AGRI</t>
  </si>
  <si>
    <t xml:space="preserve">AH</t>
  </si>
  <si>
    <t xml:space="preserve">BIOC</t>
  </si>
  <si>
    <t xml:space="preserve">BUS</t>
  </si>
  <si>
    <t xml:space="preserve">CENG</t>
  </si>
  <si>
    <t xml:space="preserve">CHEM</t>
  </si>
  <si>
    <t xml:space="preserve">CS</t>
  </si>
  <si>
    <t xml:space="preserve">DENT</t>
  </si>
  <si>
    <t xml:space="preserve">EART</t>
  </si>
  <si>
    <t xml:space="preserve">ECON</t>
  </si>
  <si>
    <t xml:space="preserve">ENER</t>
  </si>
  <si>
    <t xml:space="preserve">ENGI</t>
  </si>
  <si>
    <t xml:space="preserve">ENVI</t>
  </si>
  <si>
    <t xml:space="preserve">HEAL</t>
  </si>
  <si>
    <t xml:space="preserve">IMMU</t>
  </si>
  <si>
    <t xml:space="preserve">MATE</t>
  </si>
  <si>
    <t xml:space="preserve">MATH</t>
  </si>
  <si>
    <t xml:space="preserve">MEDI</t>
  </si>
  <si>
    <t xml:space="preserve">NEUR</t>
  </si>
  <si>
    <t xml:space="preserve">NURS</t>
  </si>
  <si>
    <t xml:space="preserve">PHAR</t>
  </si>
  <si>
    <t xml:space="preserve">PHYS</t>
  </si>
  <si>
    <t xml:space="preserve">PSYC</t>
  </si>
  <si>
    <t xml:space="preserve">SOCI</t>
  </si>
  <si>
    <t xml:space="preserve">VETE</t>
  </si>
  <si>
    <t xml:space="preserve">MULT</t>
  </si>
  <si>
    <t xml:space="preserve">Areas Active</t>
  </si>
  <si>
    <t xml:space="preserve">Coverage %</t>
  </si>
  <si>
    <t xml:space="preserve">Fractional vs. Full Counting Analysis — Interdisciplinary Publications</t>
  </si>
  <si>
    <t xml:space="preserve">Fractional share = 1/N per paper (N = co-authoring institutions) | Higher ratio = stronger lead-authorship</t>
  </si>
  <si>
    <t xml:space="preserve">Full Count (5yr)</t>
  </si>
  <si>
    <t xml:space="preserve">Fractional Count (5yr)</t>
  </si>
  <si>
    <t xml:space="preserve">Fractional/Full Ratio</t>
  </si>
  <si>
    <t xml:space="preserve">Avg Institutions per Paper</t>
  </si>
  <si>
    <t xml:space="preserve">Solo-Institution Interdisc. Pubs</t>
  </si>
  <si>
    <t xml:space="preserve">% Solo-Institution</t>
  </si>
  <si>
    <t xml:space="preserve">Interdisciplinary Publication Type &amp; Access Breakdown</t>
  </si>
  <si>
    <t xml:space="preserve">Articles vs. reviews vs. conference papers | Open access vs. subscription | Journal quality tiers</t>
  </si>
  <si>
    <t xml:space="preserve">Research Articles</t>
  </si>
  <si>
    <t xml:space="preserve">Review Papers</t>
  </si>
  <si>
    <t xml:space="preserve">Conference Papers</t>
  </si>
  <si>
    <t xml:space="preserve">Total Interdisc. Pubs</t>
  </si>
  <si>
    <t xml:space="preserve">Open Access Pubs</t>
  </si>
  <si>
    <t xml:space="preserve">% Open Access</t>
  </si>
  <si>
    <t xml:space="preserve">Pubs in Q1 Journals (SJR)</t>
  </si>
  <si>
    <t xml:space="preserve">Composite Number of Publications Score (0–100) — 10% of Total Ranking</t>
  </si>
  <si>
    <t xml:space="preserve">Weighted composite of 5 sub-indicators | Weights editable in Row 4</t>
  </si>
  <si>
    <t xml:space="preserve">Pubs/FTE Score (A)</t>
  </si>
  <si>
    <t xml:space="preserve">Pair Volume (B)</t>
  </si>
  <si>
    <t xml:space="preserve">Growth CAGR (C)</t>
  </si>
  <si>
    <t xml:space="preserve">Breadth/Entropy (D)</t>
  </si>
  <si>
    <t xml:space="preserve">Fractional Ratio (E)</t>
  </si>
  <si>
    <t xml:space="preserve">Composite Pub Score (0–100)</t>
  </si>
  <si>
    <t xml:space="preserve">Global Rank</t>
  </si>
  <si>
    <t xml:space="preserve">Weights →</t>
  </si>
  <si>
    <t xml:space="preserve">Benchmarking — Number of Publications</t>
  </si>
  <si>
    <t xml:space="preserve">University / Benchmark</t>
  </si>
  <si>
    <t xml:space="preserve">Pubs/FTE</t>
  </si>
  <si>
    <t xml:space="preserve">Pair Volume</t>
  </si>
  <si>
    <t xml:space="preserve">Growth</t>
  </si>
  <si>
    <t xml:space="preserve">Breadth</t>
  </si>
  <si>
    <t xml:space="preserve">Frac. Ratio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</si>
  <si>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</si>
  <si>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</si>
  <si>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</si>
  <si>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</si>
  <si>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</si>
  <si>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</si>
  <si>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</si>
  <si>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</si>
  <si>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</si>
  <si>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</si>
  <si>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Number of Publications — Data Quality &amp; Audit Checklist</t>
  </si>
  <si>
    <t xml:space="preserve">Validation for all sub-indicators of the Publications component (10%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</si>
  <si>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</si>
  <si>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</si>
  <si>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</si>
  <si>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</si>
  <si>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</si>
  <si>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Scopus data extraction verification</t>
  </si>
  <si>
    <t xml:space="preserve">All publication data extracted from Scopus using institutional affiliation ID; verified against SciVal profile</t>
  </si>
  <si>
    <t xml:space="preserve">ASJC classification accuracy</t>
  </si>
  <si>
    <t xml:space="preserve">Interdisciplinary = tagged to 2+ ASJC top-level areas; sub-areas within the same top-level NOT counted as interdisciplinary</t>
  </si>
  <si>
    <t xml:space="preserve">Publication type filter</t>
  </si>
  <si>
    <t xml:space="preserve">Only articles, reviews, and conference papers included; editorials, letters, errata, book chapters excluded</t>
  </si>
  <si>
    <t xml:space="preserve">5-year window consistency</t>
  </si>
  <si>
    <t xml:space="preserve">All 5 years cover the same calendar-year definition (Jan-Dec); no partial years</t>
  </si>
  <si>
    <t xml:space="preserve">Fractional counting method</t>
  </si>
  <si>
    <t xml:space="preserve">Fractional count = 1/N where N = number of distinct institutional affiliations on each paper; verified</t>
  </si>
  <si>
    <t xml:space="preserve">Full vs. fractional reconciliation</t>
  </si>
  <si>
    <t xml:space="preserve">Fractional count ≤ full count for every university; no data entry errors</t>
  </si>
  <si>
    <t xml:space="preserve">ASJC pair definition</t>
  </si>
  <si>
    <t xml:space="preserve">Pairs counted using top-level ASJC codes only (27 areas); sub-area pairs NOT counted separately</t>
  </si>
  <si>
    <t xml:space="preserve">CAGR formula verification</t>
  </si>
  <si>
    <t xml:space="preserve">CAGR = (Year5/Year1)^(1/4) − 1; negative growth handled correctly; Year1=0 returns error, not infinity</t>
  </si>
  <si>
    <t xml:space="preserve">Entropy calculation</t>
  </si>
  <si>
    <t xml:space="preserve">Pair entropy uses log₂; proportions across pairs sum to 100%; verified for 2–3 universities</t>
  </si>
  <si>
    <t xml:space="preserve">Duplicate detection</t>
  </si>
  <si>
    <t xml:space="preserve">Same publication not counted twice (e.g., preprint + published version deduplicated)</t>
  </si>
  <si>
    <t xml:space="preserve">Retracted paper exclusion</t>
  </si>
  <si>
    <t xml:space="preserve">Retracted publications removed from counts; checked against Retraction Watch database</t>
  </si>
  <si>
    <t xml:space="preserve">Open access classification</t>
  </si>
  <si>
    <t xml:space="preserve">OA status from Scopus Unpaywall data; consistent classification (Gold, Green, Hybrid, Bronze)</t>
  </si>
  <si>
    <t xml:space="preserve">Q1 journal classification</t>
  </si>
  <si>
    <t xml:space="preserve">SJR quartile data from SCImago; journals classified by their most recent available SJR quartile</t>
  </si>
  <si>
    <t xml:space="preserve">FTE definition consistency</t>
  </si>
  <si>
    <t xml:space="preserve">Academic FTE per THE guidelines; consistent with other pillar submissions</t>
  </si>
  <si>
    <t xml:space="preserve">Cross-validation with other pillars</t>
  </si>
  <si>
    <t xml:space="preserve">Publication counts consistent with Research Quality, Citation, and Cross-field pillars (no contradictions)</t>
  </si>
  <si>
    <t xml:space="preserve">Minimum threshold check</t>
  </si>
  <si>
    <t xml:space="preserve">Universities below minimum publication threshold flagged for exclusion consideration</t>
  </si>
  <si>
    <t xml:space="preserve">Outlier detection</t>
  </si>
  <si>
    <t xml:space="preserve">Universities with pubs/FTE &gt;3 SD from mean flagged for verification</t>
  </si>
  <si>
    <t xml:space="preserve">Normalization method</t>
  </si>
  <si>
    <t xml:space="preserve">Confirm z-scoring or min-max normalization applied consistently across all universities</t>
  </si>
  <si>
    <t xml:space="preserve">Year-on-year trend check</t>
  </si>
  <si>
    <t xml:space="preserve">Compare current data with previous cycle; flag anomalous changes (&gt;30% shift)</t>
  </si>
  <si>
    <t xml:space="preserve">Reproducibility test</t>
  </si>
  <si>
    <t xml:space="preserve">All calculations reproducible by independent analyst using this workbook and Scopus 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</si>
</sst>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#,##0.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9B111E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9B111E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F51B5"/>
      </patternFill>
    </fill>
    <fill>
      <patternFill patternType="solid">
        <fgColor rgb="FFBF8F00"/>
        <bgColor rgb="FFED7D31"/>
      </patternFill>
    </fill>
    <fill>
      <patternFill patternType="solid">
        <fgColor rgb="FF2F8F9D"/>
        <bgColor rgb="FF2E75B6"/>
      </patternFill>
    </fill>
    <fill>
      <patternFill patternType="solid">
        <fgColor rgb="FF6D4C41"/>
        <bgColor rgb="FF404040"/>
      </patternFill>
    </fill>
    <fill>
      <patternFill patternType="solid">
        <fgColor rgb="FF3F51B5"/>
        <bgColor rgb="FF666699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9B111E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111E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14</v>
      </c>
    </row>
    <row r="9" customFormat="false" ht="84.75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23.85" hidden="false" customHeight="true" outlineLevel="0" collapsed="false">
      <c r="A12" s="13" t="s">
        <v>21</v>
      </c>
      <c r="B12" s="13"/>
      <c r="C12" s="13"/>
      <c r="D12" s="13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10" min="9" style="0" width="18"/>
    <col collapsed="false" customWidth="true" hidden="false" outlineLevel="0" max="12" min="11" style="0" width="16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25.5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23.85" hidden="false" customHeight="false" outlineLevel="0" collapsed="false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  <c r="L3" s="16" t="s">
        <v>42</v>
      </c>
      <c r="M3" s="16" t="s">
        <v>43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SUM(D4:H4)</f>
        <v>0</v>
      </c>
      <c r="J4" s="17"/>
      <c r="K4" s="17"/>
      <c r="L4" s="18" t="n">
        <f aca="false">IF(K4&gt;0,I4/K4,0)</f>
        <v>0</v>
      </c>
      <c r="M4" s="19" t="n">
        <f aca="false">IF(K4&gt;0,J4/K4,0)</f>
        <v>0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0"/>
      <c r="I5" s="4" t="n">
        <f aca="false">SUM(D5:H5)</f>
        <v>0</v>
      </c>
      <c r="J5" s="20"/>
      <c r="K5" s="20"/>
      <c r="L5" s="21" t="n">
        <f aca="false">IF(K5&gt;0,I5/K5,0)</f>
        <v>0</v>
      </c>
      <c r="M5" s="22" t="n">
        <f aca="false">IF(K5&gt;0,J5/K5,0)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SUM(D6:H6)</f>
        <v>0</v>
      </c>
      <c r="J6" s="17"/>
      <c r="K6" s="17"/>
      <c r="L6" s="18" t="n">
        <f aca="false">IF(K6&gt;0,I6/K6,0)</f>
        <v>0</v>
      </c>
      <c r="M6" s="19" t="n">
        <f aca="false">IF(K6&gt;0,J6/K6,0)</f>
        <v>0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0"/>
      <c r="I7" s="4" t="n">
        <f aca="false">SUM(D7:H7)</f>
        <v>0</v>
      </c>
      <c r="J7" s="20"/>
      <c r="K7" s="20"/>
      <c r="L7" s="21" t="n">
        <f aca="false">IF(K7&gt;0,I7/K7,0)</f>
        <v>0</v>
      </c>
      <c r="M7" s="22" t="n">
        <f aca="false">IF(K7&gt;0,J7/K7,0)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SUM(D8:H8)</f>
        <v>0</v>
      </c>
      <c r="J8" s="17"/>
      <c r="K8" s="17"/>
      <c r="L8" s="18" t="n">
        <f aca="false">IF(K8&gt;0,I8/K8,0)</f>
        <v>0</v>
      </c>
      <c r="M8" s="19" t="n">
        <f aca="false">IF(K8&gt;0,J8/K8,0)</f>
        <v>0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0"/>
      <c r="I9" s="4" t="n">
        <f aca="false">SUM(D9:H9)</f>
        <v>0</v>
      </c>
      <c r="J9" s="20"/>
      <c r="K9" s="20"/>
      <c r="L9" s="21" t="n">
        <f aca="false">IF(K9&gt;0,I9/K9,0)</f>
        <v>0</v>
      </c>
      <c r="M9" s="22" t="n">
        <f aca="false">IF(K9&gt;0,J9/K9,0)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SUM(D10:H10)</f>
        <v>0</v>
      </c>
      <c r="J10" s="17"/>
      <c r="K10" s="17"/>
      <c r="L10" s="18" t="n">
        <f aca="false">IF(K10&gt;0,I10/K10,0)</f>
        <v>0</v>
      </c>
      <c r="M10" s="19" t="n">
        <f aca="false">IF(K10&gt;0,J10/K10,0)</f>
        <v>0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0"/>
      <c r="I11" s="4" t="n">
        <f aca="false">SUM(D11:H11)</f>
        <v>0</v>
      </c>
      <c r="J11" s="20"/>
      <c r="K11" s="20"/>
      <c r="L11" s="21" t="n">
        <f aca="false">IF(K11&gt;0,I11/K11,0)</f>
        <v>0</v>
      </c>
      <c r="M11" s="22" t="n">
        <f aca="false">IF(K11&gt;0,J11/K11,0)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SUM(D12:H12)</f>
        <v>0</v>
      </c>
      <c r="J12" s="17"/>
      <c r="K12" s="17"/>
      <c r="L12" s="18" t="n">
        <f aca="false">IF(K12&gt;0,I12/K12,0)</f>
        <v>0</v>
      </c>
      <c r="M12" s="19" t="n">
        <f aca="false">IF(K12&gt;0,J12/K12,0)</f>
        <v>0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0"/>
      <c r="I13" s="4" t="n">
        <f aca="false">SUM(D13:H13)</f>
        <v>0</v>
      </c>
      <c r="J13" s="20"/>
      <c r="K13" s="20"/>
      <c r="L13" s="21" t="n">
        <f aca="false">IF(K13&gt;0,I13/K13,0)</f>
        <v>0</v>
      </c>
      <c r="M13" s="22" t="n">
        <f aca="false">IF(K13&gt;0,J13/K13,0)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SUM(D14:H14)</f>
        <v>0</v>
      </c>
      <c r="J14" s="17"/>
      <c r="K14" s="17"/>
      <c r="L14" s="18" t="n">
        <f aca="false">IF(K14&gt;0,I14/K14,0)</f>
        <v>0</v>
      </c>
      <c r="M14" s="19" t="n">
        <f aca="false">IF(K14&gt;0,J14/K14,0)</f>
        <v>0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0"/>
      <c r="I15" s="4" t="n">
        <f aca="false">SUM(D15:H15)</f>
        <v>0</v>
      </c>
      <c r="J15" s="20"/>
      <c r="K15" s="20"/>
      <c r="L15" s="21" t="n">
        <f aca="false">IF(K15&gt;0,I15/K15,0)</f>
        <v>0</v>
      </c>
      <c r="M15" s="22" t="n">
        <f aca="false">IF(K15&gt;0,J15/K15,0)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SUM(D16:H16)</f>
        <v>0</v>
      </c>
      <c r="J16" s="17"/>
      <c r="K16" s="17"/>
      <c r="L16" s="18" t="n">
        <f aca="false">IF(K16&gt;0,I16/K16,0)</f>
        <v>0</v>
      </c>
      <c r="M16" s="19" t="n">
        <f aca="false">IF(K16&gt;0,J16/K16,0)</f>
        <v>0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0"/>
      <c r="I17" s="4" t="n">
        <f aca="false">SUM(D17:H17)</f>
        <v>0</v>
      </c>
      <c r="J17" s="20"/>
      <c r="K17" s="20"/>
      <c r="L17" s="21" t="n">
        <f aca="false">IF(K17&gt;0,I17/K17,0)</f>
        <v>0</v>
      </c>
      <c r="M17" s="22" t="n">
        <f aca="false">IF(K17&gt;0,J17/K17,0)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SUM(D18:H18)</f>
        <v>0</v>
      </c>
      <c r="J18" s="17"/>
      <c r="K18" s="17"/>
      <c r="L18" s="18" t="n">
        <f aca="false">IF(K18&gt;0,I18/K18,0)</f>
        <v>0</v>
      </c>
      <c r="M18" s="19" t="n">
        <f aca="false">IF(K18&gt;0,J18/K18,0)</f>
        <v>0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0"/>
      <c r="I19" s="4" t="n">
        <f aca="false">SUM(D19:H19)</f>
        <v>0</v>
      </c>
      <c r="J19" s="20"/>
      <c r="K19" s="20"/>
      <c r="L19" s="21" t="n">
        <f aca="false">IF(K19&gt;0,I19/K19,0)</f>
        <v>0</v>
      </c>
      <c r="M19" s="22" t="n">
        <f aca="false">IF(K19&gt;0,J19/K19,0)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SUM(D20:H20)</f>
        <v>0</v>
      </c>
      <c r="J20" s="17"/>
      <c r="K20" s="17"/>
      <c r="L20" s="18" t="n">
        <f aca="false">IF(K20&gt;0,I20/K20,0)</f>
        <v>0</v>
      </c>
      <c r="M20" s="19" t="n">
        <f aca="false">IF(K20&gt;0,J20/K20,0)</f>
        <v>0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0"/>
      <c r="I21" s="4" t="n">
        <f aca="false">SUM(D21:H21)</f>
        <v>0</v>
      </c>
      <c r="J21" s="20"/>
      <c r="K21" s="20"/>
      <c r="L21" s="21" t="n">
        <f aca="false">IF(K21&gt;0,I21/K21,0)</f>
        <v>0</v>
      </c>
      <c r="M21" s="22" t="n">
        <f aca="false">IF(K21&gt;0,J21/K21,0)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SUM(D22:H22)</f>
        <v>0</v>
      </c>
      <c r="J22" s="17"/>
      <c r="K22" s="17"/>
      <c r="L22" s="18" t="n">
        <f aca="false">IF(K22&gt;0,I22/K22,0)</f>
        <v>0</v>
      </c>
      <c r="M22" s="19" t="n">
        <f aca="false">IF(K22&gt;0,J22/K22,0)</f>
        <v>0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0"/>
      <c r="I23" s="4" t="n">
        <f aca="false">SUM(D23:H23)</f>
        <v>0</v>
      </c>
      <c r="J23" s="20"/>
      <c r="K23" s="20"/>
      <c r="L23" s="21" t="n">
        <f aca="false">IF(K23&gt;0,I23/K23,0)</f>
        <v>0</v>
      </c>
      <c r="M23" s="22" t="n">
        <f aca="false">IF(K23&gt;0,J23/K23,0)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SUM(D24:H24)</f>
        <v>0</v>
      </c>
      <c r="J24" s="17"/>
      <c r="K24" s="17"/>
      <c r="L24" s="18" t="n">
        <f aca="false">IF(K24&gt;0,I24/K24,0)</f>
        <v>0</v>
      </c>
      <c r="M24" s="19" t="n">
        <f aca="false">IF(K24&gt;0,J24/K24,0)</f>
        <v>0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0"/>
      <c r="I25" s="4" t="n">
        <f aca="false">SUM(D25:H25)</f>
        <v>0</v>
      </c>
      <c r="J25" s="20"/>
      <c r="K25" s="20"/>
      <c r="L25" s="21" t="n">
        <f aca="false">IF(K25&gt;0,I25/K25,0)</f>
        <v>0</v>
      </c>
      <c r="M25" s="22" t="n">
        <f aca="false">IF(K25&gt;0,J25/K25,0)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SUM(D26:H26)</f>
        <v>0</v>
      </c>
      <c r="J26" s="17"/>
      <c r="K26" s="17"/>
      <c r="L26" s="18" t="n">
        <f aca="false">IF(K26&gt;0,I26/K26,0)</f>
        <v>0</v>
      </c>
      <c r="M26" s="19" t="n">
        <f aca="false">IF(K26&gt;0,J26/K26,0)</f>
        <v>0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0"/>
      <c r="I27" s="4" t="n">
        <f aca="false">SUM(D27:H27)</f>
        <v>0</v>
      </c>
      <c r="J27" s="20"/>
      <c r="K27" s="20"/>
      <c r="L27" s="21" t="n">
        <f aca="false">IF(K27&gt;0,I27/K27,0)</f>
        <v>0</v>
      </c>
      <c r="M27" s="22" t="n">
        <f aca="false">IF(K27&gt;0,J27/K27,0)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SUM(D28:H28)</f>
        <v>0</v>
      </c>
      <c r="J28" s="17"/>
      <c r="K28" s="17"/>
      <c r="L28" s="18" t="n">
        <f aca="false">IF(K28&gt;0,I28/K28,0)</f>
        <v>0</v>
      </c>
      <c r="M28" s="19" t="n">
        <f aca="false">IF(K28&gt;0,J28/K28,0)</f>
        <v>0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0"/>
      <c r="I29" s="4" t="n">
        <f aca="false">SUM(D29:H29)</f>
        <v>0</v>
      </c>
      <c r="J29" s="20"/>
      <c r="K29" s="20"/>
      <c r="L29" s="21" t="n">
        <f aca="false">IF(K29&gt;0,I29/K29,0)</f>
        <v>0</v>
      </c>
      <c r="M29" s="22" t="n">
        <f aca="false">IF(K29&gt;0,J29/K29,0)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SUM(D30:H30)</f>
        <v>0</v>
      </c>
      <c r="J30" s="17"/>
      <c r="K30" s="17"/>
      <c r="L30" s="18" t="n">
        <f aca="false">IF(K30&gt;0,I30/K30,0)</f>
        <v>0</v>
      </c>
      <c r="M30" s="19" t="n">
        <f aca="false">IF(K30&gt;0,J30/K30,0)</f>
        <v>0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0"/>
      <c r="I31" s="4" t="n">
        <f aca="false">SUM(D31:H31)</f>
        <v>0</v>
      </c>
      <c r="J31" s="20"/>
      <c r="K31" s="20"/>
      <c r="L31" s="21" t="n">
        <f aca="false">IF(K31&gt;0,I31/K31,0)</f>
        <v>0</v>
      </c>
      <c r="M31" s="22" t="n">
        <f aca="false">IF(K31&gt;0,J31/K31,0)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SUM(D32:H32)</f>
        <v>0</v>
      </c>
      <c r="J32" s="17"/>
      <c r="K32" s="17"/>
      <c r="L32" s="18" t="n">
        <f aca="false">IF(K32&gt;0,I32/K32,0)</f>
        <v>0</v>
      </c>
      <c r="M32" s="19" t="n">
        <f aca="false">IF(K32&gt;0,J32/K32,0)</f>
        <v>0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0"/>
      <c r="I33" s="4" t="n">
        <f aca="false">SUM(D33:H33)</f>
        <v>0</v>
      </c>
      <c r="J33" s="20"/>
      <c r="K33" s="20"/>
      <c r="L33" s="21" t="n">
        <f aca="false">IF(K33&gt;0,I33/K33,0)</f>
        <v>0</v>
      </c>
      <c r="M33" s="22" t="n">
        <f aca="false">IF(K33&gt;0,J33/K33,0)</f>
        <v>0</v>
      </c>
    </row>
    <row r="35" customFormat="false" ht="25.5" hidden="false" customHeight="true" outlineLevel="0" collapsed="false">
      <c r="A35" s="23" t="s">
        <v>44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customFormat="false" ht="15" hidden="false" customHeight="true" outlineLevel="0" collapsed="false">
      <c r="A36" s="24" t="s">
        <v>45</v>
      </c>
      <c r="B36" s="24"/>
      <c r="C36" s="24"/>
      <c r="D36" s="24"/>
      <c r="E36" s="24"/>
      <c r="F36" s="25" t="n">
        <f aca="false">SUM(I4:I33)</f>
        <v>0</v>
      </c>
      <c r="G36" s="26"/>
      <c r="H36" s="26"/>
      <c r="I36" s="26"/>
      <c r="J36" s="26"/>
      <c r="K36" s="26"/>
      <c r="L36" s="26"/>
      <c r="M36" s="26"/>
    </row>
    <row r="37" customFormat="false" ht="15" hidden="false" customHeight="true" outlineLevel="0" collapsed="false">
      <c r="A37" s="24" t="s">
        <v>46</v>
      </c>
      <c r="B37" s="24"/>
      <c r="C37" s="24"/>
      <c r="D37" s="24"/>
      <c r="E37" s="24"/>
      <c r="F37" s="25" t="n">
        <f aca="false">IF(COUNTA(I4:I33)&gt;0,AVERAGE(I4:I33),0)</f>
        <v>0</v>
      </c>
      <c r="G37" s="26"/>
      <c r="H37" s="26"/>
      <c r="I37" s="26"/>
      <c r="J37" s="26"/>
      <c r="K37" s="26"/>
      <c r="L37" s="26"/>
      <c r="M37" s="26"/>
    </row>
    <row r="38" customFormat="false" ht="15" hidden="false" customHeight="true" outlineLevel="0" collapsed="false">
      <c r="A38" s="24" t="s">
        <v>47</v>
      </c>
      <c r="B38" s="24"/>
      <c r="C38" s="24"/>
      <c r="D38" s="24"/>
      <c r="E38" s="24"/>
      <c r="F38" s="25" t="n">
        <f aca="false">IF(COUNTA(L4:L33)&gt;0,AVERAGE(L4:L33),0)</f>
        <v>0</v>
      </c>
      <c r="G38" s="26"/>
      <c r="H38" s="26"/>
      <c r="I38" s="26"/>
      <c r="J38" s="26"/>
      <c r="K38" s="26"/>
      <c r="L38" s="26"/>
      <c r="M38" s="26"/>
    </row>
    <row r="39" customFormat="false" ht="15" hidden="false" customHeight="true" outlineLevel="0" collapsed="false">
      <c r="A39" s="24" t="s">
        <v>48</v>
      </c>
      <c r="B39" s="24"/>
      <c r="C39" s="24"/>
      <c r="D39" s="24"/>
      <c r="E39" s="24"/>
      <c r="F39" s="25" t="n">
        <f aca="false">MAX(L4:L33)</f>
        <v>0</v>
      </c>
      <c r="G39" s="26"/>
      <c r="H39" s="26"/>
      <c r="I39" s="26"/>
      <c r="J39" s="26"/>
      <c r="K39" s="26"/>
      <c r="L39" s="26"/>
      <c r="M39" s="26"/>
    </row>
    <row r="40" customFormat="false" ht="15" hidden="false" customHeight="true" outlineLevel="0" collapsed="false">
      <c r="A40" s="24" t="s">
        <v>49</v>
      </c>
      <c r="B40" s="24"/>
      <c r="C40" s="24"/>
      <c r="D40" s="24"/>
      <c r="E40" s="24"/>
      <c r="F40" s="25" t="n">
        <f aca="false">IF(COUNTA(M4:M33)&gt;0,AVERAGE(M4:M33),0)</f>
        <v>0</v>
      </c>
      <c r="G40" s="26"/>
      <c r="H40" s="26"/>
      <c r="I40" s="26"/>
      <c r="J40" s="26"/>
      <c r="K40" s="26"/>
      <c r="L40" s="26"/>
      <c r="M40" s="26"/>
    </row>
  </sheetData>
  <mergeCells count="8">
    <mergeCell ref="A1:M1"/>
    <mergeCell ref="A2:M2"/>
    <mergeCell ref="A35:M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7" t="s">
        <v>50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25.5" hidden="false" customHeight="true" outlineLevel="0" collapsed="false">
      <c r="A2" s="28" t="s">
        <v>51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35.05" hidden="false" customHeight="false" outlineLevel="0" collapsed="false">
      <c r="A3" s="29" t="s">
        <v>31</v>
      </c>
      <c r="B3" s="29" t="s">
        <v>32</v>
      </c>
      <c r="C3" s="29" t="s">
        <v>33</v>
      </c>
      <c r="D3" s="29" t="s">
        <v>52</v>
      </c>
      <c r="E3" s="29" t="s">
        <v>53</v>
      </c>
      <c r="F3" s="29" t="s">
        <v>54</v>
      </c>
      <c r="G3" s="29" t="s">
        <v>55</v>
      </c>
      <c r="H3" s="29" t="s">
        <v>56</v>
      </c>
      <c r="I3" s="29" t="s">
        <v>57</v>
      </c>
      <c r="J3" s="29" t="s">
        <v>58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8" t="n">
        <f aca="false">IF(E4&gt;0,(G4+H4)/E4*100,0)</f>
        <v>0</v>
      </c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0"/>
      <c r="I5" s="21" t="n">
        <f aca="false">IF(E5&gt;0,(G5+H5)/E5*100,0)</f>
        <v>0</v>
      </c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8" t="n">
        <f aca="false">IF(E6&gt;0,(G6+H6)/E6*100,0)</f>
        <v>0</v>
      </c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0"/>
      <c r="I7" s="21" t="n">
        <f aca="false">IF(E7&gt;0,(G7+H7)/E7*100,0)</f>
        <v>0</v>
      </c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8" t="n">
        <f aca="false">IF(E8&gt;0,(G8+H8)/E8*100,0)</f>
        <v>0</v>
      </c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0"/>
      <c r="I9" s="21" t="n">
        <f aca="false">IF(E9&gt;0,(G9+H9)/E9*100,0)</f>
        <v>0</v>
      </c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8" t="n">
        <f aca="false">IF(E10&gt;0,(G10+H10)/E10*100,0)</f>
        <v>0</v>
      </c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0"/>
      <c r="I11" s="21" t="n">
        <f aca="false">IF(E11&gt;0,(G11+H11)/E11*100,0)</f>
        <v>0</v>
      </c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8" t="n">
        <f aca="false">IF(E12&gt;0,(G12+H12)/E12*100,0)</f>
        <v>0</v>
      </c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0"/>
      <c r="I13" s="21" t="n">
        <f aca="false">IF(E13&gt;0,(G13+H13)/E13*100,0)</f>
        <v>0</v>
      </c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8" t="n">
        <f aca="false">IF(E14&gt;0,(G14+H14)/E14*100,0)</f>
        <v>0</v>
      </c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0"/>
      <c r="I15" s="21" t="n">
        <f aca="false">IF(E15&gt;0,(G15+H15)/E15*100,0)</f>
        <v>0</v>
      </c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8" t="n">
        <f aca="false">IF(E16&gt;0,(G16+H16)/E16*100,0)</f>
        <v>0</v>
      </c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0"/>
      <c r="I17" s="21" t="n">
        <f aca="false">IF(E17&gt;0,(G17+H17)/E17*100,0)</f>
        <v>0</v>
      </c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8" t="n">
        <f aca="false">IF(E18&gt;0,(G18+H18)/E18*100,0)</f>
        <v>0</v>
      </c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0"/>
      <c r="I19" s="21" t="n">
        <f aca="false">IF(E19&gt;0,(G19+H19)/E19*100,0)</f>
        <v>0</v>
      </c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8" t="n">
        <f aca="false">IF(E20&gt;0,(G20+H20)/E20*100,0)</f>
        <v>0</v>
      </c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0"/>
      <c r="I21" s="21" t="n">
        <f aca="false">IF(E21&gt;0,(G21+H21)/E21*100,0)</f>
        <v>0</v>
      </c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8" t="n">
        <f aca="false">IF(E22&gt;0,(G22+H22)/E22*100,0)</f>
        <v>0</v>
      </c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0"/>
      <c r="I23" s="21" t="n">
        <f aca="false">IF(E23&gt;0,(G23+H23)/E23*100,0)</f>
        <v>0</v>
      </c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8" t="n">
        <f aca="false">IF(E24&gt;0,(G24+H24)/E24*100,0)</f>
        <v>0</v>
      </c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0"/>
      <c r="I25" s="21" t="n">
        <f aca="false">IF(E25&gt;0,(G25+H25)/E25*100,0)</f>
        <v>0</v>
      </c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8" t="n">
        <f aca="false">IF(E26&gt;0,(G26+H26)/E26*100,0)</f>
        <v>0</v>
      </c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0"/>
      <c r="I27" s="21" t="n">
        <f aca="false">IF(E27&gt;0,(G27+H27)/E27*100,0)</f>
        <v>0</v>
      </c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8" t="n">
        <f aca="false">IF(E28&gt;0,(G28+H28)/E28*100,0)</f>
        <v>0</v>
      </c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0"/>
      <c r="I29" s="21" t="n">
        <f aca="false">IF(E29&gt;0,(G29+H29)/E29*100,0)</f>
        <v>0</v>
      </c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8" t="n">
        <f aca="false">IF(E30&gt;0,(G30+H30)/E30*100,0)</f>
        <v>0</v>
      </c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0"/>
      <c r="I31" s="21" t="n">
        <f aca="false">IF(E31&gt;0,(G31+H31)/E31*100,0)</f>
        <v>0</v>
      </c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8" t="n">
        <f aca="false">IF(E32&gt;0,(G32+H32)/E32*100,0)</f>
        <v>0</v>
      </c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0"/>
      <c r="I33" s="21" t="n">
        <f aca="false">IF(E33&gt;0,(G33+H33)/E33*100,0)</f>
        <v>0</v>
      </c>
      <c r="J33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0" t="s">
        <v>59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25.5" hidden="false" customHeight="true" outlineLevel="0" collapsed="false">
      <c r="A2" s="23" t="s">
        <v>60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customFormat="false" ht="23.85" hidden="false" customHeight="false" outlineLevel="0" collapsed="false">
      <c r="A3" s="31" t="s">
        <v>31</v>
      </c>
      <c r="B3" s="31" t="s">
        <v>32</v>
      </c>
      <c r="C3" s="31" t="s">
        <v>33</v>
      </c>
      <c r="D3" s="31" t="s">
        <v>61</v>
      </c>
      <c r="E3" s="31" t="s">
        <v>35</v>
      </c>
      <c r="F3" s="31" t="s">
        <v>36</v>
      </c>
      <c r="G3" s="31" t="s">
        <v>37</v>
      </c>
      <c r="H3" s="31" t="s">
        <v>38</v>
      </c>
      <c r="I3" s="31" t="s">
        <v>62</v>
      </c>
      <c r="J3" s="31" t="s">
        <v>63</v>
      </c>
      <c r="K3" s="31" t="s">
        <v>64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32" t="n">
        <f aca="false">IFERROR(IF(AND(D4&gt;0,H4&gt;0),(H4/D4)^(1/4)-1,0)*100,0)</f>
        <v>0</v>
      </c>
      <c r="J4" s="18" t="n">
        <f aca="false">IFERROR(IF(D4&gt;0,(H4-D4)/D4*100,0),0)</f>
        <v>0</v>
      </c>
      <c r="K4" s="11" t="str">
        <f aca="false">IF(I4&gt;=20,"Rapid Growth",IF(I4&gt;=10,"Strong Growth",IF(I4&gt;=5,"Moderate",IF(I4&gt;=0,"Stable","Declining"))))</f>
        <v>Stable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0"/>
      <c r="I5" s="33" t="n">
        <f aca="false">IFERROR(IF(AND(D5&gt;0,H5&gt;0),(H5/D5)^(1/4)-1,0)*100,0)</f>
        <v>0</v>
      </c>
      <c r="J5" s="21" t="n">
        <f aca="false">IFERROR(IF(D5&gt;0,(H5-D5)/D5*100,0),0)</f>
        <v>0</v>
      </c>
      <c r="K5" s="7" t="str">
        <f aca="false">IF(I5&gt;=20,"Rapid Growth",IF(I5&gt;=10,"Strong Growth",IF(I5&gt;=5,"Moderate",IF(I5&gt;=0,"Stable","Declining"))))</f>
        <v>Stable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32" t="n">
        <f aca="false">IFERROR(IF(AND(D6&gt;0,H6&gt;0),(H6/D6)^(1/4)-1,0)*100,0)</f>
        <v>0</v>
      </c>
      <c r="J6" s="18" t="n">
        <f aca="false">IFERROR(IF(D6&gt;0,(H6-D6)/D6*100,0),0)</f>
        <v>0</v>
      </c>
      <c r="K6" s="11" t="str">
        <f aca="false">IF(I6&gt;=20,"Rapid Growth",IF(I6&gt;=10,"Strong Growth",IF(I6&gt;=5,"Moderate",IF(I6&gt;=0,"Stable","Declining"))))</f>
        <v>Stable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0"/>
      <c r="I7" s="33" t="n">
        <f aca="false">IFERROR(IF(AND(D7&gt;0,H7&gt;0),(H7/D7)^(1/4)-1,0)*100,0)</f>
        <v>0</v>
      </c>
      <c r="J7" s="21" t="n">
        <f aca="false">IFERROR(IF(D7&gt;0,(H7-D7)/D7*100,0),0)</f>
        <v>0</v>
      </c>
      <c r="K7" s="7" t="str">
        <f aca="false">IF(I7&gt;=20,"Rapid Growth",IF(I7&gt;=10,"Strong Growth",IF(I7&gt;=5,"Moderate",IF(I7&gt;=0,"Stable","Declining"))))</f>
        <v>Stable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32" t="n">
        <f aca="false">IFERROR(IF(AND(D8&gt;0,H8&gt;0),(H8/D8)^(1/4)-1,0)*100,0)</f>
        <v>0</v>
      </c>
      <c r="J8" s="18" t="n">
        <f aca="false">IFERROR(IF(D8&gt;0,(H8-D8)/D8*100,0),0)</f>
        <v>0</v>
      </c>
      <c r="K8" s="11" t="str">
        <f aca="false">IF(I8&gt;=20,"Rapid Growth",IF(I8&gt;=10,"Strong Growth",IF(I8&gt;=5,"Moderate",IF(I8&gt;=0,"Stable","Declining"))))</f>
        <v>Stable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0"/>
      <c r="I9" s="33" t="n">
        <f aca="false">IFERROR(IF(AND(D9&gt;0,H9&gt;0),(H9/D9)^(1/4)-1,0)*100,0)</f>
        <v>0</v>
      </c>
      <c r="J9" s="21" t="n">
        <f aca="false">IFERROR(IF(D9&gt;0,(H9-D9)/D9*100,0),0)</f>
        <v>0</v>
      </c>
      <c r="K9" s="7" t="str">
        <f aca="false">IF(I9&gt;=20,"Rapid Growth",IF(I9&gt;=10,"Strong Growth",IF(I9&gt;=5,"Moderate",IF(I9&gt;=0,"Stable","Declining"))))</f>
        <v>Stable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32" t="n">
        <f aca="false">IFERROR(IF(AND(D10&gt;0,H10&gt;0),(H10/D10)^(1/4)-1,0)*100,0)</f>
        <v>0</v>
      </c>
      <c r="J10" s="18" t="n">
        <f aca="false">IFERROR(IF(D10&gt;0,(H10-D10)/D10*100,0),0)</f>
        <v>0</v>
      </c>
      <c r="K10" s="11" t="str">
        <f aca="false">IF(I10&gt;=20,"Rapid Growth",IF(I10&gt;=10,"Strong Growth",IF(I10&gt;=5,"Moderate",IF(I10&gt;=0,"Stable","Declining"))))</f>
        <v>Stable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0"/>
      <c r="I11" s="33" t="n">
        <f aca="false">IFERROR(IF(AND(D11&gt;0,H11&gt;0),(H11/D11)^(1/4)-1,0)*100,0)</f>
        <v>0</v>
      </c>
      <c r="J11" s="21" t="n">
        <f aca="false">IFERROR(IF(D11&gt;0,(H11-D11)/D11*100,0),0)</f>
        <v>0</v>
      </c>
      <c r="K11" s="7" t="str">
        <f aca="false">IF(I11&gt;=20,"Rapid Growth",IF(I11&gt;=10,"Strong Growth",IF(I11&gt;=5,"Moderate",IF(I11&gt;=0,"Stable","Declining"))))</f>
        <v>Stable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32" t="n">
        <f aca="false">IFERROR(IF(AND(D12&gt;0,H12&gt;0),(H12/D12)^(1/4)-1,0)*100,0)</f>
        <v>0</v>
      </c>
      <c r="J12" s="18" t="n">
        <f aca="false">IFERROR(IF(D12&gt;0,(H12-D12)/D12*100,0),0)</f>
        <v>0</v>
      </c>
      <c r="K12" s="11" t="str">
        <f aca="false">IF(I12&gt;=20,"Rapid Growth",IF(I12&gt;=10,"Strong Growth",IF(I12&gt;=5,"Moderate",IF(I12&gt;=0,"Stable","Declining"))))</f>
        <v>Stable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0"/>
      <c r="I13" s="33" t="n">
        <f aca="false">IFERROR(IF(AND(D13&gt;0,H13&gt;0),(H13/D13)^(1/4)-1,0)*100,0)</f>
        <v>0</v>
      </c>
      <c r="J13" s="21" t="n">
        <f aca="false">IFERROR(IF(D13&gt;0,(H13-D13)/D13*100,0),0)</f>
        <v>0</v>
      </c>
      <c r="K13" s="7" t="str">
        <f aca="false">IF(I13&gt;=20,"Rapid Growth",IF(I13&gt;=10,"Strong Growth",IF(I13&gt;=5,"Moderate",IF(I13&gt;=0,"Stable","Declining"))))</f>
        <v>Stable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32" t="n">
        <f aca="false">IFERROR(IF(AND(D14&gt;0,H14&gt;0),(H14/D14)^(1/4)-1,0)*100,0)</f>
        <v>0</v>
      </c>
      <c r="J14" s="18" t="n">
        <f aca="false">IFERROR(IF(D14&gt;0,(H14-D14)/D14*100,0),0)</f>
        <v>0</v>
      </c>
      <c r="K14" s="11" t="str">
        <f aca="false">IF(I14&gt;=20,"Rapid Growth",IF(I14&gt;=10,"Strong Growth",IF(I14&gt;=5,"Moderate",IF(I14&gt;=0,"Stable","Declining"))))</f>
        <v>Stable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0"/>
      <c r="I15" s="33" t="n">
        <f aca="false">IFERROR(IF(AND(D15&gt;0,H15&gt;0),(H15/D15)^(1/4)-1,0)*100,0)</f>
        <v>0</v>
      </c>
      <c r="J15" s="21" t="n">
        <f aca="false">IFERROR(IF(D15&gt;0,(H15-D15)/D15*100,0),0)</f>
        <v>0</v>
      </c>
      <c r="K15" s="7" t="str">
        <f aca="false">IF(I15&gt;=20,"Rapid Growth",IF(I15&gt;=10,"Strong Growth",IF(I15&gt;=5,"Moderate",IF(I15&gt;=0,"Stable","Declining"))))</f>
        <v>Stable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32" t="n">
        <f aca="false">IFERROR(IF(AND(D16&gt;0,H16&gt;0),(H16/D16)^(1/4)-1,0)*100,0)</f>
        <v>0</v>
      </c>
      <c r="J16" s="18" t="n">
        <f aca="false">IFERROR(IF(D16&gt;0,(H16-D16)/D16*100,0),0)</f>
        <v>0</v>
      </c>
      <c r="K16" s="11" t="str">
        <f aca="false">IF(I16&gt;=20,"Rapid Growth",IF(I16&gt;=10,"Strong Growth",IF(I16&gt;=5,"Moderate",IF(I16&gt;=0,"Stable","Declining"))))</f>
        <v>Stable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0"/>
      <c r="I17" s="33" t="n">
        <f aca="false">IFERROR(IF(AND(D17&gt;0,H17&gt;0),(H17/D17)^(1/4)-1,0)*100,0)</f>
        <v>0</v>
      </c>
      <c r="J17" s="21" t="n">
        <f aca="false">IFERROR(IF(D17&gt;0,(H17-D17)/D17*100,0),0)</f>
        <v>0</v>
      </c>
      <c r="K17" s="7" t="str">
        <f aca="false">IF(I17&gt;=20,"Rapid Growth",IF(I17&gt;=10,"Strong Growth",IF(I17&gt;=5,"Moderate",IF(I17&gt;=0,"Stable","Declining"))))</f>
        <v>Stable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32" t="n">
        <f aca="false">IFERROR(IF(AND(D18&gt;0,H18&gt;0),(H18/D18)^(1/4)-1,0)*100,0)</f>
        <v>0</v>
      </c>
      <c r="J18" s="18" t="n">
        <f aca="false">IFERROR(IF(D18&gt;0,(H18-D18)/D18*100,0),0)</f>
        <v>0</v>
      </c>
      <c r="K18" s="11" t="str">
        <f aca="false">IF(I18&gt;=20,"Rapid Growth",IF(I18&gt;=10,"Strong Growth",IF(I18&gt;=5,"Moderate",IF(I18&gt;=0,"Stable","Declining"))))</f>
        <v>Stable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0"/>
      <c r="I19" s="33" t="n">
        <f aca="false">IFERROR(IF(AND(D19&gt;0,H19&gt;0),(H19/D19)^(1/4)-1,0)*100,0)</f>
        <v>0</v>
      </c>
      <c r="J19" s="21" t="n">
        <f aca="false">IFERROR(IF(D19&gt;0,(H19-D19)/D19*100,0),0)</f>
        <v>0</v>
      </c>
      <c r="K19" s="7" t="str">
        <f aca="false">IF(I19&gt;=20,"Rapid Growth",IF(I19&gt;=10,"Strong Growth",IF(I19&gt;=5,"Moderate",IF(I19&gt;=0,"Stable","Declining"))))</f>
        <v>Stable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32" t="n">
        <f aca="false">IFERROR(IF(AND(D20&gt;0,H20&gt;0),(H20/D20)^(1/4)-1,0)*100,0)</f>
        <v>0</v>
      </c>
      <c r="J20" s="18" t="n">
        <f aca="false">IFERROR(IF(D20&gt;0,(H20-D20)/D20*100,0),0)</f>
        <v>0</v>
      </c>
      <c r="K20" s="11" t="str">
        <f aca="false">IF(I20&gt;=20,"Rapid Growth",IF(I20&gt;=10,"Strong Growth",IF(I20&gt;=5,"Moderate",IF(I20&gt;=0,"Stable","Declining"))))</f>
        <v>Stable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0"/>
      <c r="I21" s="33" t="n">
        <f aca="false">IFERROR(IF(AND(D21&gt;0,H21&gt;0),(H21/D21)^(1/4)-1,0)*100,0)</f>
        <v>0</v>
      </c>
      <c r="J21" s="21" t="n">
        <f aca="false">IFERROR(IF(D21&gt;0,(H21-D21)/D21*100,0),0)</f>
        <v>0</v>
      </c>
      <c r="K21" s="7" t="str">
        <f aca="false">IF(I21&gt;=20,"Rapid Growth",IF(I21&gt;=10,"Strong Growth",IF(I21&gt;=5,"Moderate",IF(I21&gt;=0,"Stable","Declining"))))</f>
        <v>Stable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32" t="n">
        <f aca="false">IFERROR(IF(AND(D22&gt;0,H22&gt;0),(H22/D22)^(1/4)-1,0)*100,0)</f>
        <v>0</v>
      </c>
      <c r="J22" s="18" t="n">
        <f aca="false">IFERROR(IF(D22&gt;0,(H22-D22)/D22*100,0),0)</f>
        <v>0</v>
      </c>
      <c r="K22" s="11" t="str">
        <f aca="false">IF(I22&gt;=20,"Rapid Growth",IF(I22&gt;=10,"Strong Growth",IF(I22&gt;=5,"Moderate",IF(I22&gt;=0,"Stable","Declining"))))</f>
        <v>Stable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0"/>
      <c r="I23" s="33" t="n">
        <f aca="false">IFERROR(IF(AND(D23&gt;0,H23&gt;0),(H23/D23)^(1/4)-1,0)*100,0)</f>
        <v>0</v>
      </c>
      <c r="J23" s="21" t="n">
        <f aca="false">IFERROR(IF(D23&gt;0,(H23-D23)/D23*100,0),0)</f>
        <v>0</v>
      </c>
      <c r="K23" s="7" t="str">
        <f aca="false">IF(I23&gt;=20,"Rapid Growth",IF(I23&gt;=10,"Strong Growth",IF(I23&gt;=5,"Moderate",IF(I23&gt;=0,"Stable","Declining"))))</f>
        <v>Stable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32" t="n">
        <f aca="false">IFERROR(IF(AND(D24&gt;0,H24&gt;0),(H24/D24)^(1/4)-1,0)*100,0)</f>
        <v>0</v>
      </c>
      <c r="J24" s="18" t="n">
        <f aca="false">IFERROR(IF(D24&gt;0,(H24-D24)/D24*100,0),0)</f>
        <v>0</v>
      </c>
      <c r="K24" s="11" t="str">
        <f aca="false">IF(I24&gt;=20,"Rapid Growth",IF(I24&gt;=10,"Strong Growth",IF(I24&gt;=5,"Moderate",IF(I24&gt;=0,"Stable","Declining"))))</f>
        <v>Stable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0"/>
      <c r="I25" s="33" t="n">
        <f aca="false">IFERROR(IF(AND(D25&gt;0,H25&gt;0),(H25/D25)^(1/4)-1,0)*100,0)</f>
        <v>0</v>
      </c>
      <c r="J25" s="21" t="n">
        <f aca="false">IFERROR(IF(D25&gt;0,(H25-D25)/D25*100,0),0)</f>
        <v>0</v>
      </c>
      <c r="K25" s="7" t="str">
        <f aca="false">IF(I25&gt;=20,"Rapid Growth",IF(I25&gt;=10,"Strong Growth",IF(I25&gt;=5,"Moderate",IF(I25&gt;=0,"Stable","Declining"))))</f>
        <v>Stable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32" t="n">
        <f aca="false">IFERROR(IF(AND(D26&gt;0,H26&gt;0),(H26/D26)^(1/4)-1,0)*100,0)</f>
        <v>0</v>
      </c>
      <c r="J26" s="18" t="n">
        <f aca="false">IFERROR(IF(D26&gt;0,(H26-D26)/D26*100,0),0)</f>
        <v>0</v>
      </c>
      <c r="K26" s="11" t="str">
        <f aca="false">IF(I26&gt;=20,"Rapid Growth",IF(I26&gt;=10,"Strong Growth",IF(I26&gt;=5,"Moderate",IF(I26&gt;=0,"Stable","Declining"))))</f>
        <v>Stable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0"/>
      <c r="I27" s="33" t="n">
        <f aca="false">IFERROR(IF(AND(D27&gt;0,H27&gt;0),(H27/D27)^(1/4)-1,0)*100,0)</f>
        <v>0</v>
      </c>
      <c r="J27" s="21" t="n">
        <f aca="false">IFERROR(IF(D27&gt;0,(H27-D27)/D27*100,0),0)</f>
        <v>0</v>
      </c>
      <c r="K27" s="7" t="str">
        <f aca="false">IF(I27&gt;=20,"Rapid Growth",IF(I27&gt;=10,"Strong Growth",IF(I27&gt;=5,"Moderate",IF(I27&gt;=0,"Stable","Declining"))))</f>
        <v>Stable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32" t="n">
        <f aca="false">IFERROR(IF(AND(D28&gt;0,H28&gt;0),(H28/D28)^(1/4)-1,0)*100,0)</f>
        <v>0</v>
      </c>
      <c r="J28" s="18" t="n">
        <f aca="false">IFERROR(IF(D28&gt;0,(H28-D28)/D28*100,0),0)</f>
        <v>0</v>
      </c>
      <c r="K28" s="11" t="str">
        <f aca="false">IF(I28&gt;=20,"Rapid Growth",IF(I28&gt;=10,"Strong Growth",IF(I28&gt;=5,"Moderate",IF(I28&gt;=0,"Stable","Declining"))))</f>
        <v>Stable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0"/>
      <c r="I29" s="33" t="n">
        <f aca="false">IFERROR(IF(AND(D29&gt;0,H29&gt;0),(H29/D29)^(1/4)-1,0)*100,0)</f>
        <v>0</v>
      </c>
      <c r="J29" s="21" t="n">
        <f aca="false">IFERROR(IF(D29&gt;0,(H29-D29)/D29*100,0),0)</f>
        <v>0</v>
      </c>
      <c r="K29" s="7" t="str">
        <f aca="false">IF(I29&gt;=20,"Rapid Growth",IF(I29&gt;=10,"Strong Growth",IF(I29&gt;=5,"Moderate",IF(I29&gt;=0,"Stable","Declining"))))</f>
        <v>Stable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32" t="n">
        <f aca="false">IFERROR(IF(AND(D30&gt;0,H30&gt;0),(H30/D30)^(1/4)-1,0)*100,0)</f>
        <v>0</v>
      </c>
      <c r="J30" s="18" t="n">
        <f aca="false">IFERROR(IF(D30&gt;0,(H30-D30)/D30*100,0),0)</f>
        <v>0</v>
      </c>
      <c r="K30" s="11" t="str">
        <f aca="false">IF(I30&gt;=20,"Rapid Growth",IF(I30&gt;=10,"Strong Growth",IF(I30&gt;=5,"Moderate",IF(I30&gt;=0,"Stable","Declining"))))</f>
        <v>Stable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0"/>
      <c r="I31" s="33" t="n">
        <f aca="false">IFERROR(IF(AND(D31&gt;0,H31&gt;0),(H31/D31)^(1/4)-1,0)*100,0)</f>
        <v>0</v>
      </c>
      <c r="J31" s="21" t="n">
        <f aca="false">IFERROR(IF(D31&gt;0,(H31-D31)/D31*100,0),0)</f>
        <v>0</v>
      </c>
      <c r="K31" s="7" t="str">
        <f aca="false">IF(I31&gt;=20,"Rapid Growth",IF(I31&gt;=10,"Strong Growth",IF(I31&gt;=5,"Moderate",IF(I31&gt;=0,"Stable","Declining"))))</f>
        <v>Stable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32" t="n">
        <f aca="false">IFERROR(IF(AND(D32&gt;0,H32&gt;0),(H32/D32)^(1/4)-1,0)*100,0)</f>
        <v>0</v>
      </c>
      <c r="J32" s="18" t="n">
        <f aca="false">IFERROR(IF(D32&gt;0,(H32-D32)/D32*100,0),0)</f>
        <v>0</v>
      </c>
      <c r="K32" s="11" t="str">
        <f aca="false">IF(I32&gt;=20,"Rapid Growth",IF(I32&gt;=10,"Strong Growth",IF(I32&gt;=5,"Moderate",IF(I32&gt;=0,"Stable","Declining"))))</f>
        <v>Stable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0"/>
      <c r="I33" s="33" t="n">
        <f aca="false">IFERROR(IF(AND(D33&gt;0,H33&gt;0),(H33/D33)^(1/4)-1,0)*100,0)</f>
        <v>0</v>
      </c>
      <c r="J33" s="21" t="n">
        <f aca="false">IFERROR(IF(D33&gt;0,(H33-D33)/D33*100,0),0)</f>
        <v>0</v>
      </c>
      <c r="K33" s="7" t="str">
        <f aca="false">IF(I33&gt;=20,"Rapid Growth",IF(I33&gt;=10,"Strong Growth",IF(I33&gt;=5,"Moderate",IF(I33&gt;=0,"Stable","Declining"))))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0"/>
    <col collapsed="false" customWidth="true" hidden="false" outlineLevel="0" max="18" min="17" style="0" width="14"/>
  </cols>
  <sheetData>
    <row r="1" customFormat="false" ht="33.75" hidden="false" customHeight="true" outlineLevel="0" collapsed="false">
      <c r="A1" s="34" t="s">
        <v>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customFormat="false" ht="25.5" hidden="false" customHeight="true" outlineLevel="0" collapsed="false">
      <c r="A2" s="35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4" customFormat="false" ht="15" hidden="false" customHeight="false" outlineLevel="0" collapsed="false">
      <c r="A4" s="36" t="s">
        <v>67</v>
      </c>
      <c r="B4" s="37" t="s">
        <v>68</v>
      </c>
      <c r="C4" s="37" t="s">
        <v>69</v>
      </c>
      <c r="D4" s="37" t="s">
        <v>70</v>
      </c>
      <c r="E4" s="37" t="s">
        <v>71</v>
      </c>
      <c r="F4" s="37" t="s">
        <v>72</v>
      </c>
      <c r="G4" s="37" t="s">
        <v>73</v>
      </c>
      <c r="H4" s="37" t="s">
        <v>74</v>
      </c>
      <c r="I4" s="37" t="s">
        <v>75</v>
      </c>
      <c r="J4" s="37" t="s">
        <v>76</v>
      </c>
      <c r="K4" s="37" t="s">
        <v>77</v>
      </c>
      <c r="L4" s="37" t="s">
        <v>78</v>
      </c>
      <c r="M4" s="37" t="s">
        <v>79</v>
      </c>
      <c r="N4" s="37" t="s">
        <v>80</v>
      </c>
      <c r="O4" s="37" t="s">
        <v>81</v>
      </c>
      <c r="P4" s="37" t="s">
        <v>82</v>
      </c>
      <c r="Q4" s="38" t="s">
        <v>83</v>
      </c>
      <c r="R4" s="38" t="s">
        <v>84</v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7" t="n">
        <f aca="false">SUM(B5:P5)</f>
        <v>0</v>
      </c>
      <c r="R5" s="7" t="n">
        <f aca="false">COUNTIF(B5:P5,"&gt;0")</f>
        <v>0</v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1" t="n">
        <f aca="false">SUM(B6:P6)</f>
        <v>0</v>
      </c>
      <c r="R6" s="11" t="n">
        <f aca="false">COUNTIF(B6:P6,"&gt;0")</f>
        <v>0</v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7" t="n">
        <f aca="false">SUM(B7:P7)</f>
        <v>0</v>
      </c>
      <c r="R7" s="7" t="n">
        <f aca="false">COUNTIF(B7:P7,"&gt;0")</f>
        <v>0</v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" t="n">
        <f aca="false">SUM(B8:P8)</f>
        <v>0</v>
      </c>
      <c r="R8" s="11" t="n">
        <f aca="false">COUNTIF(B8:P8,"&gt;0")</f>
        <v>0</v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7" t="n">
        <f aca="false">SUM(B9:P9)</f>
        <v>0</v>
      </c>
      <c r="R9" s="7" t="n">
        <f aca="false">COUNTIF(B9:P9,"&gt;0")</f>
        <v>0</v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1" t="n">
        <f aca="false">SUM(B10:P10)</f>
        <v>0</v>
      </c>
      <c r="R10" s="11" t="n">
        <f aca="false">COUNTIF(B10:P10,"&gt;0")</f>
        <v>0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7" t="n">
        <f aca="false">SUM(B11:P11)</f>
        <v>0</v>
      </c>
      <c r="R11" s="7" t="n">
        <f aca="false">COUNTIF(B11:P11,"&gt;0")</f>
        <v>0</v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1" t="n">
        <f aca="false">SUM(B12:P12)</f>
        <v>0</v>
      </c>
      <c r="R12" s="11" t="n">
        <f aca="false">COUNTIF(B12:P12,"&gt;0")</f>
        <v>0</v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7" t="n">
        <f aca="false">SUM(B13:P13)</f>
        <v>0</v>
      </c>
      <c r="R13" s="7" t="n">
        <f aca="false">COUNTIF(B13:P13,"&gt;0")</f>
        <v>0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1" t="n">
        <f aca="false">SUM(B14:P14)</f>
        <v>0</v>
      </c>
      <c r="R14" s="11" t="n">
        <f aca="false">COUNTIF(B14:P14,"&gt;0")</f>
        <v>0</v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7" t="n">
        <f aca="false">SUM(B15:P15)</f>
        <v>0</v>
      </c>
      <c r="R15" s="7" t="n">
        <f aca="false">COUNTIF(B15:P15,"&gt;0")</f>
        <v>0</v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1" t="n">
        <f aca="false">SUM(B16:P16)</f>
        <v>0</v>
      </c>
      <c r="R16" s="11" t="n">
        <f aca="false">COUNTIF(B16:P16,"&gt;0")</f>
        <v>0</v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7" t="n">
        <f aca="false">SUM(B17:P17)</f>
        <v>0</v>
      </c>
      <c r="R17" s="7" t="n">
        <f aca="false">COUNTIF(B17:P17,"&gt;0")</f>
        <v>0</v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1" t="n">
        <f aca="false">SUM(B18:P18)</f>
        <v>0</v>
      </c>
      <c r="R18" s="11" t="n">
        <f aca="false">COUNTIF(B18:P18,"&gt;0")</f>
        <v>0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7" t="n">
        <f aca="false">SUM(B19:P19)</f>
        <v>0</v>
      </c>
      <c r="R19" s="7" t="n">
        <f aca="false">COUNTIF(B19:P19,"&gt;0")</f>
        <v>0</v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1" t="n">
        <f aca="false">SUM(B20:P20)</f>
        <v>0</v>
      </c>
      <c r="R20" s="11" t="n">
        <f aca="false">COUNTIF(B20:P20,"&gt;0")</f>
        <v>0</v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7" t="n">
        <f aca="false">SUM(B21:P21)</f>
        <v>0</v>
      </c>
      <c r="R21" s="7" t="n">
        <f aca="false">COUNTIF(B21:P21,"&gt;0")</f>
        <v>0</v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1" t="n">
        <f aca="false">SUM(B22:P22)</f>
        <v>0</v>
      </c>
      <c r="R22" s="11" t="n">
        <f aca="false">COUNTIF(B22:P22,"&gt;0")</f>
        <v>0</v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7" t="n">
        <f aca="false">SUM(B23:P23)</f>
        <v>0</v>
      </c>
      <c r="R23" s="7" t="n">
        <f aca="false">COUNTIF(B23:P23,"&gt;0")</f>
        <v>0</v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1" t="n">
        <f aca="false">SUM(B24:P24)</f>
        <v>0</v>
      </c>
      <c r="R24" s="11" t="n">
        <f aca="false">COUNTIF(B24:P24,"&gt;0")</f>
        <v>0</v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7" t="n">
        <f aca="false">SUM(B25:P25)</f>
        <v>0</v>
      </c>
      <c r="R25" s="7" t="n">
        <f aca="false">COUNTIF(B25:P25,"&gt;0")</f>
        <v>0</v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1" t="n">
        <f aca="false">SUM(B26:P26)</f>
        <v>0</v>
      </c>
      <c r="R26" s="11" t="n">
        <f aca="false">COUNTIF(B26:P26,"&gt;0")</f>
        <v>0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7" t="n">
        <f aca="false">SUM(B27:P27)</f>
        <v>0</v>
      </c>
      <c r="R27" s="7" t="n">
        <f aca="false">COUNTIF(B27:P27,"&gt;0")</f>
        <v>0</v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1" t="n">
        <f aca="false">SUM(B28:P28)</f>
        <v>0</v>
      </c>
      <c r="R28" s="11" t="n">
        <f aca="false">COUNTIF(B28:P28,"&gt;0")</f>
        <v>0</v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7" t="n">
        <f aca="false">SUM(B29:P29)</f>
        <v>0</v>
      </c>
      <c r="R29" s="7" t="n">
        <f aca="false">COUNTIF(B29:P29,"&gt;0")</f>
        <v>0</v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1" t="n">
        <f aca="false">SUM(B30:P30)</f>
        <v>0</v>
      </c>
      <c r="R30" s="11" t="n">
        <f aca="false">COUNTIF(B30:P30,"&gt;0")</f>
        <v>0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7" t="n">
        <f aca="false">SUM(B31:P31)</f>
        <v>0</v>
      </c>
      <c r="R31" s="7" t="n">
        <f aca="false">COUNTIF(B31:P31,"&gt;0")</f>
        <v>0</v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1" t="n">
        <f aca="false">SUM(B32:P32)</f>
        <v>0</v>
      </c>
      <c r="R32" s="11" t="n">
        <f aca="false">COUNTIF(B32:P32,"&gt;0")</f>
        <v>0</v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7" t="n">
        <f aca="false">SUM(B33:P33)</f>
        <v>0</v>
      </c>
      <c r="R33" s="7" t="n">
        <f aca="false">COUNTIF(B33:P33,"&gt;0")</f>
        <v>0</v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1" t="n">
        <f aca="false">SUM(B34:P34)</f>
        <v>0</v>
      </c>
      <c r="R34" s="11" t="n">
        <f aca="false">COUNTIF(B34:P34,"&gt;0")</f>
        <v>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8" min="6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9" t="s">
        <v>85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25.5" hidden="false" customHeight="true" outlineLevel="0" collapsed="false">
      <c r="A2" s="40" t="s">
        <v>86</v>
      </c>
      <c r="B2" s="40"/>
      <c r="C2" s="40"/>
      <c r="D2" s="40"/>
      <c r="E2" s="40"/>
      <c r="F2" s="40"/>
      <c r="G2" s="40"/>
      <c r="H2" s="40"/>
      <c r="I2" s="40"/>
      <c r="J2" s="40"/>
    </row>
    <row r="3" customFormat="false" ht="23.85" hidden="false" customHeight="false" outlineLevel="0" collapsed="false">
      <c r="A3" s="41" t="s">
        <v>31</v>
      </c>
      <c r="B3" s="41" t="s">
        <v>32</v>
      </c>
      <c r="C3" s="41" t="s">
        <v>33</v>
      </c>
      <c r="D3" s="41" t="s">
        <v>87</v>
      </c>
      <c r="E3" s="41" t="s">
        <v>88</v>
      </c>
      <c r="F3" s="41" t="s">
        <v>89</v>
      </c>
      <c r="G3" s="41" t="s">
        <v>90</v>
      </c>
      <c r="H3" s="41" t="s">
        <v>91</v>
      </c>
      <c r="I3" s="41" t="s">
        <v>92</v>
      </c>
      <c r="J3" s="41" t="s">
        <v>93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8" t="n">
        <v>15</v>
      </c>
      <c r="G4" s="18" t="n">
        <f aca="false">IF(F4&gt;0,E4/F4*100,0)</f>
        <v>0</v>
      </c>
      <c r="H4" s="42"/>
      <c r="I4" s="32" t="n">
        <f aca="false">IFERROR(IF(MAX($H$4:$H$33)&gt;0,H4/MAX($H$4:$H$33)*100,0),0)</f>
        <v>0</v>
      </c>
      <c r="J4" s="11" t="str">
        <f aca="false">IF(I4&gt;=80,"Very Broad",IF(I4&gt;=60,"Broad",IF(I4&gt;=40,"Moderate",IF(I4&gt;=20,"Narrow","Very Narrow"))))</f>
        <v>Very Narrow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4" t="n">
        <v>15</v>
      </c>
      <c r="G5" s="21" t="n">
        <f aca="false">IF(F5&gt;0,E5/F5*100,0)</f>
        <v>0</v>
      </c>
      <c r="H5" s="43"/>
      <c r="I5" s="33" t="n">
        <f aca="false">IFERROR(IF(MAX($H$4:$H$33)&gt;0,H5/MAX($H$4:$H$33)*100,0),0)</f>
        <v>0</v>
      </c>
      <c r="J5" s="7" t="str">
        <f aca="false">IF(I5&gt;=80,"Very Broad",IF(I5&gt;=60,"Broad",IF(I5&gt;=40,"Moderate",IF(I5&gt;=20,"Narrow","Very Narrow"))))</f>
        <v>Very Narrow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8" t="n">
        <v>15</v>
      </c>
      <c r="G6" s="18" t="n">
        <f aca="false">IF(F6&gt;0,E6/F6*100,0)</f>
        <v>0</v>
      </c>
      <c r="H6" s="42"/>
      <c r="I6" s="32" t="n">
        <f aca="false">IFERROR(IF(MAX($H$4:$H$33)&gt;0,H6/MAX($H$4:$H$33)*100,0),0)</f>
        <v>0</v>
      </c>
      <c r="J6" s="11" t="str">
        <f aca="false">IF(I6&gt;=80,"Very Broad",IF(I6&gt;=60,"Broad",IF(I6&gt;=40,"Moderate",IF(I6&gt;=20,"Narrow","Very Narrow"))))</f>
        <v>Very Narrow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4" t="n">
        <v>15</v>
      </c>
      <c r="G7" s="21" t="n">
        <f aca="false">IF(F7&gt;0,E7/F7*100,0)</f>
        <v>0</v>
      </c>
      <c r="H7" s="43"/>
      <c r="I7" s="33" t="n">
        <f aca="false">IFERROR(IF(MAX($H$4:$H$33)&gt;0,H7/MAX($H$4:$H$33)*100,0),0)</f>
        <v>0</v>
      </c>
      <c r="J7" s="7" t="str">
        <f aca="false">IF(I7&gt;=80,"Very Broad",IF(I7&gt;=60,"Broad",IF(I7&gt;=40,"Moderate",IF(I7&gt;=20,"Narrow","Very Narrow"))))</f>
        <v>Very Narrow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8" t="n">
        <v>15</v>
      </c>
      <c r="G8" s="18" t="n">
        <f aca="false">IF(F8&gt;0,E8/F8*100,0)</f>
        <v>0</v>
      </c>
      <c r="H8" s="42"/>
      <c r="I8" s="32" t="n">
        <f aca="false">IFERROR(IF(MAX($H$4:$H$33)&gt;0,H8/MAX($H$4:$H$33)*100,0),0)</f>
        <v>0</v>
      </c>
      <c r="J8" s="11" t="str">
        <f aca="false">IF(I8&gt;=80,"Very Broad",IF(I8&gt;=60,"Broad",IF(I8&gt;=40,"Moderate",IF(I8&gt;=20,"Narrow","Very Narrow"))))</f>
        <v>Very Narrow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4" t="n">
        <v>15</v>
      </c>
      <c r="G9" s="21" t="n">
        <f aca="false">IF(F9&gt;0,E9/F9*100,0)</f>
        <v>0</v>
      </c>
      <c r="H9" s="43"/>
      <c r="I9" s="33" t="n">
        <f aca="false">IFERROR(IF(MAX($H$4:$H$33)&gt;0,H9/MAX($H$4:$H$33)*100,0),0)</f>
        <v>0</v>
      </c>
      <c r="J9" s="7" t="str">
        <f aca="false">IF(I9&gt;=80,"Very Broad",IF(I9&gt;=60,"Broad",IF(I9&gt;=40,"Moderate",IF(I9&gt;=20,"Narrow","Very Narrow"))))</f>
        <v>Very Narrow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8" t="n">
        <v>15</v>
      </c>
      <c r="G10" s="18" t="n">
        <f aca="false">IF(F10&gt;0,E10/F10*100,0)</f>
        <v>0</v>
      </c>
      <c r="H10" s="42"/>
      <c r="I10" s="32" t="n">
        <f aca="false">IFERROR(IF(MAX($H$4:$H$33)&gt;0,H10/MAX($H$4:$H$33)*100,0),0)</f>
        <v>0</v>
      </c>
      <c r="J10" s="11" t="str">
        <f aca="false">IF(I10&gt;=80,"Very Broad",IF(I10&gt;=60,"Broad",IF(I10&gt;=40,"Moderate",IF(I10&gt;=20,"Narrow","Very Narrow"))))</f>
        <v>Very Narrow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4" t="n">
        <v>15</v>
      </c>
      <c r="G11" s="21" t="n">
        <f aca="false">IF(F11&gt;0,E11/F11*100,0)</f>
        <v>0</v>
      </c>
      <c r="H11" s="43"/>
      <c r="I11" s="33" t="n">
        <f aca="false">IFERROR(IF(MAX($H$4:$H$33)&gt;0,H11/MAX($H$4:$H$33)*100,0),0)</f>
        <v>0</v>
      </c>
      <c r="J11" s="7" t="str">
        <f aca="false">IF(I11&gt;=80,"Very Broad",IF(I11&gt;=60,"Broad",IF(I11&gt;=40,"Moderate",IF(I11&gt;=20,"Narrow","Very Narrow"))))</f>
        <v>Very Narrow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8" t="n">
        <v>15</v>
      </c>
      <c r="G12" s="18" t="n">
        <f aca="false">IF(F12&gt;0,E12/F12*100,0)</f>
        <v>0</v>
      </c>
      <c r="H12" s="42"/>
      <c r="I12" s="32" t="n">
        <f aca="false">IFERROR(IF(MAX($H$4:$H$33)&gt;0,H12/MAX($H$4:$H$33)*100,0),0)</f>
        <v>0</v>
      </c>
      <c r="J12" s="11" t="str">
        <f aca="false">IF(I12&gt;=80,"Very Broad",IF(I12&gt;=60,"Broad",IF(I12&gt;=40,"Moderate",IF(I12&gt;=20,"Narrow","Very Narrow"))))</f>
        <v>Very Narrow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4" t="n">
        <v>15</v>
      </c>
      <c r="G13" s="21" t="n">
        <f aca="false">IF(F13&gt;0,E13/F13*100,0)</f>
        <v>0</v>
      </c>
      <c r="H13" s="43"/>
      <c r="I13" s="33" t="n">
        <f aca="false">IFERROR(IF(MAX($H$4:$H$33)&gt;0,H13/MAX($H$4:$H$33)*100,0),0)</f>
        <v>0</v>
      </c>
      <c r="J13" s="7" t="str">
        <f aca="false">IF(I13&gt;=80,"Very Broad",IF(I13&gt;=60,"Broad",IF(I13&gt;=40,"Moderate",IF(I13&gt;=20,"Narrow","Very Narrow"))))</f>
        <v>Very Narrow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8" t="n">
        <v>15</v>
      </c>
      <c r="G14" s="18" t="n">
        <f aca="false">IF(F14&gt;0,E14/F14*100,0)</f>
        <v>0</v>
      </c>
      <c r="H14" s="42"/>
      <c r="I14" s="32" t="n">
        <f aca="false">IFERROR(IF(MAX($H$4:$H$33)&gt;0,H14/MAX($H$4:$H$33)*100,0),0)</f>
        <v>0</v>
      </c>
      <c r="J14" s="11" t="str">
        <f aca="false">IF(I14&gt;=80,"Very Broad",IF(I14&gt;=60,"Broad",IF(I14&gt;=40,"Moderate",IF(I14&gt;=20,"Narrow","Very Narrow"))))</f>
        <v>Very Narrow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4" t="n">
        <v>15</v>
      </c>
      <c r="G15" s="21" t="n">
        <f aca="false">IF(F15&gt;0,E15/F15*100,0)</f>
        <v>0</v>
      </c>
      <c r="H15" s="43"/>
      <c r="I15" s="33" t="n">
        <f aca="false">IFERROR(IF(MAX($H$4:$H$33)&gt;0,H15/MAX($H$4:$H$33)*100,0),0)</f>
        <v>0</v>
      </c>
      <c r="J15" s="7" t="str">
        <f aca="false">IF(I15&gt;=80,"Very Broad",IF(I15&gt;=60,"Broad",IF(I15&gt;=40,"Moderate",IF(I15&gt;=20,"Narrow","Very Narrow"))))</f>
        <v>Very Narrow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8" t="n">
        <v>15</v>
      </c>
      <c r="G16" s="18" t="n">
        <f aca="false">IF(F16&gt;0,E16/F16*100,0)</f>
        <v>0</v>
      </c>
      <c r="H16" s="42"/>
      <c r="I16" s="32" t="n">
        <f aca="false">IFERROR(IF(MAX($H$4:$H$33)&gt;0,H16/MAX($H$4:$H$33)*100,0),0)</f>
        <v>0</v>
      </c>
      <c r="J16" s="11" t="str">
        <f aca="false">IF(I16&gt;=80,"Very Broad",IF(I16&gt;=60,"Broad",IF(I16&gt;=40,"Moderate",IF(I16&gt;=20,"Narrow","Very Narrow"))))</f>
        <v>Very Narrow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4" t="n">
        <v>15</v>
      </c>
      <c r="G17" s="21" t="n">
        <f aca="false">IF(F17&gt;0,E17/F17*100,0)</f>
        <v>0</v>
      </c>
      <c r="H17" s="43"/>
      <c r="I17" s="33" t="n">
        <f aca="false">IFERROR(IF(MAX($H$4:$H$33)&gt;0,H17/MAX($H$4:$H$33)*100,0),0)</f>
        <v>0</v>
      </c>
      <c r="J17" s="7" t="str">
        <f aca="false">IF(I17&gt;=80,"Very Broad",IF(I17&gt;=60,"Broad",IF(I17&gt;=40,"Moderate",IF(I17&gt;=20,"Narrow","Very Narrow"))))</f>
        <v>Very Narrow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8" t="n">
        <v>15</v>
      </c>
      <c r="G18" s="18" t="n">
        <f aca="false">IF(F18&gt;0,E18/F18*100,0)</f>
        <v>0</v>
      </c>
      <c r="H18" s="42"/>
      <c r="I18" s="32" t="n">
        <f aca="false">IFERROR(IF(MAX($H$4:$H$33)&gt;0,H18/MAX($H$4:$H$33)*100,0),0)</f>
        <v>0</v>
      </c>
      <c r="J18" s="11" t="str">
        <f aca="false">IF(I18&gt;=80,"Very Broad",IF(I18&gt;=60,"Broad",IF(I18&gt;=40,"Moderate",IF(I18&gt;=20,"Narrow","Very Narrow"))))</f>
        <v>Very Narrow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4" t="n">
        <v>15</v>
      </c>
      <c r="G19" s="21" t="n">
        <f aca="false">IF(F19&gt;0,E19/F19*100,0)</f>
        <v>0</v>
      </c>
      <c r="H19" s="43"/>
      <c r="I19" s="33" t="n">
        <f aca="false">IFERROR(IF(MAX($H$4:$H$33)&gt;0,H19/MAX($H$4:$H$33)*100,0),0)</f>
        <v>0</v>
      </c>
      <c r="J19" s="7" t="str">
        <f aca="false">IF(I19&gt;=80,"Very Broad",IF(I19&gt;=60,"Broad",IF(I19&gt;=40,"Moderate",IF(I19&gt;=20,"Narrow","Very Narrow"))))</f>
        <v>Very Narrow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8" t="n">
        <v>15</v>
      </c>
      <c r="G20" s="18" t="n">
        <f aca="false">IF(F20&gt;0,E20/F20*100,0)</f>
        <v>0</v>
      </c>
      <c r="H20" s="42"/>
      <c r="I20" s="32" t="n">
        <f aca="false">IFERROR(IF(MAX($H$4:$H$33)&gt;0,H20/MAX($H$4:$H$33)*100,0),0)</f>
        <v>0</v>
      </c>
      <c r="J20" s="11" t="str">
        <f aca="false">IF(I20&gt;=80,"Very Broad",IF(I20&gt;=60,"Broad",IF(I20&gt;=40,"Moderate",IF(I20&gt;=20,"Narrow","Very Narrow"))))</f>
        <v>Very Narrow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4" t="n">
        <v>15</v>
      </c>
      <c r="G21" s="21" t="n">
        <f aca="false">IF(F21&gt;0,E21/F21*100,0)</f>
        <v>0</v>
      </c>
      <c r="H21" s="43"/>
      <c r="I21" s="33" t="n">
        <f aca="false">IFERROR(IF(MAX($H$4:$H$33)&gt;0,H21/MAX($H$4:$H$33)*100,0),0)</f>
        <v>0</v>
      </c>
      <c r="J21" s="7" t="str">
        <f aca="false">IF(I21&gt;=80,"Very Broad",IF(I21&gt;=60,"Broad",IF(I21&gt;=40,"Moderate",IF(I21&gt;=20,"Narrow","Very Narrow"))))</f>
        <v>Very Narrow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8" t="n">
        <v>15</v>
      </c>
      <c r="G22" s="18" t="n">
        <f aca="false">IF(F22&gt;0,E22/F22*100,0)</f>
        <v>0</v>
      </c>
      <c r="H22" s="42"/>
      <c r="I22" s="32" t="n">
        <f aca="false">IFERROR(IF(MAX($H$4:$H$33)&gt;0,H22/MAX($H$4:$H$33)*100,0),0)</f>
        <v>0</v>
      </c>
      <c r="J22" s="11" t="str">
        <f aca="false">IF(I22&gt;=80,"Very Broad",IF(I22&gt;=60,"Broad",IF(I22&gt;=40,"Moderate",IF(I22&gt;=20,"Narrow","Very Narrow"))))</f>
        <v>Very Narrow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4" t="n">
        <v>15</v>
      </c>
      <c r="G23" s="21" t="n">
        <f aca="false">IF(F23&gt;0,E23/F23*100,0)</f>
        <v>0</v>
      </c>
      <c r="H23" s="43"/>
      <c r="I23" s="33" t="n">
        <f aca="false">IFERROR(IF(MAX($H$4:$H$33)&gt;0,H23/MAX($H$4:$H$33)*100,0),0)</f>
        <v>0</v>
      </c>
      <c r="J23" s="7" t="str">
        <f aca="false">IF(I23&gt;=80,"Very Broad",IF(I23&gt;=60,"Broad",IF(I23&gt;=40,"Moderate",IF(I23&gt;=20,"Narrow","Very Narrow"))))</f>
        <v>Very Narrow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8" t="n">
        <v>15</v>
      </c>
      <c r="G24" s="18" t="n">
        <f aca="false">IF(F24&gt;0,E24/F24*100,0)</f>
        <v>0</v>
      </c>
      <c r="H24" s="42"/>
      <c r="I24" s="32" t="n">
        <f aca="false">IFERROR(IF(MAX($H$4:$H$33)&gt;0,H24/MAX($H$4:$H$33)*100,0),0)</f>
        <v>0</v>
      </c>
      <c r="J24" s="11" t="str">
        <f aca="false">IF(I24&gt;=80,"Very Broad",IF(I24&gt;=60,"Broad",IF(I24&gt;=40,"Moderate",IF(I24&gt;=20,"Narrow","Very Narrow"))))</f>
        <v>Very Narrow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4" t="n">
        <v>15</v>
      </c>
      <c r="G25" s="21" t="n">
        <f aca="false">IF(F25&gt;0,E25/F25*100,0)</f>
        <v>0</v>
      </c>
      <c r="H25" s="43"/>
      <c r="I25" s="33" t="n">
        <f aca="false">IFERROR(IF(MAX($H$4:$H$33)&gt;0,H25/MAX($H$4:$H$33)*100,0),0)</f>
        <v>0</v>
      </c>
      <c r="J25" s="7" t="str">
        <f aca="false">IF(I25&gt;=80,"Very Broad",IF(I25&gt;=60,"Broad",IF(I25&gt;=40,"Moderate",IF(I25&gt;=20,"Narrow","Very Narrow"))))</f>
        <v>Very Narrow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8" t="n">
        <v>15</v>
      </c>
      <c r="G26" s="18" t="n">
        <f aca="false">IF(F26&gt;0,E26/F26*100,0)</f>
        <v>0</v>
      </c>
      <c r="H26" s="42"/>
      <c r="I26" s="32" t="n">
        <f aca="false">IFERROR(IF(MAX($H$4:$H$33)&gt;0,H26/MAX($H$4:$H$33)*100,0),0)</f>
        <v>0</v>
      </c>
      <c r="J26" s="11" t="str">
        <f aca="false">IF(I26&gt;=80,"Very Broad",IF(I26&gt;=60,"Broad",IF(I26&gt;=40,"Moderate",IF(I26&gt;=20,"Narrow","Very Narrow"))))</f>
        <v>Very Narrow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4" t="n">
        <v>15</v>
      </c>
      <c r="G27" s="21" t="n">
        <f aca="false">IF(F27&gt;0,E27/F27*100,0)</f>
        <v>0</v>
      </c>
      <c r="H27" s="43"/>
      <c r="I27" s="33" t="n">
        <f aca="false">IFERROR(IF(MAX($H$4:$H$33)&gt;0,H27/MAX($H$4:$H$33)*100,0),0)</f>
        <v>0</v>
      </c>
      <c r="J27" s="7" t="str">
        <f aca="false">IF(I27&gt;=80,"Very Broad",IF(I27&gt;=60,"Broad",IF(I27&gt;=40,"Moderate",IF(I27&gt;=20,"Narrow","Very Narrow"))))</f>
        <v>Very Narrow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8" t="n">
        <v>15</v>
      </c>
      <c r="G28" s="18" t="n">
        <f aca="false">IF(F28&gt;0,E28/F28*100,0)</f>
        <v>0</v>
      </c>
      <c r="H28" s="42"/>
      <c r="I28" s="32" t="n">
        <f aca="false">IFERROR(IF(MAX($H$4:$H$33)&gt;0,H28/MAX($H$4:$H$33)*100,0),0)</f>
        <v>0</v>
      </c>
      <c r="J28" s="11" t="str">
        <f aca="false">IF(I28&gt;=80,"Very Broad",IF(I28&gt;=60,"Broad",IF(I28&gt;=40,"Moderate",IF(I28&gt;=20,"Narrow","Very Narrow"))))</f>
        <v>Very Narrow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4" t="n">
        <v>15</v>
      </c>
      <c r="G29" s="21" t="n">
        <f aca="false">IF(F29&gt;0,E29/F29*100,0)</f>
        <v>0</v>
      </c>
      <c r="H29" s="43"/>
      <c r="I29" s="33" t="n">
        <f aca="false">IFERROR(IF(MAX($H$4:$H$33)&gt;0,H29/MAX($H$4:$H$33)*100,0),0)</f>
        <v>0</v>
      </c>
      <c r="J29" s="7" t="str">
        <f aca="false">IF(I29&gt;=80,"Very Broad",IF(I29&gt;=60,"Broad",IF(I29&gt;=40,"Moderate",IF(I29&gt;=20,"Narrow","Very Narrow"))))</f>
        <v>Very Narrow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8" t="n">
        <v>15</v>
      </c>
      <c r="G30" s="18" t="n">
        <f aca="false">IF(F30&gt;0,E30/F30*100,0)</f>
        <v>0</v>
      </c>
      <c r="H30" s="42"/>
      <c r="I30" s="32" t="n">
        <f aca="false">IFERROR(IF(MAX($H$4:$H$33)&gt;0,H30/MAX($H$4:$H$33)*100,0),0)</f>
        <v>0</v>
      </c>
      <c r="J30" s="11" t="str">
        <f aca="false">IF(I30&gt;=80,"Very Broad",IF(I30&gt;=60,"Broad",IF(I30&gt;=40,"Moderate",IF(I30&gt;=20,"Narrow","Very Narrow"))))</f>
        <v>Very Narrow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4" t="n">
        <v>15</v>
      </c>
      <c r="G31" s="21" t="n">
        <f aca="false">IF(F31&gt;0,E31/F31*100,0)</f>
        <v>0</v>
      </c>
      <c r="H31" s="43"/>
      <c r="I31" s="33" t="n">
        <f aca="false">IFERROR(IF(MAX($H$4:$H$33)&gt;0,H31/MAX($H$4:$H$33)*100,0),0)</f>
        <v>0</v>
      </c>
      <c r="J31" s="7" t="str">
        <f aca="false">IF(I31&gt;=80,"Very Broad",IF(I31&gt;=60,"Broad",IF(I31&gt;=40,"Moderate",IF(I31&gt;=20,"Narrow","Very Narrow"))))</f>
        <v>Very Narrow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8" t="n">
        <v>15</v>
      </c>
      <c r="G32" s="18" t="n">
        <f aca="false">IF(F32&gt;0,E32/F32*100,0)</f>
        <v>0</v>
      </c>
      <c r="H32" s="42"/>
      <c r="I32" s="32" t="n">
        <f aca="false">IFERROR(IF(MAX($H$4:$H$33)&gt;0,H32/MAX($H$4:$H$33)*100,0),0)</f>
        <v>0</v>
      </c>
      <c r="J32" s="11" t="str">
        <f aca="false">IF(I32&gt;=80,"Very Broad",IF(I32&gt;=60,"Broad",IF(I32&gt;=40,"Moderate",IF(I32&gt;=20,"Narrow","Very Narrow"))))</f>
        <v>Very Narrow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4" t="n">
        <v>15</v>
      </c>
      <c r="G33" s="21" t="n">
        <f aca="false">IF(F33&gt;0,E33/F33*100,0)</f>
        <v>0</v>
      </c>
      <c r="H33" s="43"/>
      <c r="I33" s="33" t="n">
        <f aca="false">IFERROR(IF(MAX($H$4:$H$33)&gt;0,H33/MAX($H$4:$H$33)*100,0),0)</f>
        <v>0</v>
      </c>
      <c r="J33" s="7" t="str">
        <f aca="false">IF(I33&gt;=80,"Very Broad",IF(I33&gt;=60,"Broad",IF(I33&gt;=40,"Moderate",IF(I33&gt;=20,"Narrow","Very Narrow"))))</f>
        <v>Very Narrow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7" min="2" style="0" width="8"/>
    <col collapsed="false" customWidth="true" hidden="false" outlineLevel="0" max="29" min="28" style="0" width="14"/>
  </cols>
  <sheetData>
    <row r="1" customFormat="false" ht="33.75" hidden="false" customHeight="true" outlineLevel="0" collapsed="false">
      <c r="A1" s="44" t="s">
        <v>94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customFormat="false" ht="25.5" hidden="false" customHeight="true" outlineLevel="0" collapsed="false">
      <c r="A2" s="45" t="s">
        <v>95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4" customFormat="false" ht="15" hidden="false" customHeight="false" outlineLevel="0" collapsed="false">
      <c r="A4" s="46" t="s">
        <v>96</v>
      </c>
      <c r="B4" s="47" t="s">
        <v>97</v>
      </c>
      <c r="C4" s="47" t="s">
        <v>98</v>
      </c>
      <c r="D4" s="47" t="s">
        <v>99</v>
      </c>
      <c r="E4" s="47" t="s">
        <v>100</v>
      </c>
      <c r="F4" s="47" t="s">
        <v>101</v>
      </c>
      <c r="G4" s="47" t="s">
        <v>102</v>
      </c>
      <c r="H4" s="47" t="s">
        <v>103</v>
      </c>
      <c r="I4" s="47" t="s">
        <v>104</v>
      </c>
      <c r="J4" s="47" t="s">
        <v>105</v>
      </c>
      <c r="K4" s="47" t="s">
        <v>106</v>
      </c>
      <c r="L4" s="47" t="s">
        <v>107</v>
      </c>
      <c r="M4" s="47" t="s">
        <v>108</v>
      </c>
      <c r="N4" s="47" t="s">
        <v>109</v>
      </c>
      <c r="O4" s="47" t="s">
        <v>110</v>
      </c>
      <c r="P4" s="47" t="s">
        <v>111</v>
      </c>
      <c r="Q4" s="47" t="s">
        <v>112</v>
      </c>
      <c r="R4" s="47" t="s">
        <v>113</v>
      </c>
      <c r="S4" s="47" t="s">
        <v>114</v>
      </c>
      <c r="T4" s="47" t="s">
        <v>115</v>
      </c>
      <c r="U4" s="47" t="s">
        <v>116</v>
      </c>
      <c r="V4" s="47" t="s">
        <v>117</v>
      </c>
      <c r="W4" s="47" t="s">
        <v>118</v>
      </c>
      <c r="X4" s="47" t="s">
        <v>119</v>
      </c>
      <c r="Y4" s="47" t="s">
        <v>120</v>
      </c>
      <c r="Z4" s="47" t="s">
        <v>121</v>
      </c>
      <c r="AA4" s="47" t="s">
        <v>122</v>
      </c>
      <c r="AB4" s="38" t="s">
        <v>123</v>
      </c>
      <c r="AC4" s="38" t="s">
        <v>124</v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7" t="n">
        <f aca="false">COUNTIF(B5:AA5,"&gt;0")</f>
        <v>0</v>
      </c>
      <c r="AC5" s="33" t="n">
        <f aca="false">IFERROR(AB5/26*100,0)</f>
        <v>0</v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1" t="n">
        <f aca="false">COUNTIF(B6:AA6,"&gt;0")</f>
        <v>0</v>
      </c>
      <c r="AC6" s="32" t="n">
        <f aca="false">IFERROR(AB6/26*100,0)</f>
        <v>0</v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7" t="n">
        <f aca="false">COUNTIF(B7:AA7,"&gt;0")</f>
        <v>0</v>
      </c>
      <c r="AC7" s="33" t="n">
        <f aca="false">IFERROR(AB7/26*100,0)</f>
        <v>0</v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1" t="n">
        <f aca="false">COUNTIF(B8:AA8,"&gt;0")</f>
        <v>0</v>
      </c>
      <c r="AC8" s="32" t="n">
        <f aca="false">IFERROR(AB8/26*100,0)</f>
        <v>0</v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7" t="n">
        <f aca="false">COUNTIF(B9:AA9,"&gt;0")</f>
        <v>0</v>
      </c>
      <c r="AC9" s="33" t="n">
        <f aca="false">IFERROR(AB9/26*100,0)</f>
        <v>0</v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1" t="n">
        <f aca="false">COUNTIF(B10:AA10,"&gt;0")</f>
        <v>0</v>
      </c>
      <c r="AC10" s="32" t="n">
        <f aca="false">IFERROR(AB10/26*100,0)</f>
        <v>0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7" t="n">
        <f aca="false">COUNTIF(B11:AA11,"&gt;0")</f>
        <v>0</v>
      </c>
      <c r="AC11" s="33" t="n">
        <f aca="false">IFERROR(AB11/26*100,0)</f>
        <v>0</v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1" t="n">
        <f aca="false">COUNTIF(B12:AA12,"&gt;0")</f>
        <v>0</v>
      </c>
      <c r="AC12" s="32" t="n">
        <f aca="false">IFERROR(AB12/26*100,0)</f>
        <v>0</v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7" t="n">
        <f aca="false">COUNTIF(B13:AA13,"&gt;0")</f>
        <v>0</v>
      </c>
      <c r="AC13" s="33" t="n">
        <f aca="false">IFERROR(AB13/26*100,0)</f>
        <v>0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1" t="n">
        <f aca="false">COUNTIF(B14:AA14,"&gt;0")</f>
        <v>0</v>
      </c>
      <c r="AC14" s="32" t="n">
        <f aca="false">IFERROR(AB14/26*100,0)</f>
        <v>0</v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7" t="n">
        <f aca="false">COUNTIF(B15:AA15,"&gt;0")</f>
        <v>0</v>
      </c>
      <c r="AC15" s="33" t="n">
        <f aca="false">IFERROR(AB15/26*100,0)</f>
        <v>0</v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1" t="n">
        <f aca="false">COUNTIF(B16:AA16,"&gt;0")</f>
        <v>0</v>
      </c>
      <c r="AC16" s="32" t="n">
        <f aca="false">IFERROR(AB16/26*100,0)</f>
        <v>0</v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7" t="n">
        <f aca="false">COUNTIF(B17:AA17,"&gt;0")</f>
        <v>0</v>
      </c>
      <c r="AC17" s="33" t="n">
        <f aca="false">IFERROR(AB17/26*100,0)</f>
        <v>0</v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1" t="n">
        <f aca="false">COUNTIF(B18:AA18,"&gt;0")</f>
        <v>0</v>
      </c>
      <c r="AC18" s="32" t="n">
        <f aca="false">IFERROR(AB18/26*100,0)</f>
        <v>0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7" t="n">
        <f aca="false">COUNTIF(B19:AA19,"&gt;0")</f>
        <v>0</v>
      </c>
      <c r="AC19" s="33" t="n">
        <f aca="false">IFERROR(AB19/26*100,0)</f>
        <v>0</v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1" t="n">
        <f aca="false">COUNTIF(B20:AA20,"&gt;0")</f>
        <v>0</v>
      </c>
      <c r="AC20" s="32" t="n">
        <f aca="false">IFERROR(AB20/26*100,0)</f>
        <v>0</v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7" t="n">
        <f aca="false">COUNTIF(B21:AA21,"&gt;0")</f>
        <v>0</v>
      </c>
      <c r="AC21" s="33" t="n">
        <f aca="false">IFERROR(AB21/26*100,0)</f>
        <v>0</v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1" t="n">
        <f aca="false">COUNTIF(B22:AA22,"&gt;0")</f>
        <v>0</v>
      </c>
      <c r="AC22" s="32" t="n">
        <f aca="false">IFERROR(AB22/26*100,0)</f>
        <v>0</v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7" t="n">
        <f aca="false">COUNTIF(B23:AA23,"&gt;0")</f>
        <v>0</v>
      </c>
      <c r="AC23" s="33" t="n">
        <f aca="false">IFERROR(AB23/26*100,0)</f>
        <v>0</v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1" t="n">
        <f aca="false">COUNTIF(B24:AA24,"&gt;0")</f>
        <v>0</v>
      </c>
      <c r="AC24" s="32" t="n">
        <f aca="false">IFERROR(AB24/26*100,0)</f>
        <v>0</v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7" t="n">
        <f aca="false">COUNTIF(B25:AA25,"&gt;0")</f>
        <v>0</v>
      </c>
      <c r="AC25" s="33" t="n">
        <f aca="false">IFERROR(AB25/26*100,0)</f>
        <v>0</v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1" t="n">
        <f aca="false">COUNTIF(B26:AA26,"&gt;0")</f>
        <v>0</v>
      </c>
      <c r="AC26" s="32" t="n">
        <f aca="false">IFERROR(AB26/26*100,0)</f>
        <v>0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7" t="n">
        <f aca="false">COUNTIF(B27:AA27,"&gt;0")</f>
        <v>0</v>
      </c>
      <c r="AC27" s="33" t="n">
        <f aca="false">IFERROR(AB27/26*100,0)</f>
        <v>0</v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1" t="n">
        <f aca="false">COUNTIF(B28:AA28,"&gt;0")</f>
        <v>0</v>
      </c>
      <c r="AC28" s="32" t="n">
        <f aca="false">IFERROR(AB28/26*100,0)</f>
        <v>0</v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7" t="n">
        <f aca="false">COUNTIF(B29:AA29,"&gt;0")</f>
        <v>0</v>
      </c>
      <c r="AC29" s="33" t="n">
        <f aca="false">IFERROR(AB29/26*100,0)</f>
        <v>0</v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1" t="n">
        <f aca="false">COUNTIF(B30:AA30,"&gt;0")</f>
        <v>0</v>
      </c>
      <c r="AC30" s="32" t="n">
        <f aca="false">IFERROR(AB30/26*100,0)</f>
        <v>0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7" t="n">
        <f aca="false">COUNTIF(B31:AA31,"&gt;0")</f>
        <v>0</v>
      </c>
      <c r="AC31" s="33" t="n">
        <f aca="false">IFERROR(AB31/26*100,0)</f>
        <v>0</v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1" t="n">
        <f aca="false">COUNTIF(B32:AA32,"&gt;0")</f>
        <v>0</v>
      </c>
      <c r="AC32" s="32" t="n">
        <f aca="false">IFERROR(AB32/26*100,0)</f>
        <v>0</v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7" t="n">
        <f aca="false">COUNTIF(B33:AA33,"&gt;0")</f>
        <v>0</v>
      </c>
      <c r="AC33" s="33" t="n">
        <f aca="false">IFERROR(AB33/26*100,0)</f>
        <v>0</v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1" t="n">
        <f aca="false">COUNTIF(B34:AA34,"&gt;0")</f>
        <v>0</v>
      </c>
      <c r="AC34" s="32" t="n">
        <f aca="false">IFERROR(AB34/26*100,0)</f>
        <v>0</v>
      </c>
    </row>
  </sheetData>
  <mergeCells count="2">
    <mergeCell ref="A1:AC1"/>
    <mergeCell ref="A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8" t="s">
        <v>125</v>
      </c>
      <c r="B1" s="48"/>
      <c r="C1" s="48"/>
      <c r="D1" s="48"/>
      <c r="E1" s="48"/>
      <c r="F1" s="48"/>
      <c r="G1" s="48"/>
      <c r="H1" s="48"/>
      <c r="I1" s="48"/>
    </row>
    <row r="2" customFormat="false" ht="25.5" hidden="false" customHeight="true" outlineLevel="0" collapsed="false">
      <c r="A2" s="49" t="s">
        <v>126</v>
      </c>
      <c r="B2" s="49"/>
      <c r="C2" s="49"/>
      <c r="D2" s="49"/>
      <c r="E2" s="49"/>
      <c r="F2" s="49"/>
      <c r="G2" s="49"/>
      <c r="H2" s="49"/>
      <c r="I2" s="49"/>
    </row>
    <row r="3" customFormat="false" ht="23.85" hidden="false" customHeight="false" outlineLevel="0" collapsed="false">
      <c r="A3" s="50" t="s">
        <v>31</v>
      </c>
      <c r="B3" s="50" t="s">
        <v>32</v>
      </c>
      <c r="C3" s="50" t="s">
        <v>33</v>
      </c>
      <c r="D3" s="50" t="s">
        <v>127</v>
      </c>
      <c r="E3" s="50" t="s">
        <v>128</v>
      </c>
      <c r="F3" s="50" t="s">
        <v>129</v>
      </c>
      <c r="G3" s="50" t="s">
        <v>130</v>
      </c>
      <c r="H3" s="50" t="s">
        <v>131</v>
      </c>
      <c r="I3" s="50" t="s">
        <v>132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9" t="n">
        <f aca="false">IF(D4&gt;0,E4/D4,0)</f>
        <v>0</v>
      </c>
      <c r="G4" s="17"/>
      <c r="H4" s="17"/>
      <c r="I4" s="18" t="n">
        <f aca="false">IF(D4&gt;0,H4/D4*100,0)</f>
        <v>0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2" t="n">
        <f aca="false">IF(D5&gt;0,E5/D5,0)</f>
        <v>0</v>
      </c>
      <c r="G5" s="20"/>
      <c r="H5" s="20"/>
      <c r="I5" s="21" t="n">
        <f aca="false">IF(D5&gt;0,H5/D5*100,0)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9" t="n">
        <f aca="false">IF(D6&gt;0,E6/D6,0)</f>
        <v>0</v>
      </c>
      <c r="G6" s="17"/>
      <c r="H6" s="17"/>
      <c r="I6" s="18" t="n">
        <f aca="false">IF(D6&gt;0,H6/D6*100,0)</f>
        <v>0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2" t="n">
        <f aca="false">IF(D7&gt;0,E7/D7,0)</f>
        <v>0</v>
      </c>
      <c r="G7" s="20"/>
      <c r="H7" s="20"/>
      <c r="I7" s="21" t="n">
        <f aca="false">IF(D7&gt;0,H7/D7*100,0)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9" t="n">
        <f aca="false">IF(D8&gt;0,E8/D8,0)</f>
        <v>0</v>
      </c>
      <c r="G8" s="17"/>
      <c r="H8" s="17"/>
      <c r="I8" s="18" t="n">
        <f aca="false">IF(D8&gt;0,H8/D8*100,0)</f>
        <v>0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2" t="n">
        <f aca="false">IF(D9&gt;0,E9/D9,0)</f>
        <v>0</v>
      </c>
      <c r="G9" s="20"/>
      <c r="H9" s="20"/>
      <c r="I9" s="21" t="n">
        <f aca="false">IF(D9&gt;0,H9/D9*100,0)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9" t="n">
        <f aca="false">IF(D10&gt;0,E10/D10,0)</f>
        <v>0</v>
      </c>
      <c r="G10" s="17"/>
      <c r="H10" s="17"/>
      <c r="I10" s="18" t="n">
        <f aca="false">IF(D10&gt;0,H10/D10*100,0)</f>
        <v>0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2" t="n">
        <f aca="false">IF(D11&gt;0,E11/D11,0)</f>
        <v>0</v>
      </c>
      <c r="G11" s="20"/>
      <c r="H11" s="20"/>
      <c r="I11" s="21" t="n">
        <f aca="false">IF(D11&gt;0,H11/D11*100,0)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9" t="n">
        <f aca="false">IF(D12&gt;0,E12/D12,0)</f>
        <v>0</v>
      </c>
      <c r="G12" s="17"/>
      <c r="H12" s="17"/>
      <c r="I12" s="18" t="n">
        <f aca="false">IF(D12&gt;0,H12/D12*100,0)</f>
        <v>0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2" t="n">
        <f aca="false">IF(D13&gt;0,E13/D13,0)</f>
        <v>0</v>
      </c>
      <c r="G13" s="20"/>
      <c r="H13" s="20"/>
      <c r="I13" s="21" t="n">
        <f aca="false">IF(D13&gt;0,H13/D13*100,0)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9" t="n">
        <f aca="false">IF(D14&gt;0,E14/D14,0)</f>
        <v>0</v>
      </c>
      <c r="G14" s="17"/>
      <c r="H14" s="17"/>
      <c r="I14" s="18" t="n">
        <f aca="false">IF(D14&gt;0,H14/D14*100,0)</f>
        <v>0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2" t="n">
        <f aca="false">IF(D15&gt;0,E15/D15,0)</f>
        <v>0</v>
      </c>
      <c r="G15" s="20"/>
      <c r="H15" s="20"/>
      <c r="I15" s="21" t="n">
        <f aca="false">IF(D15&gt;0,H15/D15*100,0)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9" t="n">
        <f aca="false">IF(D16&gt;0,E16/D16,0)</f>
        <v>0</v>
      </c>
      <c r="G16" s="17"/>
      <c r="H16" s="17"/>
      <c r="I16" s="18" t="n">
        <f aca="false">IF(D16&gt;0,H16/D16*100,0)</f>
        <v>0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2" t="n">
        <f aca="false">IF(D17&gt;0,E17/D17,0)</f>
        <v>0</v>
      </c>
      <c r="G17" s="20"/>
      <c r="H17" s="20"/>
      <c r="I17" s="21" t="n">
        <f aca="false">IF(D17&gt;0,H17/D17*100,0)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9" t="n">
        <f aca="false">IF(D18&gt;0,E18/D18,0)</f>
        <v>0</v>
      </c>
      <c r="G18" s="17"/>
      <c r="H18" s="17"/>
      <c r="I18" s="18" t="n">
        <f aca="false">IF(D18&gt;0,H18/D18*100,0)</f>
        <v>0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2" t="n">
        <f aca="false">IF(D19&gt;0,E19/D19,0)</f>
        <v>0</v>
      </c>
      <c r="G19" s="20"/>
      <c r="H19" s="20"/>
      <c r="I19" s="21" t="n">
        <f aca="false">IF(D19&gt;0,H19/D19*100,0)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9" t="n">
        <f aca="false">IF(D20&gt;0,E20/D20,0)</f>
        <v>0</v>
      </c>
      <c r="G20" s="17"/>
      <c r="H20" s="17"/>
      <c r="I20" s="18" t="n">
        <f aca="false">IF(D20&gt;0,H20/D20*100,0)</f>
        <v>0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2" t="n">
        <f aca="false">IF(D21&gt;0,E21/D21,0)</f>
        <v>0</v>
      </c>
      <c r="G21" s="20"/>
      <c r="H21" s="20"/>
      <c r="I21" s="21" t="n">
        <f aca="false">IF(D21&gt;0,H21/D21*100,0)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9" t="n">
        <f aca="false">IF(D22&gt;0,E22/D22,0)</f>
        <v>0</v>
      </c>
      <c r="G22" s="17"/>
      <c r="H22" s="17"/>
      <c r="I22" s="18" t="n">
        <f aca="false">IF(D22&gt;0,H22/D22*100,0)</f>
        <v>0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2" t="n">
        <f aca="false">IF(D23&gt;0,E23/D23,0)</f>
        <v>0</v>
      </c>
      <c r="G23" s="20"/>
      <c r="H23" s="20"/>
      <c r="I23" s="21" t="n">
        <f aca="false">IF(D23&gt;0,H23/D23*100,0)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9" t="n">
        <f aca="false">IF(D24&gt;0,E24/D24,0)</f>
        <v>0</v>
      </c>
      <c r="G24" s="17"/>
      <c r="H24" s="17"/>
      <c r="I24" s="18" t="n">
        <f aca="false">IF(D24&gt;0,H24/D24*100,0)</f>
        <v>0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2" t="n">
        <f aca="false">IF(D25&gt;0,E25/D25,0)</f>
        <v>0</v>
      </c>
      <c r="G25" s="20"/>
      <c r="H25" s="20"/>
      <c r="I25" s="21" t="n">
        <f aca="false">IF(D25&gt;0,H25/D25*100,0)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9" t="n">
        <f aca="false">IF(D26&gt;0,E26/D26,0)</f>
        <v>0</v>
      </c>
      <c r="G26" s="17"/>
      <c r="H26" s="17"/>
      <c r="I26" s="18" t="n">
        <f aca="false">IF(D26&gt;0,H26/D26*100,0)</f>
        <v>0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2" t="n">
        <f aca="false">IF(D27&gt;0,E27/D27,0)</f>
        <v>0</v>
      </c>
      <c r="G27" s="20"/>
      <c r="H27" s="20"/>
      <c r="I27" s="21" t="n">
        <f aca="false">IF(D27&gt;0,H27/D27*100,0)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9" t="n">
        <f aca="false">IF(D28&gt;0,E28/D28,0)</f>
        <v>0</v>
      </c>
      <c r="G28" s="17"/>
      <c r="H28" s="17"/>
      <c r="I28" s="18" t="n">
        <f aca="false">IF(D28&gt;0,H28/D28*100,0)</f>
        <v>0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2" t="n">
        <f aca="false">IF(D29&gt;0,E29/D29,0)</f>
        <v>0</v>
      </c>
      <c r="G29" s="20"/>
      <c r="H29" s="20"/>
      <c r="I29" s="21" t="n">
        <f aca="false">IF(D29&gt;0,H29/D29*100,0)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9" t="n">
        <f aca="false">IF(D30&gt;0,E30/D30,0)</f>
        <v>0</v>
      </c>
      <c r="G30" s="17"/>
      <c r="H30" s="17"/>
      <c r="I30" s="18" t="n">
        <f aca="false">IF(D30&gt;0,H30/D30*100,0)</f>
        <v>0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2" t="n">
        <f aca="false">IF(D31&gt;0,E31/D31,0)</f>
        <v>0</v>
      </c>
      <c r="G31" s="20"/>
      <c r="H31" s="20"/>
      <c r="I31" s="21" t="n">
        <f aca="false">IF(D31&gt;0,H31/D31*100,0)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9" t="n">
        <f aca="false">IF(D32&gt;0,E32/D32,0)</f>
        <v>0</v>
      </c>
      <c r="G32" s="17"/>
      <c r="H32" s="17"/>
      <c r="I32" s="18" t="n">
        <f aca="false">IF(D32&gt;0,H32/D32*100,0)</f>
        <v>0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2" t="n">
        <f aca="false">IF(D33&gt;0,E33/D33,0)</f>
        <v>0</v>
      </c>
      <c r="G33" s="20"/>
      <c r="H33" s="20"/>
      <c r="I33" s="21" t="n">
        <f aca="false">IF(D33&gt;0,H33/D33*100,0)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51" t="s">
        <v>133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5.5" hidden="false" customHeight="true" outlineLevel="0" collapsed="false">
      <c r="A2" s="52" t="s">
        <v>134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customFormat="false" ht="23.85" hidden="false" customHeight="false" outlineLevel="0" collapsed="false">
      <c r="A3" s="53" t="s">
        <v>31</v>
      </c>
      <c r="B3" s="53" t="s">
        <v>32</v>
      </c>
      <c r="C3" s="53" t="s">
        <v>33</v>
      </c>
      <c r="D3" s="53" t="s">
        <v>135</v>
      </c>
      <c r="E3" s="53" t="s">
        <v>136</v>
      </c>
      <c r="F3" s="53" t="s">
        <v>137</v>
      </c>
      <c r="G3" s="53" t="s">
        <v>138</v>
      </c>
      <c r="H3" s="53" t="s">
        <v>139</v>
      </c>
      <c r="I3" s="53" t="s">
        <v>140</v>
      </c>
      <c r="J3" s="53" t="s">
        <v>141</v>
      </c>
      <c r="K3" s="53" t="s">
        <v>58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8" t="n">
        <f aca="false">SUM(D4:F4)</f>
        <v>0</v>
      </c>
      <c r="H4" s="17"/>
      <c r="I4" s="18" t="n">
        <f aca="false">IF(G4&gt;0,H4/G4*100,0)</f>
        <v>0</v>
      </c>
      <c r="J4" s="17"/>
      <c r="K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4" t="n">
        <f aca="false">SUM(D5:F5)</f>
        <v>0</v>
      </c>
      <c r="H5" s="20"/>
      <c r="I5" s="21" t="n">
        <f aca="false">IF(G5&gt;0,H5/G5*100,0)</f>
        <v>0</v>
      </c>
      <c r="J5" s="20"/>
      <c r="K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8" t="n">
        <f aca="false">SUM(D6:F6)</f>
        <v>0</v>
      </c>
      <c r="H6" s="17"/>
      <c r="I6" s="18" t="n">
        <f aca="false">IF(G6&gt;0,H6/G6*100,0)</f>
        <v>0</v>
      </c>
      <c r="J6" s="17"/>
      <c r="K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4" t="n">
        <f aca="false">SUM(D7:F7)</f>
        <v>0</v>
      </c>
      <c r="H7" s="20"/>
      <c r="I7" s="21" t="n">
        <f aca="false">IF(G7&gt;0,H7/G7*100,0)</f>
        <v>0</v>
      </c>
      <c r="J7" s="20"/>
      <c r="K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8" t="n">
        <f aca="false">SUM(D8:F8)</f>
        <v>0</v>
      </c>
      <c r="H8" s="17"/>
      <c r="I8" s="18" t="n">
        <f aca="false">IF(G8&gt;0,H8/G8*100,0)</f>
        <v>0</v>
      </c>
      <c r="J8" s="17"/>
      <c r="K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4" t="n">
        <f aca="false">SUM(D9:F9)</f>
        <v>0</v>
      </c>
      <c r="H9" s="20"/>
      <c r="I9" s="21" t="n">
        <f aca="false">IF(G9&gt;0,H9/G9*100,0)</f>
        <v>0</v>
      </c>
      <c r="J9" s="20"/>
      <c r="K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8" t="n">
        <f aca="false">SUM(D10:F10)</f>
        <v>0</v>
      </c>
      <c r="H10" s="17"/>
      <c r="I10" s="18" t="n">
        <f aca="false">IF(G10&gt;0,H10/G10*100,0)</f>
        <v>0</v>
      </c>
      <c r="J10" s="17"/>
      <c r="K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4" t="n">
        <f aca="false">SUM(D11:F11)</f>
        <v>0</v>
      </c>
      <c r="H11" s="20"/>
      <c r="I11" s="21" t="n">
        <f aca="false">IF(G11&gt;0,H11/G11*100,0)</f>
        <v>0</v>
      </c>
      <c r="J11" s="20"/>
      <c r="K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8" t="n">
        <f aca="false">SUM(D12:F12)</f>
        <v>0</v>
      </c>
      <c r="H12" s="17"/>
      <c r="I12" s="18" t="n">
        <f aca="false">IF(G12&gt;0,H12/G12*100,0)</f>
        <v>0</v>
      </c>
      <c r="J12" s="17"/>
      <c r="K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4" t="n">
        <f aca="false">SUM(D13:F13)</f>
        <v>0</v>
      </c>
      <c r="H13" s="20"/>
      <c r="I13" s="21" t="n">
        <f aca="false">IF(G13&gt;0,H13/G13*100,0)</f>
        <v>0</v>
      </c>
      <c r="J13" s="20"/>
      <c r="K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8" t="n">
        <f aca="false">SUM(D14:F14)</f>
        <v>0</v>
      </c>
      <c r="H14" s="17"/>
      <c r="I14" s="18" t="n">
        <f aca="false">IF(G14&gt;0,H14/G14*100,0)</f>
        <v>0</v>
      </c>
      <c r="J14" s="17"/>
      <c r="K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4" t="n">
        <f aca="false">SUM(D15:F15)</f>
        <v>0</v>
      </c>
      <c r="H15" s="20"/>
      <c r="I15" s="21" t="n">
        <f aca="false">IF(G15&gt;0,H15/G15*100,0)</f>
        <v>0</v>
      </c>
      <c r="J15" s="20"/>
      <c r="K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8" t="n">
        <f aca="false">SUM(D16:F16)</f>
        <v>0</v>
      </c>
      <c r="H16" s="17"/>
      <c r="I16" s="18" t="n">
        <f aca="false">IF(G16&gt;0,H16/G16*100,0)</f>
        <v>0</v>
      </c>
      <c r="J16" s="17"/>
      <c r="K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4" t="n">
        <f aca="false">SUM(D17:F17)</f>
        <v>0</v>
      </c>
      <c r="H17" s="20"/>
      <c r="I17" s="21" t="n">
        <f aca="false">IF(G17&gt;0,H17/G17*100,0)</f>
        <v>0</v>
      </c>
      <c r="J17" s="20"/>
      <c r="K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8" t="n">
        <f aca="false">SUM(D18:F18)</f>
        <v>0</v>
      </c>
      <c r="H18" s="17"/>
      <c r="I18" s="18" t="n">
        <f aca="false">IF(G18&gt;0,H18/G18*100,0)</f>
        <v>0</v>
      </c>
      <c r="J18" s="17"/>
      <c r="K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4" t="n">
        <f aca="false">SUM(D19:F19)</f>
        <v>0</v>
      </c>
      <c r="H19" s="20"/>
      <c r="I19" s="21" t="n">
        <f aca="false">IF(G19&gt;0,H19/G19*100,0)</f>
        <v>0</v>
      </c>
      <c r="J19" s="20"/>
      <c r="K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8" t="n">
        <f aca="false">SUM(D20:F20)</f>
        <v>0</v>
      </c>
      <c r="H20" s="17"/>
      <c r="I20" s="18" t="n">
        <f aca="false">IF(G20&gt;0,H20/G20*100,0)</f>
        <v>0</v>
      </c>
      <c r="J20" s="17"/>
      <c r="K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4" t="n">
        <f aca="false">SUM(D21:F21)</f>
        <v>0</v>
      </c>
      <c r="H21" s="20"/>
      <c r="I21" s="21" t="n">
        <f aca="false">IF(G21&gt;0,H21/G21*100,0)</f>
        <v>0</v>
      </c>
      <c r="J21" s="20"/>
      <c r="K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8" t="n">
        <f aca="false">SUM(D22:F22)</f>
        <v>0</v>
      </c>
      <c r="H22" s="17"/>
      <c r="I22" s="18" t="n">
        <f aca="false">IF(G22&gt;0,H22/G22*100,0)</f>
        <v>0</v>
      </c>
      <c r="J22" s="17"/>
      <c r="K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4" t="n">
        <f aca="false">SUM(D23:F23)</f>
        <v>0</v>
      </c>
      <c r="H23" s="20"/>
      <c r="I23" s="21" t="n">
        <f aca="false">IF(G23&gt;0,H23/G23*100,0)</f>
        <v>0</v>
      </c>
      <c r="J23" s="20"/>
      <c r="K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8" t="n">
        <f aca="false">SUM(D24:F24)</f>
        <v>0</v>
      </c>
      <c r="H24" s="17"/>
      <c r="I24" s="18" t="n">
        <f aca="false">IF(G24&gt;0,H24/G24*100,0)</f>
        <v>0</v>
      </c>
      <c r="J24" s="17"/>
      <c r="K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4" t="n">
        <f aca="false">SUM(D25:F25)</f>
        <v>0</v>
      </c>
      <c r="H25" s="20"/>
      <c r="I25" s="21" t="n">
        <f aca="false">IF(G25&gt;0,H25/G25*100,0)</f>
        <v>0</v>
      </c>
      <c r="J25" s="20"/>
      <c r="K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8" t="n">
        <f aca="false">SUM(D26:F26)</f>
        <v>0</v>
      </c>
      <c r="H26" s="17"/>
      <c r="I26" s="18" t="n">
        <f aca="false">IF(G26&gt;0,H26/G26*100,0)</f>
        <v>0</v>
      </c>
      <c r="J26" s="17"/>
      <c r="K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4" t="n">
        <f aca="false">SUM(D27:F27)</f>
        <v>0</v>
      </c>
      <c r="H27" s="20"/>
      <c r="I27" s="21" t="n">
        <f aca="false">IF(G27&gt;0,H27/G27*100,0)</f>
        <v>0</v>
      </c>
      <c r="J27" s="20"/>
      <c r="K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8" t="n">
        <f aca="false">SUM(D28:F28)</f>
        <v>0</v>
      </c>
      <c r="H28" s="17"/>
      <c r="I28" s="18" t="n">
        <f aca="false">IF(G28&gt;0,H28/G28*100,0)</f>
        <v>0</v>
      </c>
      <c r="J28" s="17"/>
      <c r="K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4" t="n">
        <f aca="false">SUM(D29:F29)</f>
        <v>0</v>
      </c>
      <c r="H29" s="20"/>
      <c r="I29" s="21" t="n">
        <f aca="false">IF(G29&gt;0,H29/G29*100,0)</f>
        <v>0</v>
      </c>
      <c r="J29" s="20"/>
      <c r="K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8" t="n">
        <f aca="false">SUM(D30:F30)</f>
        <v>0</v>
      </c>
      <c r="H30" s="17"/>
      <c r="I30" s="18" t="n">
        <f aca="false">IF(G30&gt;0,H30/G30*100,0)</f>
        <v>0</v>
      </c>
      <c r="J30" s="17"/>
      <c r="K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4" t="n">
        <f aca="false">SUM(D31:F31)</f>
        <v>0</v>
      </c>
      <c r="H31" s="20"/>
      <c r="I31" s="21" t="n">
        <f aca="false">IF(G31&gt;0,H31/G31*100,0)</f>
        <v>0</v>
      </c>
      <c r="J31" s="20"/>
      <c r="K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8" t="n">
        <f aca="false">SUM(D32:F32)</f>
        <v>0</v>
      </c>
      <c r="H32" s="17"/>
      <c r="I32" s="18" t="n">
        <f aca="false">IF(G32&gt;0,H32/G32*100,0)</f>
        <v>0</v>
      </c>
      <c r="J32" s="17"/>
      <c r="K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4" t="n">
        <f aca="false">SUM(D33:F33)</f>
        <v>0</v>
      </c>
      <c r="H33" s="20"/>
      <c r="I33" s="21" t="n">
        <f aca="false">IF(G33&gt;0,H33/G33*100,0)</f>
        <v>0</v>
      </c>
      <c r="J33" s="20"/>
      <c r="K33" s="2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4" t="s">
        <v>142</v>
      </c>
      <c r="B1" s="54"/>
      <c r="C1" s="54"/>
      <c r="D1" s="54"/>
      <c r="E1" s="54"/>
      <c r="F1" s="54"/>
      <c r="G1" s="54"/>
      <c r="H1" s="54"/>
      <c r="I1" s="54"/>
    </row>
    <row r="2" customFormat="false" ht="25.5" hidden="false" customHeight="true" outlineLevel="0" collapsed="false">
      <c r="A2" s="15" t="s">
        <v>143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38" t="s">
        <v>31</v>
      </c>
      <c r="B3" s="38" t="s">
        <v>32</v>
      </c>
      <c r="C3" s="38" t="s">
        <v>144</v>
      </c>
      <c r="D3" s="38" t="s">
        <v>145</v>
      </c>
      <c r="E3" s="38" t="s">
        <v>146</v>
      </c>
      <c r="F3" s="38" t="s">
        <v>147</v>
      </c>
      <c r="G3" s="38" t="s">
        <v>148</v>
      </c>
      <c r="H3" s="38" t="s">
        <v>149</v>
      </c>
      <c r="I3" s="38" t="s">
        <v>150</v>
      </c>
    </row>
    <row r="4" customFormat="false" ht="15" hidden="false" customHeight="false" outlineLevel="0" collapsed="false">
      <c r="B4" s="55" t="s">
        <v>151</v>
      </c>
      <c r="C4" s="56" t="n">
        <v>0.4</v>
      </c>
      <c r="D4" s="56" t="n">
        <v>0.2</v>
      </c>
      <c r="E4" s="56" t="n">
        <v>0.15</v>
      </c>
      <c r="F4" s="56" t="n">
        <v>0.15</v>
      </c>
      <c r="G4" s="56" t="n">
        <v>0.1</v>
      </c>
    </row>
    <row r="5" customFormat="false" ht="15" hidden="false" customHeight="false" outlineLevel="0" collapsed="false">
      <c r="A5" s="4" t="n">
        <v>1</v>
      </c>
      <c r="B5" s="20"/>
      <c r="C5" s="57"/>
      <c r="D5" s="57"/>
      <c r="E5" s="57"/>
      <c r="F5" s="57"/>
      <c r="G5" s="57"/>
      <c r="H5" s="33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8"/>
      <c r="D6" s="58"/>
      <c r="E6" s="58"/>
      <c r="F6" s="58"/>
      <c r="G6" s="58"/>
      <c r="H6" s="32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20"/>
      <c r="C7" s="57"/>
      <c r="D7" s="57"/>
      <c r="E7" s="57"/>
      <c r="F7" s="57"/>
      <c r="G7" s="57"/>
      <c r="H7" s="33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8"/>
      <c r="D8" s="58"/>
      <c r="E8" s="58"/>
      <c r="F8" s="58"/>
      <c r="G8" s="58"/>
      <c r="H8" s="32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20"/>
      <c r="C9" s="57"/>
      <c r="D9" s="57"/>
      <c r="E9" s="57"/>
      <c r="F9" s="57"/>
      <c r="G9" s="57"/>
      <c r="H9" s="33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8"/>
      <c r="D10" s="58"/>
      <c r="E10" s="58"/>
      <c r="F10" s="58"/>
      <c r="G10" s="58"/>
      <c r="H10" s="32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20"/>
      <c r="C11" s="57"/>
      <c r="D11" s="57"/>
      <c r="E11" s="57"/>
      <c r="F11" s="57"/>
      <c r="G11" s="57"/>
      <c r="H11" s="33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8"/>
      <c r="D12" s="58"/>
      <c r="E12" s="58"/>
      <c r="F12" s="58"/>
      <c r="G12" s="58"/>
      <c r="H12" s="32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20"/>
      <c r="C13" s="57"/>
      <c r="D13" s="57"/>
      <c r="E13" s="57"/>
      <c r="F13" s="57"/>
      <c r="G13" s="57"/>
      <c r="H13" s="33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8"/>
      <c r="D14" s="58"/>
      <c r="E14" s="58"/>
      <c r="F14" s="58"/>
      <c r="G14" s="58"/>
      <c r="H14" s="32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20"/>
      <c r="C15" s="57"/>
      <c r="D15" s="57"/>
      <c r="E15" s="57"/>
      <c r="F15" s="57"/>
      <c r="G15" s="57"/>
      <c r="H15" s="33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8"/>
      <c r="D16" s="58"/>
      <c r="E16" s="58"/>
      <c r="F16" s="58"/>
      <c r="G16" s="58"/>
      <c r="H16" s="32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20"/>
      <c r="C17" s="57"/>
      <c r="D17" s="57"/>
      <c r="E17" s="57"/>
      <c r="F17" s="57"/>
      <c r="G17" s="57"/>
      <c r="H17" s="33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8"/>
      <c r="D18" s="58"/>
      <c r="E18" s="58"/>
      <c r="F18" s="58"/>
      <c r="G18" s="58"/>
      <c r="H18" s="32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20"/>
      <c r="C19" s="57"/>
      <c r="D19" s="57"/>
      <c r="E19" s="57"/>
      <c r="F19" s="57"/>
      <c r="G19" s="57"/>
      <c r="H19" s="33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8"/>
      <c r="D20" s="58"/>
      <c r="E20" s="58"/>
      <c r="F20" s="58"/>
      <c r="G20" s="58"/>
      <c r="H20" s="32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20"/>
      <c r="C21" s="57"/>
      <c r="D21" s="57"/>
      <c r="E21" s="57"/>
      <c r="F21" s="57"/>
      <c r="G21" s="57"/>
      <c r="H21" s="33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8"/>
      <c r="D22" s="58"/>
      <c r="E22" s="58"/>
      <c r="F22" s="58"/>
      <c r="G22" s="58"/>
      <c r="H22" s="32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20"/>
      <c r="C23" s="57"/>
      <c r="D23" s="57"/>
      <c r="E23" s="57"/>
      <c r="F23" s="57"/>
      <c r="G23" s="57"/>
      <c r="H23" s="33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8"/>
      <c r="D24" s="58"/>
      <c r="E24" s="58"/>
      <c r="F24" s="58"/>
      <c r="G24" s="58"/>
      <c r="H24" s="32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20"/>
      <c r="C25" s="57"/>
      <c r="D25" s="57"/>
      <c r="E25" s="57"/>
      <c r="F25" s="57"/>
      <c r="G25" s="57"/>
      <c r="H25" s="33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8"/>
      <c r="D26" s="58"/>
      <c r="E26" s="58"/>
      <c r="F26" s="58"/>
      <c r="G26" s="58"/>
      <c r="H26" s="32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20"/>
      <c r="C27" s="57"/>
      <c r="D27" s="57"/>
      <c r="E27" s="57"/>
      <c r="F27" s="57"/>
      <c r="G27" s="57"/>
      <c r="H27" s="33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8"/>
      <c r="D28" s="58"/>
      <c r="E28" s="58"/>
      <c r="F28" s="58"/>
      <c r="G28" s="58"/>
      <c r="H28" s="32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20"/>
      <c r="C29" s="57"/>
      <c r="D29" s="57"/>
      <c r="E29" s="57"/>
      <c r="F29" s="57"/>
      <c r="G29" s="57"/>
      <c r="H29" s="33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8"/>
      <c r="D30" s="58"/>
      <c r="E30" s="58"/>
      <c r="F30" s="58"/>
      <c r="G30" s="58"/>
      <c r="H30" s="32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20"/>
      <c r="C31" s="57"/>
      <c r="D31" s="57"/>
      <c r="E31" s="57"/>
      <c r="F31" s="57"/>
      <c r="G31" s="57"/>
      <c r="H31" s="33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8"/>
      <c r="D32" s="58"/>
      <c r="E32" s="58"/>
      <c r="F32" s="58"/>
      <c r="G32" s="58"/>
      <c r="H32" s="32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20"/>
      <c r="C33" s="57"/>
      <c r="D33" s="57"/>
      <c r="E33" s="57"/>
      <c r="F33" s="57"/>
      <c r="G33" s="57"/>
      <c r="H33" s="33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8"/>
      <c r="D34" s="58"/>
      <c r="E34" s="58"/>
      <c r="F34" s="58"/>
      <c r="G34" s="58"/>
      <c r="H34" s="32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7" t="s">
        <v>152</v>
      </c>
      <c r="B1" s="27"/>
      <c r="C1" s="27"/>
      <c r="D1" s="27"/>
      <c r="E1" s="27"/>
      <c r="F1" s="27"/>
      <c r="G1" s="27"/>
      <c r="H1" s="27"/>
      <c r="I1" s="27"/>
    </row>
    <row r="3" customFormat="false" ht="15" hidden="false" customHeight="false" outlineLevel="0" collapsed="false">
      <c r="A3" s="29" t="s">
        <v>31</v>
      </c>
      <c r="B3" s="29" t="s">
        <v>153</v>
      </c>
      <c r="C3" s="29" t="s">
        <v>154</v>
      </c>
      <c r="D3" s="29" t="s">
        <v>155</v>
      </c>
      <c r="E3" s="29" t="s">
        <v>156</v>
      </c>
      <c r="F3" s="29" t="s">
        <v>157</v>
      </c>
      <c r="G3" s="29" t="s">
        <v>158</v>
      </c>
      <c r="H3" s="29" t="s">
        <v>159</v>
      </c>
      <c r="I3" s="29" t="s">
        <v>160</v>
      </c>
    </row>
    <row r="4" customFormat="false" ht="15" hidden="false" customHeight="false" outlineLevel="0" collapsed="false">
      <c r="A4" s="59" t="n">
        <v>1</v>
      </c>
      <c r="B4" s="60" t="s">
        <v>161</v>
      </c>
      <c r="C4" s="61"/>
      <c r="D4" s="61"/>
      <c r="E4" s="61"/>
      <c r="F4" s="61"/>
      <c r="G4" s="61"/>
      <c r="H4" s="61"/>
      <c r="I4" s="59" t="s">
        <v>162</v>
      </c>
    </row>
    <row r="5" customFormat="false" ht="15" hidden="false" customHeight="false" outlineLevel="0" collapsed="false">
      <c r="A5" s="4" t="n">
        <v>2</v>
      </c>
      <c r="B5" s="5" t="s">
        <v>163</v>
      </c>
      <c r="C5" s="20"/>
      <c r="D5" s="20"/>
      <c r="E5" s="20"/>
      <c r="F5" s="20"/>
      <c r="G5" s="20"/>
      <c r="H5" s="20"/>
      <c r="I5" s="4" t="s">
        <v>164</v>
      </c>
    </row>
    <row r="6" customFormat="false" ht="15" hidden="false" customHeight="false" outlineLevel="0" collapsed="false">
      <c r="A6" s="8" t="n">
        <v>3</v>
      </c>
      <c r="B6" s="9" t="s">
        <v>165</v>
      </c>
      <c r="C6" s="17"/>
      <c r="D6" s="17"/>
      <c r="E6" s="17"/>
      <c r="F6" s="17"/>
      <c r="G6" s="17"/>
      <c r="H6" s="17"/>
      <c r="I6" s="8" t="s">
        <v>166</v>
      </c>
    </row>
    <row r="7" customFormat="false" ht="15" hidden="false" customHeight="false" outlineLevel="0" collapsed="false">
      <c r="A7" s="4" t="n">
        <v>4</v>
      </c>
      <c r="B7" s="5" t="s">
        <v>167</v>
      </c>
      <c r="C7" s="20"/>
      <c r="D7" s="20"/>
      <c r="E7" s="20"/>
      <c r="F7" s="20"/>
      <c r="G7" s="20"/>
      <c r="H7" s="20"/>
      <c r="I7" s="4" t="s">
        <v>168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20"/>
      <c r="C9" s="20"/>
      <c r="D9" s="20"/>
      <c r="E9" s="20"/>
      <c r="F9" s="20"/>
      <c r="G9" s="20"/>
      <c r="H9" s="20"/>
      <c r="I9" s="20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20"/>
      <c r="C11" s="20"/>
      <c r="D11" s="20"/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20"/>
      <c r="C15" s="20"/>
      <c r="D15" s="20"/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20"/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169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2" t="s">
        <v>170</v>
      </c>
      <c r="B2" s="62"/>
      <c r="C2" s="62"/>
      <c r="D2" s="62"/>
      <c r="E2" s="62"/>
      <c r="F2" s="62"/>
    </row>
    <row r="3" customFormat="false" ht="15" hidden="false" customHeight="false" outlineLevel="0" collapsed="false">
      <c r="A3" s="16" t="s">
        <v>2</v>
      </c>
      <c r="B3" s="16" t="s">
        <v>171</v>
      </c>
      <c r="C3" s="16" t="s">
        <v>172</v>
      </c>
      <c r="D3" s="16" t="s">
        <v>173</v>
      </c>
      <c r="E3" s="16" t="s">
        <v>174</v>
      </c>
      <c r="F3" s="16" t="s">
        <v>175</v>
      </c>
    </row>
    <row r="4" customFormat="false" ht="31.5" hidden="false" customHeight="true" outlineLevel="0" collapsed="false">
      <c r="A4" s="8" t="n">
        <v>1</v>
      </c>
      <c r="B4" s="9" t="s">
        <v>176</v>
      </c>
      <c r="C4" s="10" t="s">
        <v>177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178</v>
      </c>
      <c r="C5" s="6" t="s">
        <v>179</v>
      </c>
      <c r="D5" s="20"/>
      <c r="E5" s="20"/>
      <c r="F5" s="20"/>
    </row>
    <row r="6" customFormat="false" ht="31.5" hidden="false" customHeight="true" outlineLevel="0" collapsed="false">
      <c r="A6" s="8" t="n">
        <v>3</v>
      </c>
      <c r="B6" s="9" t="s">
        <v>180</v>
      </c>
      <c r="C6" s="10" t="s">
        <v>181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182</v>
      </c>
      <c r="C7" s="6" t="s">
        <v>183</v>
      </c>
      <c r="D7" s="20"/>
      <c r="E7" s="20"/>
      <c r="F7" s="20"/>
    </row>
    <row r="8" customFormat="false" ht="31.5" hidden="false" customHeight="true" outlineLevel="0" collapsed="false">
      <c r="A8" s="8" t="n">
        <v>5</v>
      </c>
      <c r="B8" s="9" t="s">
        <v>184</v>
      </c>
      <c r="C8" s="10" t="s">
        <v>185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186</v>
      </c>
      <c r="C9" s="6" t="s">
        <v>187</v>
      </c>
      <c r="D9" s="20"/>
      <c r="E9" s="20"/>
      <c r="F9" s="20"/>
    </row>
    <row r="10" customFormat="false" ht="31.5" hidden="false" customHeight="true" outlineLevel="0" collapsed="false">
      <c r="A10" s="8" t="n">
        <v>7</v>
      </c>
      <c r="B10" s="9" t="s">
        <v>188</v>
      </c>
      <c r="C10" s="10" t="s">
        <v>189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190</v>
      </c>
      <c r="C11" s="6" t="s">
        <v>191</v>
      </c>
      <c r="D11" s="20"/>
      <c r="E11" s="20"/>
      <c r="F11" s="20"/>
    </row>
    <row r="12" customFormat="false" ht="31.5" hidden="false" customHeight="true" outlineLevel="0" collapsed="false">
      <c r="A12" s="8" t="n">
        <v>9</v>
      </c>
      <c r="B12" s="9" t="s">
        <v>192</v>
      </c>
      <c r="C12" s="10" t="s">
        <v>193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194</v>
      </c>
      <c r="C13" s="6" t="s">
        <v>195</v>
      </c>
      <c r="D13" s="20"/>
      <c r="E13" s="20"/>
      <c r="F13" s="20"/>
    </row>
    <row r="14" customFormat="false" ht="31.5" hidden="false" customHeight="true" outlineLevel="0" collapsed="false">
      <c r="A14" s="8" t="n">
        <v>11</v>
      </c>
      <c r="B14" s="9" t="s">
        <v>196</v>
      </c>
      <c r="C14" s="10" t="s">
        <v>197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198</v>
      </c>
      <c r="C15" s="6" t="s">
        <v>199</v>
      </c>
      <c r="D15" s="20"/>
      <c r="E15" s="20"/>
      <c r="F15" s="20"/>
    </row>
    <row r="16" customFormat="false" ht="31.5" hidden="false" customHeight="true" outlineLevel="0" collapsed="false">
      <c r="A16" s="8" t="n">
        <v>13</v>
      </c>
      <c r="B16" s="9" t="s">
        <v>200</v>
      </c>
      <c r="C16" s="10" t="s">
        <v>201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202</v>
      </c>
      <c r="C17" s="6" t="s">
        <v>203</v>
      </c>
      <c r="D17" s="20"/>
      <c r="E17" s="20"/>
      <c r="F17" s="20"/>
    </row>
    <row r="18" customFormat="false" ht="31.5" hidden="false" customHeight="true" outlineLevel="0" collapsed="false">
      <c r="A18" s="8" t="n">
        <v>15</v>
      </c>
      <c r="B18" s="9" t="s">
        <v>204</v>
      </c>
      <c r="C18" s="10" t="s">
        <v>205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206</v>
      </c>
      <c r="C19" s="6" t="s">
        <v>207</v>
      </c>
      <c r="D19" s="20"/>
      <c r="E19" s="20"/>
      <c r="F19" s="20"/>
    </row>
    <row r="20" customFormat="false" ht="31.5" hidden="false" customHeight="true" outlineLevel="0" collapsed="false">
      <c r="A20" s="8" t="n">
        <v>17</v>
      </c>
      <c r="B20" s="9" t="s">
        <v>208</v>
      </c>
      <c r="C20" s="10" t="s">
        <v>209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210</v>
      </c>
      <c r="C21" s="6" t="s">
        <v>211</v>
      </c>
      <c r="D21" s="20"/>
      <c r="E21" s="20"/>
      <c r="F21" s="20"/>
    </row>
    <row r="22" customFormat="false" ht="31.5" hidden="false" customHeight="true" outlineLevel="0" collapsed="false">
      <c r="A22" s="8" t="n">
        <v>19</v>
      </c>
      <c r="B22" s="9" t="s">
        <v>212</v>
      </c>
      <c r="C22" s="10" t="s">
        <v>213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214</v>
      </c>
      <c r="C23" s="6" t="s">
        <v>215</v>
      </c>
      <c r="D23" s="20"/>
      <c r="E23" s="20"/>
      <c r="F23" s="2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2026-05-05T05:49:02Z</dcterms:created>
  <dc:creator>openpyxl</dc:creator>
  <dc:description/>
  <dc:language>en-US</dc:language>
  <cp:lastModifiedBy/>
  <dcterms:modified xsi:type="dcterms:W3CDTF">2026-05-05T05:49:02Z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