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Centres &amp; Clusters" sheetId="2" state="visible" r:id="rId4"/>
    <sheet name="2. Policies &amp; Governance" sheetId="3" state="visible" r:id="rId5"/>
    <sheet name="3. Funding Data" sheetId="4" state="visible" r:id="rId6"/>
    <sheet name="4. Faculty Involvement" sheetId="5" state="visible" r:id="rId7"/>
    <sheet name="5. Infrastructure" sheetId="6" state="visible" r:id="rId8"/>
    <sheet name="6. Research Clusters" sheetId="7" state="visible" r:id="rId9"/>
    <sheet name="7. NEP-2020 Alignment" sheetId="8" state="visible" r:id="rId10"/>
    <sheet name="8. Composite IRE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<sst xmlns="http://schemas.openxmlformats.org/spreadsheetml/2006/main" count="296" uniqueCount="259">
  <si>
    <t xml:space="preserve">THE Interdisciplinary Science Rankings — Interdisciplinary Research Environment (≈20%)</t>
  </si>
  <si>
    <t xml:space="preserve">Assesses Structural Capacity to Support Cross-Disciplinary Science | Data Source: Institutional Submissions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</si>
  <si>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</si>
  <si>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</si>
  <si>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</si>
  <si>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</si>
  <si>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Interdisciplinary Research Centres, Schools &amp; Clusters</t>
  </si>
  <si>
    <t xml:space="preserve">Count and quality of formally established centres, schools, institutes, or clusters that bring together faculty from 2+ traditional departments to work on convergent research themes (e.g., Centre for AI &amp; Health, Institute of Climate &amp; Energy). Quality assessed via output, funding, and faculty breadth.</t>
  </si>
  <si>
    <t xml:space="preserve">~5%</t>
  </si>
  <si>
    <t xml:space="preserve">Institutional Policies Enabling Cross-Department Collaboration</t>
  </si>
  <si>
    <t xml:space="preserve">Existence and maturity of formal policies that enable/incentivize cross-departmental research: joint appointment frameworks, shared PI eligibility, interdisciplinary tenure-track criteria, seed-grant programmes for cross-field proposals, mandatory cross-listing of graduate courses.</t>
  </si>
  <si>
    <t xml:space="preserve">~4%</t>
  </si>
  <si>
    <t xml:space="preserve">Funding for Cross-Disciplinary Initiatives</t>
  </si>
  <si>
    <t xml:space="preserve">Volume and proportion of internal + external research funding dedicated to explicitly interdisciplinary projects. Includes: internal seed grants, government mission-mode grants (e.g., SPARC, IMPRINT, DST missions in India), industry-sponsored cross-domain R&amp;D, and international collaborative grants.</t>
  </si>
  <si>
    <t xml:space="preserve">Faculty Involvement in Interdisciplinary Teams</t>
  </si>
  <si>
    <t xml:space="preserve">Percentage of faculty holding joint/dual appointments across departments, participating in multi-department research groups, co-supervising cross-disciplinary PhD students, or serving on interdisciplinary committees. Higher breadth = stronger environment.</t>
  </si>
  <si>
    <t xml:space="preserve">Infrastructure Supporting Integrated Research</t>
  </si>
  <si>
    <t xml:space="preserve">Shared core facilities (instrumentation centres, computational labs, maker spaces, living labs), co-located office/lab spaces for cross-domain teams, digital collaboration platforms (shared data repositories, multi-domain simulation tools), and library/information resources supporting convergent science.</t>
  </si>
  <si>
    <t xml:space="preserve">~3%</t>
  </si>
  <si>
    <t xml:space="preserve">Key Reference Notes</t>
  </si>
  <si>
    <t xml:space="preserve">• Interdisciplinary Research Environment carries ≈20% of total ranking — the second-largest pillar alongside Teaching &amp; Curriculum Innovation.</t>
  </si>
  <si>
    <t xml:space="preserve">• Primary data source: University-submitted data under audited guidelines prescribed by THE.</t>
  </si>
  <si>
    <t xml:space="preserve">• Evaluates STRUCTURAL CAPACITY (centres, policies, funding, faculty, infrastructure) — not output (which falls under Research Quality).</t>
  </si>
  <si>
    <t xml:space="preserve">• Aligns with India's NEP-2020 emphasis on multidisciplinary universities, flexible structures, and convergent research ecosystems.</t>
  </si>
  <si>
    <t xml:space="preserve">• Joint appointments, shared labs, and cross-department seed grants are key differentiators for high-scoring institutions.</t>
  </si>
  <si>
    <t xml:space="preserve">• THE cross-checks institutional submissions against bibliometric evidence (Scopus) and publicly available data for validation.</t>
  </si>
  <si>
    <t xml:space="preserve">• Infrastructure includes both physical (shared labs, maker spaces) and digital (data platforms, simulation tools) capabilities.</t>
  </si>
  <si>
    <t xml:space="preserve">• Scoring: each sub-indicator normalized 0–100 via z-scoring; composite weighted average produces final IRE score.</t>
  </si>
  <si>
    <t xml:space="preserve">Interdisciplinary Research Centres, Schools, Institutes &amp; Clusters</t>
  </si>
  <si>
    <t xml:space="preserve">Formally established entities bringing together 2+ departments for convergent research | Per-centre detail</t>
  </si>
  <si>
    <t xml:space="preserve">S.No.</t>
  </si>
  <si>
    <t xml:space="preserve">Centre / Institute Name</t>
  </si>
  <si>
    <t xml:space="preserve">Disciplines Integrated (list)</t>
  </si>
  <si>
    <t xml:space="preserve">Departments Involved</t>
  </si>
  <si>
    <t xml:space="preserve">Year Established</t>
  </si>
  <si>
    <t xml:space="preserve">Annual Funding (INR Lakhs / USD K)</t>
  </si>
  <si>
    <t xml:space="preserve">No. of Faculty Members</t>
  </si>
  <si>
    <t xml:space="preserve">No. of Research Outputs (5yr)</t>
  </si>
  <si>
    <t xml:space="preserve">Active (Y/N)</t>
  </si>
  <si>
    <t xml:space="preserve">University Name</t>
  </si>
  <si>
    <t xml:space="preserve">University-Level Summary</t>
  </si>
  <si>
    <t xml:space="preserve">Total Active Centres</t>
  </si>
  <si>
    <t xml:space="preserve">Avg Departments per Centre</t>
  </si>
  <si>
    <t xml:space="preserve">Total Centre Funding</t>
  </si>
  <si>
    <t xml:space="preserve">Total Centre Faculty</t>
  </si>
  <si>
    <t xml:space="preserve">Total Centre Publications</t>
  </si>
  <si>
    <t xml:space="preserve">Centre Density (per 1000 faculty)</t>
  </si>
  <si>
    <t xml:space="preserve">Centre Quality Score (0–100)</t>
  </si>
  <si>
    <t xml:space="preserve">Reporting Year</t>
  </si>
  <si>
    <t xml:space="preserve">Formal policies, frameworks &amp; incentive mechanisms that support interdisciplinary research culture</t>
  </si>
  <si>
    <t xml:space="preserve">Policy / Framework Description</t>
  </si>
  <si>
    <t xml:space="preserve">Year Adopted</t>
  </si>
  <si>
    <t xml:space="preserve">Coverage (University/Faculty/Dept)</t>
  </si>
  <si>
    <t xml:space="preserve">Evidence Document / URL</t>
  </si>
  <si>
    <t xml:space="preserve">Policy Maturity Assessment (Per University)</t>
  </si>
  <si>
    <t xml:space="preserve">Policy Item</t>
  </si>
  <si>
    <t xml:space="preserve">Exists (Y/N)</t>
  </si>
  <si>
    <t xml:space="preserve">Maturity (1-5)</t>
  </si>
  <si>
    <t xml:space="preserve">Evidence</t>
  </si>
  <si>
    <t xml:space="preserve">University</t>
  </si>
  <si>
    <t xml:space="preserve">Joint / dual faculty appointment framework across departments</t>
  </si>
  <si>
    <t xml:space="preserve">Shared PI eligibility for cross-department research proposals</t>
  </si>
  <si>
    <t xml:space="preserve">Interdisciplinary tenure &amp; promotion criteria (rewards cross-field work)</t>
  </si>
  <si>
    <t xml:space="preserve">Internal seed-grant programme for cross-disciplinary pilot projects</t>
  </si>
  <si>
    <t xml:space="preserve">Mandatory cross-listing of graduate courses across departments</t>
  </si>
  <si>
    <t xml:space="preserve">Formal interdisciplinary PhD co-supervision policy</t>
  </si>
  <si>
    <t xml:space="preserve">Cross-department resource sharing policy (labs, equipment, budgets)</t>
  </si>
  <si>
    <t xml:space="preserve">Interdisciplinary Research Committee / Board at university level</t>
  </si>
  <si>
    <t xml:space="preserve">Annual interdisciplinary research review / progress reporting</t>
  </si>
  <si>
    <t xml:space="preserve">Industry-academia cross-domain collaboration framework</t>
  </si>
  <si>
    <t xml:space="preserve">Policy for shared intellectual property from joint research</t>
  </si>
  <si>
    <t xml:space="preserve">Sabbatical / exchange programme across departments for faculty</t>
  </si>
  <si>
    <t xml:space="preserve">Student mobility policy enabling cross-department credit transfer</t>
  </si>
  <si>
    <t xml:space="preserve">Data sharing policy for multi-domain research projects</t>
  </si>
  <si>
    <t xml:space="preserve">Green-channel approval for interdisciplinary project proposals</t>
  </si>
  <si>
    <t xml:space="preserve">Total Policies Adopted</t>
  </si>
  <si>
    <t xml:space="preserve">Policy Adoption Rate (%)</t>
  </si>
  <si>
    <t xml:space="preserve">Average Maturity Score (1–5)</t>
  </si>
  <si>
    <t xml:space="preserve">Funding for Cross-Disciplinary Research Initiatives</t>
  </si>
  <si>
    <t xml:space="preserve">Internal + external funding explicitly allocated to interdisciplinary projects | 5-year analysis window</t>
  </si>
  <si>
    <t xml:space="preserve">Country</t>
  </si>
  <si>
    <t xml:space="preserve">Total Research Funding (5yr, INR Cr / USD M)</t>
  </si>
  <si>
    <t xml:space="preserve">Internal Seed Grants for Interdisc. (INR L / USD K)</t>
  </si>
  <si>
    <t xml:space="preserve">Govt Mission-Mode Grants (SPARC/IMPRINT/DST)</t>
  </si>
  <si>
    <t xml:space="preserve">Industry Cross-Domain R&amp;D Funding</t>
  </si>
  <si>
    <t xml:space="preserve">International Collaborative Grants</t>
  </si>
  <si>
    <t xml:space="preserve">Total Interdisciplinary Funding</t>
  </si>
  <si>
    <t xml:space="preserve">% Funding Allocated to Interdisc.</t>
  </si>
  <si>
    <t xml:space="preserve">Reporting Period</t>
  </si>
  <si>
    <t xml:space="preserve">Detailed Funding Source Log (Individual Grants &amp; Projects)</t>
  </si>
  <si>
    <t xml:space="preserve">Project Title</t>
  </si>
  <si>
    <t xml:space="preserve">Funding Agency</t>
  </si>
  <si>
    <t xml:space="preserve">Amount (INR L / USD K)</t>
  </si>
  <si>
    <t xml:space="preserve">Disciplines Involved</t>
  </si>
  <si>
    <t xml:space="preserve">Duration (Years)</t>
  </si>
  <si>
    <t xml:space="preserve">PI Name</t>
  </si>
  <si>
    <t xml:space="preserve">Co-PI Departments</t>
  </si>
  <si>
    <t xml:space="preserve">Status (Active/Completed)</t>
  </si>
  <si>
    <t xml:space="preserve">Cross-Domain (Y/N)</t>
  </si>
  <si>
    <t xml:space="preserve">Faculty Involvement in Interdisciplinary Teams &amp; Joint Appointments</t>
  </si>
  <si>
    <t xml:space="preserve">% of faculty with joint appointments, cross-dept supervision, multi-department research group membership</t>
  </si>
  <si>
    <t xml:space="preserve">Total Faculty (FTE)</t>
  </si>
  <si>
    <t xml:space="preserve">Faculty with Joint/Dual Appointments</t>
  </si>
  <si>
    <t xml:space="preserve">Faculty in Multi-Dept Research Groups</t>
  </si>
  <si>
    <t xml:space="preserve">Faculty Co-supervising Cross-Dept PhDs</t>
  </si>
  <si>
    <t xml:space="preserve">Faculty on Interdisc. Committees</t>
  </si>
  <si>
    <t xml:space="preserve">Total Interdisc.-Active Faculty (Unique)</t>
  </si>
  <si>
    <t xml:space="preserve">% Faculty Interdisciplinary</t>
  </si>
  <si>
    <t xml:space="preserve">Individual Faculty Interdisciplinary Profile Log</t>
  </si>
  <si>
    <t xml:space="preserve">Faculty Name</t>
  </si>
  <si>
    <t xml:space="preserve">Primary Department</t>
  </si>
  <si>
    <t xml:space="preserve">Secondary/Joint Department</t>
  </si>
  <si>
    <t xml:space="preserve">Joint Appointment (Y/N)</t>
  </si>
  <si>
    <t xml:space="preserve">No. of Cross-Dept Co-supervised PhDs</t>
  </si>
  <si>
    <t xml:space="preserve">No. of Multi-Dept Research Projects</t>
  </si>
  <si>
    <t xml:space="preserve">Interdisc. Publications (5yr)</t>
  </si>
  <si>
    <t xml:space="preserve">Interdisc. Committee Membership</t>
  </si>
  <si>
    <t xml:space="preserve">Interdisc. Activity Score (0–10)</t>
  </si>
  <si>
    <t xml:space="preserve">Infrastructure Supporting Integrated &amp; Convergent Research</t>
  </si>
  <si>
    <t xml:space="preserve">Shared facilities, co-located labs, digital platforms, maker spaces, living labs</t>
  </si>
  <si>
    <t xml:space="preserve">Facility / Infrastructure Name</t>
  </si>
  <si>
    <t xml:space="preserve">Type (Lab/MakerSpace/Digital/Library/LivingLab)</t>
  </si>
  <si>
    <t xml:space="preserve">Departments Sharing</t>
  </si>
  <si>
    <t xml:space="preserve">Annual Users / Projects Supported</t>
  </si>
  <si>
    <t xml:space="preserve">Investment (INR L / USD K)</t>
  </si>
  <si>
    <t xml:space="preserve">University-Level Infrastructure Summary</t>
  </si>
  <si>
    <t xml:space="preserve">Total Shared Facilities</t>
  </si>
  <si>
    <t xml:space="preserve">Shared Core Instrumentation Centres</t>
  </si>
  <si>
    <t xml:space="preserve">Computational / HPC Facilities</t>
  </si>
  <si>
    <t xml:space="preserve">Maker Spaces / Innovation Labs</t>
  </si>
  <si>
    <t xml:space="preserve">Digital Collaboration Platforms</t>
  </si>
  <si>
    <t xml:space="preserve">Infrastructure Score (0–100)</t>
  </si>
  <si>
    <t xml:space="preserve">Infrastructure Checklist (Per University)</t>
  </si>
  <si>
    <t xml:space="preserve">Infrastructure Item</t>
  </si>
  <si>
    <t xml:space="preserve">Capacity / Scale</t>
  </si>
  <si>
    <t xml:space="preserve">Annual Budget</t>
  </si>
  <si>
    <t xml:space="preserve">Users/yr</t>
  </si>
  <si>
    <t xml:space="preserve">Shared core instrumentation centre (SEM, NMR, Mass Spec, etc.)</t>
  </si>
  <si>
    <t xml:space="preserve">High-performance computing (HPC) / GPU cluster for multi-domain simulation</t>
  </si>
  <si>
    <t xml:space="preserve">Interdisciplinary maker space / fabrication lab</t>
  </si>
  <si>
    <t xml:space="preserve">Living lab (real-world test environment for integrated solutions)</t>
  </si>
  <si>
    <t xml:space="preserve">Co-located office/lab spaces for cross-domain research teams</t>
  </si>
  <si>
    <t xml:space="preserve">Shared data repository / data lake accessible across departments</t>
  </si>
  <si>
    <t xml:space="preserve">Multi-domain simulation platform (MATLAB, COMSOL, etc. site-wide)</t>
  </si>
  <si>
    <t xml:space="preserve">Joint library / information centre with cross-disciplinary collections</t>
  </si>
  <si>
    <t xml:space="preserve">Biobank / sample repository shared across life &amp; health sciences</t>
  </si>
  <si>
    <t xml:space="preserve">Clean room / nano-fab shared across physics, chemistry, engineering</t>
  </si>
  <si>
    <t xml:space="preserve">AI / ML computing infrastructure shared across all departments</t>
  </si>
  <si>
    <t xml:space="preserve">Telepresence / video-conferencing for inter-campus cross-dept collaboration</t>
  </si>
  <si>
    <t xml:space="preserve">Incubation centre supporting multi-domain start-ups</t>
  </si>
  <si>
    <t xml:space="preserve">Field research stations shared across environmental, agricultural &amp; earth sciences</t>
  </si>
  <si>
    <t xml:space="preserve">Digital twin / IoT lab shared across engineering, CS, and environmental depts</t>
  </si>
  <si>
    <t xml:space="preserve">Research Cluster Mapping — Cross-Domain Research Themes</t>
  </si>
  <si>
    <t xml:space="preserve">Clusters spanning 3+ subject areas | Maps convergent research themes active at the institution</t>
  </si>
  <si>
    <t xml:space="preserve">Cluster / Theme Name</t>
  </si>
  <si>
    <t xml:space="preserve">Disciplines Integrated (3+ required)</t>
  </si>
  <si>
    <t xml:space="preserve">Key Faculty (Cross-Dept)</t>
  </si>
  <si>
    <t xml:space="preserve">Year Formed</t>
  </si>
  <si>
    <t xml:space="preserve">External Funding (INR L / USD K)</t>
  </si>
  <si>
    <t xml:space="preserve">Publications (5yr)</t>
  </si>
  <si>
    <t xml:space="preserve">Patents Filed</t>
  </si>
  <si>
    <t xml:space="preserve">SDG Alignment</t>
  </si>
  <si>
    <t xml:space="preserve">NEP-2020 &amp; National Mission Alignment — Interdisciplinary Environment</t>
  </si>
  <si>
    <t xml:space="preserve">Tracks alignment with NEP-2020 multidisciplinary mandates, SPARC, IMPRINT, DST missions, AICTE reforms</t>
  </si>
  <si>
    <t xml:space="preserve">NEP-2020 / Mission Alignment Item</t>
  </si>
  <si>
    <t xml:space="preserve">Status (Implemented/Planned/Not Started)</t>
  </si>
  <si>
    <t xml:space="preserve">Evidence / Documentation</t>
  </si>
  <si>
    <t xml:space="preserve">Year of Implementation</t>
  </si>
  <si>
    <t xml:space="preserve">Remarks</t>
  </si>
  <si>
    <t xml:space="preserve">Multidisciplinary university structure established (NEP-2020 mandate)</t>
  </si>
  <si>
    <t xml:space="preserve">Flexible credit-based curriculum allowing cross-department courses</t>
  </si>
  <si>
    <t xml:space="preserve">Academic Bank of Credits (ABC) operational for cross-disciplinary mobility</t>
  </si>
  <si>
    <t xml:space="preserve">Research-intensive university cluster formed (NEP-2020 HEI classification)</t>
  </si>
  <si>
    <t xml:space="preserve">SPARC (Scheme for Promotion of Academic and Research Collaboration) projects active</t>
  </si>
  <si>
    <t xml:space="preserve">IMPRINT (Impacting Research Innovation and Technology) cross-domain projects funded</t>
  </si>
  <si>
    <t xml:space="preserve">DST mission-mode interdisciplinary grants received (Climate, Health, AI, Water)</t>
  </si>
  <si>
    <t xml:space="preserve">AICTE Interdisciplinary / Multidisciplinary programme approvals obtained</t>
  </si>
  <si>
    <t xml:space="preserve">Industry-academia convergence centres established (AICTE / DST funded)</t>
  </si>
  <si>
    <t xml:space="preserve">National Institutional Ranking Framework (NIRF) interdisciplinary data submitted</t>
  </si>
  <si>
    <t xml:space="preserve">Cross-department PhD co-supervision aligned with UGC regulations</t>
  </si>
  <si>
    <t xml:space="preserve">Faculty incentive structure revised to reward interdisciplinary contributions</t>
  </si>
  <si>
    <t xml:space="preserve">Living labs / field stations linked to national mission themes</t>
  </si>
  <si>
    <t xml:space="preserve">International collaboration under GIAN / VAJRA / SPARC frameworks</t>
  </si>
  <si>
    <t xml:space="preserve">SDG-linked interdisciplinary research outputs mapped and reported</t>
  </si>
  <si>
    <t xml:space="preserve">Composite Interdisciplinary Research Environment Score (0–100)</t>
  </si>
  <si>
    <t xml:space="preserve">Weighted composite of 5 sub-indicators | Weights editable in Row 4 | ≈20% of total ranking</t>
  </si>
  <si>
    <t xml:space="preserve">Centres &amp; Clusters (A)</t>
  </si>
  <si>
    <t xml:space="preserve">Policies &amp; Governance (B)</t>
  </si>
  <si>
    <t xml:space="preserve">Funding Score (C)</t>
  </si>
  <si>
    <t xml:space="preserve">Faculty Involvement (D)</t>
  </si>
  <si>
    <t xml:space="preserve">Infrastructure (E)</t>
  </si>
  <si>
    <t xml:space="preserve">Composite IRE Score (0–100)</t>
  </si>
  <si>
    <t xml:space="preserve">Global Rank</t>
  </si>
  <si>
    <t xml:space="preserve">Weights →</t>
  </si>
  <si>
    <t xml:space="preserve">Benchmarking &amp; Peer Comparison — Interdisciplinary Research Environment</t>
  </si>
  <si>
    <t xml:space="preserve">Compare your institution against peers, aspirational targets, and global top performers</t>
  </si>
  <si>
    <t xml:space="preserve">University / Benchmark</t>
  </si>
  <si>
    <t xml:space="preserve">Centres Score</t>
  </si>
  <si>
    <t xml:space="preserve">Policy Score</t>
  </si>
  <si>
    <t xml:space="preserve">Funding Score</t>
  </si>
  <si>
    <t xml:space="preserve">Faculty Score</t>
  </si>
  <si>
    <t xml:space="preserve">Infra Score</t>
  </si>
  <si>
    <t xml:space="preserve">Composite IRE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</si>
  <si>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</si>
  <si>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</si>
  <si>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</si>
  <si>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</si>
  <si>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</si>
  <si>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</si>
  <si>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</si>
  <si>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</si>
  <si>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</si>
  <si>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Interdisciplinary Research Environment — Data Quality &amp; Audit Checklist</t>
  </si>
  <si>
    <t xml:space="preserve">Validation checks for all sub-indicators of the IRE pillar (≈20% of THE Interdisciplinary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</si>
  <si>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</si>
  <si>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</si>
  <si>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</si>
  <si>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</si>
  <si>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</si>
  <si>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Centre definition consistency</t>
  </si>
  <si>
    <t xml:space="preserve">Each centre/cluster involves faculty from 2+ distinct departments; verify no single-department entities counted</t>
  </si>
  <si>
    <t xml:space="preserve">Centre activity validation</t>
  </si>
  <si>
    <t xml:space="preserve">All centres listed as 'Active' have produced research output or secured funding in the past 3 years</t>
  </si>
  <si>
    <t xml:space="preserve">Policy documentation</t>
  </si>
  <si>
    <t xml:space="preserve">Every policy listed is supported by an official university document (Board Resolution, Ordinance, or Regulation)</t>
  </si>
  <si>
    <t xml:space="preserve">Policy maturity scoring</t>
  </si>
  <si>
    <t xml:space="preserve">Maturity scores (1–5) use consistent rubric: 1=Draft, 2=Approved, 3=Implemented &lt;2yr, 4=Implemented 2-5yr, 5=Mature &gt;5yr</t>
  </si>
  <si>
    <t xml:space="preserve">Funding data window</t>
  </si>
  <si>
    <t xml:space="preserve">All funding figures cover the same 5-year analysis window consistent with the ranking cycle</t>
  </si>
  <si>
    <t xml:space="preserve">Double-counting prevention</t>
  </si>
  <si>
    <t xml:space="preserve">Interdisciplinary funding not double-counted across sub-categories (internal, govt, industry, international)</t>
  </si>
  <si>
    <t xml:space="preserve">Faculty unique count</t>
  </si>
  <si>
    <t xml:space="preserve">'Total Interdisc.-Active Faculty' counts each person ONCE even if active in multiple categories</t>
  </si>
  <si>
    <t xml:space="preserve">Joint appointment verification</t>
  </si>
  <si>
    <t xml:space="preserve">Joint/dual appointments verified against official HR/establishment records</t>
  </si>
  <si>
    <t xml:space="preserve">Infrastructure audit</t>
  </si>
  <si>
    <t xml:space="preserve">Shared facilities verified as operational (not just planned); user/project data corroborated</t>
  </si>
  <si>
    <t xml:space="preserve">Cluster discipline count</t>
  </si>
  <si>
    <t xml:space="preserve">Each research cluster verified as spanning 3+ distinct subject areas (not sub-specialties of one area)</t>
  </si>
  <si>
    <t xml:space="preserve">NEP-2020 compliance evidence</t>
  </si>
  <si>
    <t xml:space="preserve">Each NEP-2020 item marked 'Implemented' is backed by verifiable documentation or AISHE/NIRF submission</t>
  </si>
  <si>
    <t xml:space="preserve">Cross-check with bibliometrics</t>
  </si>
  <si>
    <t xml:space="preserve">Centre/cluster publication counts cross-checked against Scopus/Web of Science institutional profile</t>
  </si>
  <si>
    <t xml:space="preserve">Reporting period consistency</t>
  </si>
  <si>
    <t xml:space="preserve">All data sheets use the same reporting period / analysis window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</si>
  <si>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</si>
  <si>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</si>
  <si>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</si>
  <si>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the IRE pillar; weights editable but default total verified</t>
  </si>
  <si>
    <t xml:space="preserve">Year-on-year trend check</t>
  </si>
  <si>
    <t xml:space="preserve">Compare current submission with previous cycle to flag anomalous changes (&gt;25% shift)</t>
  </si>
  <si>
    <t xml:space="preserve">External audit trail</t>
  </si>
  <si>
    <t xml:space="preserve">THE audit guidelines followed; institutional data submission signed by competent authority</t>
  </si>
  <si>
    <t xml:space="preserve">Peer review of submission</t>
  </si>
  <si>
    <t xml:space="preserve">At least one internal peer reviewer (outside the data team) has verified the submission</t>
  </si>
  <si>
    <t xml:space="preserve">Missing data handling</t>
  </si>
  <si>
    <t xml:space="preserve">Missing data fields documented with justification; no zeros substituted for missing values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</si>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</sst>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5E20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548235"/>
        <bgColor rgb="FF808080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8B0000"/>
        <bgColor rgb="FF800000"/>
      </patternFill>
    </fill>
    <fill>
      <patternFill patternType="solid">
        <fgColor rgb="FF3F51B5"/>
        <bgColor rgb="FF666699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11</v>
      </c>
    </row>
    <row r="8" customFormat="false" ht="90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11</v>
      </c>
    </row>
    <row r="9" customFormat="false" ht="90" hidden="false" customHeight="true" outlineLevel="0" collapsed="false">
      <c r="A9" s="4" t="n">
        <v>5</v>
      </c>
      <c r="B9" s="5" t="s">
        <v>16</v>
      </c>
      <c r="C9" s="6" t="s">
        <v>17</v>
      </c>
      <c r="D9" s="7" t="s">
        <v>18</v>
      </c>
    </row>
    <row r="11" customFormat="false" ht="25.5" hidden="false" customHeight="true" outlineLevel="0" collapsed="false">
      <c r="A11" s="12" t="s">
        <v>19</v>
      </c>
      <c r="B11" s="12"/>
      <c r="C11" s="12"/>
      <c r="D11" s="12"/>
    </row>
    <row r="12" customFormat="false" ht="23.85" hidden="false" customHeight="true" outlineLevel="0" collapsed="false">
      <c r="A12" s="13" t="s">
        <v>20</v>
      </c>
      <c r="B12" s="13"/>
      <c r="C12" s="13"/>
      <c r="D12" s="13"/>
    </row>
    <row r="13" customFormat="false" ht="15" hidden="false" customHeight="true" outlineLevel="0" collapsed="false">
      <c r="A13" s="13" t="s">
        <v>21</v>
      </c>
      <c r="B13" s="13"/>
      <c r="C13" s="13"/>
      <c r="D13" s="13"/>
    </row>
    <row r="14" customFormat="false" ht="23.85" hidden="false" customHeight="true" outlineLevel="0" collapsed="false">
      <c r="A14" s="13" t="s">
        <v>22</v>
      </c>
      <c r="B14" s="13"/>
      <c r="C14" s="13"/>
      <c r="D14" s="13"/>
    </row>
    <row r="15" customFormat="false" ht="15" hidden="false" customHeight="true" outlineLevel="0" collapsed="false">
      <c r="A15" s="13" t="s">
        <v>23</v>
      </c>
      <c r="B15" s="13"/>
      <c r="C15" s="13"/>
      <c r="D15" s="13"/>
    </row>
    <row r="16" customFormat="false" ht="15" hidden="false" customHeight="true" outlineLevel="0" collapsed="false">
      <c r="A16" s="13" t="s">
        <v>24</v>
      </c>
      <c r="B16" s="13"/>
      <c r="C16" s="13"/>
      <c r="D16" s="13"/>
    </row>
    <row r="17" customFormat="false" ht="15" hidden="false" customHeight="true" outlineLevel="0" collapsed="false">
      <c r="A17" s="13" t="s">
        <v>25</v>
      </c>
      <c r="B17" s="13"/>
      <c r="C17" s="13"/>
      <c r="D17" s="13"/>
    </row>
    <row r="18" customFormat="false" ht="15" hidden="false" customHeight="true" outlineLevel="0" collapsed="false">
      <c r="A18" s="13" t="s">
        <v>26</v>
      </c>
      <c r="B18" s="13"/>
      <c r="C18" s="13"/>
      <c r="D18" s="13"/>
    </row>
    <row r="19" customFormat="false" ht="15" hidden="false" customHeight="true" outlineLevel="0" collapsed="false">
      <c r="A19" s="13" t="s">
        <v>27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42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44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46</v>
      </c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48</v>
      </c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50</v>
      </c>
      <c r="B53" s="18"/>
      <c r="C53" s="18"/>
      <c r="D53" s="18"/>
      <c r="E53" s="18"/>
      <c r="F53" s="18"/>
      <c r="G53" s="18"/>
      <c r="H53" s="18"/>
      <c r="I53" s="18"/>
      <c r="J53" s="18"/>
    </row>
    <row r="55" customFormat="false" ht="25.5" hidden="false" customHeight="true" outlineLevel="0" collapsed="false">
      <c r="A55" s="19" t="s">
        <v>40</v>
      </c>
      <c r="B55" s="19"/>
      <c r="C55" s="19"/>
      <c r="D55" s="19"/>
      <c r="E55" s="19"/>
      <c r="F55" s="19"/>
      <c r="G55" s="19"/>
      <c r="H55" s="19"/>
      <c r="I55" s="19"/>
      <c r="J55" s="19"/>
    </row>
    <row r="56" customFormat="false" ht="23.85" hidden="false" customHeight="false" outlineLevel="0" collapsed="false">
      <c r="A56" s="20" t="s">
        <v>30</v>
      </c>
      <c r="B56" s="20" t="s">
        <v>39</v>
      </c>
      <c r="C56" s="20" t="s">
        <v>41</v>
      </c>
      <c r="D56" s="20" t="s">
        <v>42</v>
      </c>
      <c r="E56" s="20" t="s">
        <v>43</v>
      </c>
      <c r="F56" s="20" t="s">
        <v>44</v>
      </c>
      <c r="G56" s="20" t="s">
        <v>45</v>
      </c>
      <c r="H56" s="20" t="s">
        <v>46</v>
      </c>
      <c r="I56" s="20" t="s">
        <v>47</v>
      </c>
      <c r="J56" s="20" t="s">
        <v>48</v>
      </c>
    </row>
    <row r="57" customFormat="false" ht="15" hidden="false" customHeight="false" outlineLevel="0" collapsed="false">
      <c r="A57" s="4" t="n">
        <v>1</v>
      </c>
      <c r="B57" s="18"/>
      <c r="C57" s="18"/>
      <c r="D57" s="18"/>
      <c r="E57" s="18"/>
      <c r="F57" s="18"/>
      <c r="G57" s="18"/>
      <c r="H57" s="21" t="n">
        <f aca="false">IF(F57&gt;0,C57/F57*1000,0)</f>
        <v>0</v>
      </c>
      <c r="I57" s="18"/>
      <c r="J57" s="18"/>
    </row>
    <row r="58" customFormat="false" ht="15" hidden="false" customHeight="false" outlineLevel="0" collapsed="false">
      <c r="A58" s="8" t="n">
        <v>2</v>
      </c>
      <c r="B58" s="17"/>
      <c r="C58" s="17"/>
      <c r="D58" s="17"/>
      <c r="E58" s="17"/>
      <c r="F58" s="17"/>
      <c r="G58" s="17"/>
      <c r="H58" s="22" t="n">
        <f aca="false">IF(F58&gt;0,C58/F58*1000,0)</f>
        <v>0</v>
      </c>
      <c r="I58" s="17"/>
      <c r="J58" s="17"/>
    </row>
    <row r="59" customFormat="false" ht="15" hidden="false" customHeight="false" outlineLevel="0" collapsed="false">
      <c r="A59" s="4" t="n">
        <v>3</v>
      </c>
      <c r="B59" s="18"/>
      <c r="C59" s="18"/>
      <c r="D59" s="18"/>
      <c r="E59" s="18"/>
      <c r="F59" s="18"/>
      <c r="G59" s="18"/>
      <c r="H59" s="21" t="n">
        <f aca="false">IF(F59&gt;0,C59/F59*1000,0)</f>
        <v>0</v>
      </c>
      <c r="I59" s="18"/>
      <c r="J59" s="18"/>
    </row>
    <row r="60" customFormat="false" ht="15" hidden="false" customHeight="false" outlineLevel="0" collapsed="false">
      <c r="A60" s="8" t="n">
        <v>4</v>
      </c>
      <c r="B60" s="17"/>
      <c r="C60" s="17"/>
      <c r="D60" s="17"/>
      <c r="E60" s="17"/>
      <c r="F60" s="17"/>
      <c r="G60" s="17"/>
      <c r="H60" s="22" t="n">
        <f aca="false">IF(F60&gt;0,C60/F60*1000,0)</f>
        <v>0</v>
      </c>
      <c r="I60" s="17"/>
      <c r="J60" s="17"/>
    </row>
    <row r="61" customFormat="false" ht="15" hidden="false" customHeight="false" outlineLevel="0" collapsed="false">
      <c r="A61" s="4" t="n">
        <v>5</v>
      </c>
      <c r="B61" s="18"/>
      <c r="C61" s="18"/>
      <c r="D61" s="18"/>
      <c r="E61" s="18"/>
      <c r="F61" s="18"/>
      <c r="G61" s="18"/>
      <c r="H61" s="21" t="n">
        <f aca="false">IF(F61&gt;0,C61/F61*1000,0)</f>
        <v>0</v>
      </c>
      <c r="I61" s="18"/>
      <c r="J61" s="18"/>
    </row>
    <row r="62" customFormat="false" ht="15" hidden="false" customHeight="false" outlineLevel="0" collapsed="false">
      <c r="A62" s="8" t="n">
        <v>6</v>
      </c>
      <c r="B62" s="17"/>
      <c r="C62" s="17"/>
      <c r="D62" s="17"/>
      <c r="E62" s="17"/>
      <c r="F62" s="17"/>
      <c r="G62" s="17"/>
      <c r="H62" s="22" t="n">
        <f aca="false">IF(F62&gt;0,C62/F62*1000,0)</f>
        <v>0</v>
      </c>
      <c r="I62" s="17"/>
      <c r="J62" s="17"/>
    </row>
    <row r="63" customFormat="false" ht="15" hidden="false" customHeight="false" outlineLevel="0" collapsed="false">
      <c r="A63" s="4" t="n">
        <v>7</v>
      </c>
      <c r="B63" s="18"/>
      <c r="C63" s="18"/>
      <c r="D63" s="18"/>
      <c r="E63" s="18"/>
      <c r="F63" s="18"/>
      <c r="G63" s="18"/>
      <c r="H63" s="21" t="n">
        <f aca="false">IF(F63&gt;0,C63/F63*1000,0)</f>
        <v>0</v>
      </c>
      <c r="I63" s="18"/>
      <c r="J63" s="18"/>
    </row>
    <row r="64" customFormat="false" ht="15" hidden="false" customHeight="false" outlineLevel="0" collapsed="false">
      <c r="A64" s="8" t="n">
        <v>8</v>
      </c>
      <c r="B64" s="17"/>
      <c r="C64" s="17"/>
      <c r="D64" s="17"/>
      <c r="E64" s="17"/>
      <c r="F64" s="17"/>
      <c r="G64" s="17"/>
      <c r="H64" s="22" t="n">
        <f aca="false">IF(F64&gt;0,C64/F64*1000,0)</f>
        <v>0</v>
      </c>
      <c r="I64" s="17"/>
      <c r="J64" s="17"/>
    </row>
    <row r="65" customFormat="false" ht="15" hidden="false" customHeight="false" outlineLevel="0" collapsed="false">
      <c r="A65" s="4" t="n">
        <v>9</v>
      </c>
      <c r="B65" s="18"/>
      <c r="C65" s="18"/>
      <c r="D65" s="18"/>
      <c r="E65" s="18"/>
      <c r="F65" s="18"/>
      <c r="G65" s="18"/>
      <c r="H65" s="21" t="n">
        <f aca="false">IF(F65&gt;0,C65/F65*1000,0)</f>
        <v>0</v>
      </c>
      <c r="I65" s="18"/>
      <c r="J65" s="18"/>
    </row>
    <row r="66" customFormat="false" ht="15" hidden="false" customHeight="false" outlineLevel="0" collapsed="false">
      <c r="A66" s="8" t="n">
        <v>10</v>
      </c>
      <c r="B66" s="17"/>
      <c r="C66" s="17"/>
      <c r="D66" s="17"/>
      <c r="E66" s="17"/>
      <c r="F66" s="17"/>
      <c r="G66" s="17"/>
      <c r="H66" s="22" t="n">
        <f aca="false">IF(F66&gt;0,C66/F66*1000,0)</f>
        <v>0</v>
      </c>
      <c r="I66" s="17"/>
      <c r="J66" s="17"/>
    </row>
    <row r="67" customFormat="false" ht="15" hidden="false" customHeight="false" outlineLevel="0" collapsed="false">
      <c r="A67" s="4" t="n">
        <v>11</v>
      </c>
      <c r="B67" s="18"/>
      <c r="C67" s="18"/>
      <c r="D67" s="18"/>
      <c r="E67" s="18"/>
      <c r="F67" s="18"/>
      <c r="G67" s="18"/>
      <c r="H67" s="21" t="n">
        <f aca="false">IF(F67&gt;0,C67/F67*1000,0)</f>
        <v>0</v>
      </c>
      <c r="I67" s="18"/>
      <c r="J67" s="18"/>
    </row>
    <row r="68" customFormat="false" ht="15" hidden="false" customHeight="false" outlineLevel="0" collapsed="false">
      <c r="A68" s="8" t="n">
        <v>12</v>
      </c>
      <c r="B68" s="17"/>
      <c r="C68" s="17"/>
      <c r="D68" s="17"/>
      <c r="E68" s="17"/>
      <c r="F68" s="17"/>
      <c r="G68" s="17"/>
      <c r="H68" s="22" t="n">
        <f aca="false">IF(F68&gt;0,C68/F68*1000,0)</f>
        <v>0</v>
      </c>
      <c r="I68" s="17"/>
      <c r="J68" s="17"/>
    </row>
    <row r="69" customFormat="false" ht="15" hidden="false" customHeight="false" outlineLevel="0" collapsed="false">
      <c r="A69" s="4" t="n">
        <v>13</v>
      </c>
      <c r="B69" s="18"/>
      <c r="C69" s="18"/>
      <c r="D69" s="18"/>
      <c r="E69" s="18"/>
      <c r="F69" s="18"/>
      <c r="G69" s="18"/>
      <c r="H69" s="21" t="n">
        <f aca="false">IF(F69&gt;0,C69/F69*1000,0)</f>
        <v>0</v>
      </c>
      <c r="I69" s="18"/>
      <c r="J69" s="18"/>
    </row>
    <row r="70" customFormat="false" ht="15" hidden="false" customHeight="false" outlineLevel="0" collapsed="false">
      <c r="A70" s="8" t="n">
        <v>14</v>
      </c>
      <c r="B70" s="17"/>
      <c r="C70" s="17"/>
      <c r="D70" s="17"/>
      <c r="E70" s="17"/>
      <c r="F70" s="17"/>
      <c r="G70" s="17"/>
      <c r="H70" s="22" t="n">
        <f aca="false">IF(F70&gt;0,C70/F70*1000,0)</f>
        <v>0</v>
      </c>
      <c r="I70" s="17"/>
      <c r="J70" s="17"/>
    </row>
    <row r="71" customFormat="false" ht="15" hidden="false" customHeight="false" outlineLevel="0" collapsed="false">
      <c r="A71" s="4" t="n">
        <v>15</v>
      </c>
      <c r="B71" s="18"/>
      <c r="C71" s="18"/>
      <c r="D71" s="18"/>
      <c r="E71" s="18"/>
      <c r="F71" s="18"/>
      <c r="G71" s="18"/>
      <c r="H71" s="21" t="n">
        <f aca="false">IF(F71&gt;0,C71/F71*1000,0)</f>
        <v>0</v>
      </c>
      <c r="I71" s="18"/>
      <c r="J71" s="18"/>
    </row>
    <row r="72" customFormat="false" ht="15" hidden="false" customHeight="false" outlineLevel="0" collapsed="false">
      <c r="A72" s="8" t="n">
        <v>16</v>
      </c>
      <c r="B72" s="17"/>
      <c r="C72" s="17"/>
      <c r="D72" s="17"/>
      <c r="E72" s="17"/>
      <c r="F72" s="17"/>
      <c r="G72" s="17"/>
      <c r="H72" s="22" t="n">
        <f aca="false">IF(F72&gt;0,C72/F72*1000,0)</f>
        <v>0</v>
      </c>
      <c r="I72" s="17"/>
      <c r="J72" s="17"/>
    </row>
    <row r="73" customFormat="false" ht="15" hidden="false" customHeight="false" outlineLevel="0" collapsed="false">
      <c r="A73" s="4" t="n">
        <v>17</v>
      </c>
      <c r="B73" s="18"/>
      <c r="C73" s="18"/>
      <c r="D73" s="18"/>
      <c r="E73" s="18"/>
      <c r="F73" s="18"/>
      <c r="G73" s="18"/>
      <c r="H73" s="21" t="n">
        <f aca="false">IF(F73&gt;0,C73/F73*1000,0)</f>
        <v>0</v>
      </c>
      <c r="I73" s="18"/>
      <c r="J73" s="18"/>
    </row>
    <row r="74" customFormat="false" ht="15" hidden="false" customHeight="false" outlineLevel="0" collapsed="false">
      <c r="A74" s="8" t="n">
        <v>18</v>
      </c>
      <c r="B74" s="17"/>
      <c r="C74" s="17"/>
      <c r="D74" s="17"/>
      <c r="E74" s="17"/>
      <c r="F74" s="17"/>
      <c r="G74" s="17"/>
      <c r="H74" s="22" t="n">
        <f aca="false">IF(F74&gt;0,C74/F74*1000,0)</f>
        <v>0</v>
      </c>
      <c r="I74" s="17"/>
      <c r="J74" s="17"/>
    </row>
    <row r="75" customFormat="false" ht="15" hidden="false" customHeight="false" outlineLevel="0" collapsed="false">
      <c r="A75" s="4" t="n">
        <v>19</v>
      </c>
      <c r="B75" s="18"/>
      <c r="C75" s="18"/>
      <c r="D75" s="18"/>
      <c r="E75" s="18"/>
      <c r="F75" s="18"/>
      <c r="G75" s="18"/>
      <c r="H75" s="21" t="n">
        <f aca="false">IF(F75&gt;0,C75/F75*1000,0)</f>
        <v>0</v>
      </c>
      <c r="I75" s="18"/>
      <c r="J75" s="18"/>
    </row>
    <row r="76" customFormat="false" ht="15" hidden="false" customHeight="false" outlineLevel="0" collapsed="false">
      <c r="A76" s="8" t="n">
        <v>20</v>
      </c>
      <c r="B76" s="17"/>
      <c r="C76" s="17"/>
      <c r="D76" s="17"/>
      <c r="E76" s="17"/>
      <c r="F76" s="17"/>
      <c r="G76" s="17"/>
      <c r="H76" s="22" t="n">
        <f aca="false">IF(F76&gt;0,C76/F76*1000,0)</f>
        <v>0</v>
      </c>
      <c r="I76" s="17"/>
      <c r="J76" s="17"/>
    </row>
  </sheetData>
  <mergeCells count="3">
    <mergeCell ref="A1:J1"/>
    <mergeCell ref="A2:J2"/>
    <mergeCell ref="A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23" t="s">
        <v>9</v>
      </c>
      <c r="B1" s="23"/>
      <c r="C1" s="23"/>
      <c r="D1" s="23"/>
      <c r="E1" s="23"/>
      <c r="F1" s="23"/>
      <c r="G1" s="23"/>
    </row>
    <row r="2" customFormat="false" ht="25.5" hidden="false" customHeight="true" outlineLevel="0" collapsed="false">
      <c r="A2" s="24" t="s">
        <v>49</v>
      </c>
      <c r="B2" s="24"/>
      <c r="C2" s="24"/>
      <c r="D2" s="24"/>
      <c r="E2" s="24"/>
      <c r="F2" s="24"/>
      <c r="G2" s="24"/>
    </row>
    <row r="3" customFormat="false" ht="35.05" hidden="false" customHeight="false" outlineLevel="0" collapsed="false">
      <c r="A3" s="25" t="s">
        <v>30</v>
      </c>
      <c r="B3" s="25" t="s">
        <v>39</v>
      </c>
      <c r="C3" s="25" t="s">
        <v>50</v>
      </c>
      <c r="D3" s="25" t="s">
        <v>51</v>
      </c>
      <c r="E3" s="25" t="s">
        <v>52</v>
      </c>
      <c r="F3" s="25" t="s">
        <v>53</v>
      </c>
      <c r="G3" s="25" t="s">
        <v>38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</row>
    <row r="45" customFormat="false" ht="15" hidden="false" customHeight="false" outlineLevel="0" collapsed="false">
      <c r="A45" s="4" t="n">
        <v>42</v>
      </c>
      <c r="B45" s="18"/>
      <c r="C45" s="18"/>
      <c r="D45" s="18"/>
      <c r="E45" s="18"/>
      <c r="F45" s="18"/>
      <c r="G45" s="18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</row>
    <row r="47" customFormat="false" ht="15" hidden="false" customHeight="false" outlineLevel="0" collapsed="false">
      <c r="A47" s="4" t="n">
        <v>44</v>
      </c>
      <c r="B47" s="18"/>
      <c r="C47" s="18"/>
      <c r="D47" s="18"/>
      <c r="E47" s="18"/>
      <c r="F47" s="18"/>
      <c r="G47" s="18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</row>
    <row r="49" customFormat="false" ht="15" hidden="false" customHeight="false" outlineLevel="0" collapsed="false">
      <c r="A49" s="4" t="n">
        <v>46</v>
      </c>
      <c r="B49" s="18"/>
      <c r="C49" s="18"/>
      <c r="D49" s="18"/>
      <c r="E49" s="18"/>
      <c r="F49" s="18"/>
      <c r="G49" s="18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</row>
    <row r="51" customFormat="false" ht="15" hidden="false" customHeight="false" outlineLevel="0" collapsed="false">
      <c r="A51" s="4" t="n">
        <v>48</v>
      </c>
      <c r="B51" s="18"/>
      <c r="C51" s="18"/>
      <c r="D51" s="18"/>
      <c r="E51" s="18"/>
      <c r="F51" s="18"/>
      <c r="G51" s="18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</row>
    <row r="53" customFormat="false" ht="15" hidden="false" customHeight="false" outlineLevel="0" collapsed="false">
      <c r="A53" s="4" t="n">
        <v>50</v>
      </c>
      <c r="B53" s="18"/>
      <c r="C53" s="18"/>
      <c r="D53" s="18"/>
      <c r="E53" s="18"/>
      <c r="F53" s="18"/>
      <c r="G53" s="18"/>
    </row>
    <row r="55" customFormat="false" ht="25.5" hidden="false" customHeight="true" outlineLevel="0" collapsed="false">
      <c r="A55" s="12" t="s">
        <v>54</v>
      </c>
      <c r="B55" s="12"/>
      <c r="C55" s="12"/>
      <c r="D55" s="12"/>
      <c r="E55" s="12"/>
      <c r="F55" s="12"/>
      <c r="G55" s="12"/>
    </row>
    <row r="56" customFormat="false" ht="15" hidden="false" customHeight="false" outlineLevel="0" collapsed="false">
      <c r="A56" s="25" t="s">
        <v>2</v>
      </c>
      <c r="B56" s="25" t="s">
        <v>55</v>
      </c>
      <c r="C56" s="25" t="s">
        <v>56</v>
      </c>
      <c r="D56" s="25" t="s">
        <v>51</v>
      </c>
      <c r="E56" s="25" t="s">
        <v>57</v>
      </c>
      <c r="F56" s="25" t="s">
        <v>58</v>
      </c>
      <c r="G56" s="25" t="s">
        <v>59</v>
      </c>
    </row>
    <row r="57" customFormat="false" ht="27.75" hidden="false" customHeight="true" outlineLevel="0" collapsed="false">
      <c r="A57" s="4" t="n">
        <v>1</v>
      </c>
      <c r="B57" s="6" t="s">
        <v>60</v>
      </c>
      <c r="C57" s="18"/>
      <c r="D57" s="18"/>
      <c r="E57" s="18"/>
      <c r="F57" s="18"/>
      <c r="G57" s="18"/>
    </row>
    <row r="58" customFormat="false" ht="27.75" hidden="false" customHeight="true" outlineLevel="0" collapsed="false">
      <c r="A58" s="8" t="n">
        <v>2</v>
      </c>
      <c r="B58" s="10" t="s">
        <v>61</v>
      </c>
      <c r="C58" s="17"/>
      <c r="D58" s="17"/>
      <c r="E58" s="17"/>
      <c r="F58" s="17"/>
      <c r="G58" s="17"/>
    </row>
    <row r="59" customFormat="false" ht="27.75" hidden="false" customHeight="true" outlineLevel="0" collapsed="false">
      <c r="A59" s="4" t="n">
        <v>3</v>
      </c>
      <c r="B59" s="6" t="s">
        <v>62</v>
      </c>
      <c r="C59" s="18"/>
      <c r="D59" s="18"/>
      <c r="E59" s="18"/>
      <c r="F59" s="18"/>
      <c r="G59" s="18"/>
    </row>
    <row r="60" customFormat="false" ht="27.75" hidden="false" customHeight="true" outlineLevel="0" collapsed="false">
      <c r="A60" s="8" t="n">
        <v>4</v>
      </c>
      <c r="B60" s="10" t="s">
        <v>63</v>
      </c>
      <c r="C60" s="17"/>
      <c r="D60" s="17"/>
      <c r="E60" s="17"/>
      <c r="F60" s="17"/>
      <c r="G60" s="17"/>
    </row>
    <row r="61" customFormat="false" ht="27.75" hidden="false" customHeight="true" outlineLevel="0" collapsed="false">
      <c r="A61" s="4" t="n">
        <v>5</v>
      </c>
      <c r="B61" s="6" t="s">
        <v>64</v>
      </c>
      <c r="C61" s="18"/>
      <c r="D61" s="18"/>
      <c r="E61" s="18"/>
      <c r="F61" s="18"/>
      <c r="G61" s="18"/>
    </row>
    <row r="62" customFormat="false" ht="27.75" hidden="false" customHeight="true" outlineLevel="0" collapsed="false">
      <c r="A62" s="8" t="n">
        <v>6</v>
      </c>
      <c r="B62" s="10" t="s">
        <v>65</v>
      </c>
      <c r="C62" s="17"/>
      <c r="D62" s="17"/>
      <c r="E62" s="17"/>
      <c r="F62" s="17"/>
      <c r="G62" s="17"/>
    </row>
    <row r="63" customFormat="false" ht="27.75" hidden="false" customHeight="true" outlineLevel="0" collapsed="false">
      <c r="A63" s="4" t="n">
        <v>7</v>
      </c>
      <c r="B63" s="6" t="s">
        <v>66</v>
      </c>
      <c r="C63" s="18"/>
      <c r="D63" s="18"/>
      <c r="E63" s="18"/>
      <c r="F63" s="18"/>
      <c r="G63" s="18"/>
    </row>
    <row r="64" customFormat="false" ht="27.75" hidden="false" customHeight="true" outlineLevel="0" collapsed="false">
      <c r="A64" s="8" t="n">
        <v>8</v>
      </c>
      <c r="B64" s="10" t="s">
        <v>67</v>
      </c>
      <c r="C64" s="17"/>
      <c r="D64" s="17"/>
      <c r="E64" s="17"/>
      <c r="F64" s="17"/>
      <c r="G64" s="17"/>
    </row>
    <row r="65" customFormat="false" ht="27.75" hidden="false" customHeight="true" outlineLevel="0" collapsed="false">
      <c r="A65" s="4" t="n">
        <v>9</v>
      </c>
      <c r="B65" s="6" t="s">
        <v>68</v>
      </c>
      <c r="C65" s="18"/>
      <c r="D65" s="18"/>
      <c r="E65" s="18"/>
      <c r="F65" s="18"/>
      <c r="G65" s="18"/>
    </row>
    <row r="66" customFormat="false" ht="27.75" hidden="false" customHeight="true" outlineLevel="0" collapsed="false">
      <c r="A66" s="8" t="n">
        <v>10</v>
      </c>
      <c r="B66" s="10" t="s">
        <v>69</v>
      </c>
      <c r="C66" s="17"/>
      <c r="D66" s="17"/>
      <c r="E66" s="17"/>
      <c r="F66" s="17"/>
      <c r="G66" s="17"/>
    </row>
    <row r="67" customFormat="false" ht="27.75" hidden="false" customHeight="true" outlineLevel="0" collapsed="false">
      <c r="A67" s="4" t="n">
        <v>11</v>
      </c>
      <c r="B67" s="6" t="s">
        <v>70</v>
      </c>
      <c r="C67" s="18"/>
      <c r="D67" s="18"/>
      <c r="E67" s="18"/>
      <c r="F67" s="18"/>
      <c r="G67" s="18"/>
    </row>
    <row r="68" customFormat="false" ht="27.75" hidden="false" customHeight="true" outlineLevel="0" collapsed="false">
      <c r="A68" s="8" t="n">
        <v>12</v>
      </c>
      <c r="B68" s="10" t="s">
        <v>71</v>
      </c>
      <c r="C68" s="17"/>
      <c r="D68" s="17"/>
      <c r="E68" s="17"/>
      <c r="F68" s="17"/>
      <c r="G68" s="17"/>
    </row>
    <row r="69" customFormat="false" ht="27.75" hidden="false" customHeight="true" outlineLevel="0" collapsed="false">
      <c r="A69" s="4" t="n">
        <v>13</v>
      </c>
      <c r="B69" s="6" t="s">
        <v>72</v>
      </c>
      <c r="C69" s="18"/>
      <c r="D69" s="18"/>
      <c r="E69" s="18"/>
      <c r="F69" s="18"/>
      <c r="G69" s="18"/>
    </row>
    <row r="70" customFormat="false" ht="27.75" hidden="false" customHeight="true" outlineLevel="0" collapsed="false">
      <c r="A70" s="8" t="n">
        <v>14</v>
      </c>
      <c r="B70" s="10" t="s">
        <v>73</v>
      </c>
      <c r="C70" s="17"/>
      <c r="D70" s="17"/>
      <c r="E70" s="17"/>
      <c r="F70" s="17"/>
      <c r="G70" s="17"/>
    </row>
    <row r="71" customFormat="false" ht="27.75" hidden="false" customHeight="true" outlineLevel="0" collapsed="false">
      <c r="A71" s="4" t="n">
        <v>15</v>
      </c>
      <c r="B71" s="6" t="s">
        <v>74</v>
      </c>
      <c r="C71" s="18"/>
      <c r="D71" s="18"/>
      <c r="E71" s="18"/>
      <c r="F71" s="18"/>
      <c r="G71" s="18"/>
    </row>
    <row r="73" customFormat="false" ht="15" hidden="false" customHeight="true" outlineLevel="0" collapsed="false">
      <c r="A73" s="26" t="s">
        <v>75</v>
      </c>
      <c r="B73" s="26"/>
      <c r="C73" s="26"/>
      <c r="D73" s="27" t="n">
        <f aca="false">COUNTIF(C58:C71,"Y")</f>
        <v>0</v>
      </c>
      <c r="E73" s="28"/>
      <c r="F73" s="28"/>
      <c r="G73" s="28"/>
    </row>
    <row r="74" customFormat="false" ht="15" hidden="false" customHeight="true" outlineLevel="0" collapsed="false">
      <c r="A74" s="26" t="s">
        <v>76</v>
      </c>
      <c r="B74" s="26"/>
      <c r="C74" s="26"/>
      <c r="D74" s="29" t="n">
        <f aca="false">IFERROR(COUNTIF(C58:C71,"Y")/15*100,0)</f>
        <v>0</v>
      </c>
      <c r="E74" s="28"/>
      <c r="F74" s="28"/>
      <c r="G74" s="28"/>
    </row>
    <row r="75" customFormat="false" ht="15" hidden="false" customHeight="true" outlineLevel="0" collapsed="false">
      <c r="A75" s="26" t="s">
        <v>77</v>
      </c>
      <c r="B75" s="26"/>
      <c r="C75" s="26"/>
      <c r="D75" s="29" t="n">
        <f aca="false">IFERROR(AVERAGE(E58:E71),0)</f>
        <v>0</v>
      </c>
      <c r="E75" s="28"/>
      <c r="F75" s="28"/>
      <c r="G75" s="28"/>
    </row>
  </sheetData>
  <mergeCells count="6">
    <mergeCell ref="A1:G1"/>
    <mergeCell ref="A2:G2"/>
    <mergeCell ref="A55:G55"/>
    <mergeCell ref="A73:C73"/>
    <mergeCell ref="A74:C74"/>
    <mergeCell ref="A75:C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22"/>
    <col collapsed="false" customWidth="true" hidden="false" outlineLevel="0" max="10" min="8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0" t="s">
        <v>78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25.5" hidden="false" customHeight="true" outlineLevel="0" collapsed="false">
      <c r="A2" s="31" t="s">
        <v>79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35.05" hidden="false" customHeight="false" outlineLevel="0" collapsed="false">
      <c r="A3" s="32" t="s">
        <v>30</v>
      </c>
      <c r="B3" s="32" t="s">
        <v>39</v>
      </c>
      <c r="C3" s="32" t="s">
        <v>80</v>
      </c>
      <c r="D3" s="32" t="s">
        <v>81</v>
      </c>
      <c r="E3" s="32" t="s">
        <v>82</v>
      </c>
      <c r="F3" s="32" t="s">
        <v>83</v>
      </c>
      <c r="G3" s="32" t="s">
        <v>84</v>
      </c>
      <c r="H3" s="32" t="s">
        <v>85</v>
      </c>
      <c r="I3" s="32" t="s">
        <v>86</v>
      </c>
      <c r="J3" s="32" t="s">
        <v>87</v>
      </c>
      <c r="K3" s="32" t="s">
        <v>88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SUM(E4:H4)</f>
        <v>0</v>
      </c>
      <c r="J4" s="33" t="n">
        <f aca="false">IF(D4&gt;0,I4/D4*100,0)</f>
        <v>0</v>
      </c>
      <c r="K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4" t="n">
        <f aca="false">SUM(E5:H5)</f>
        <v>0</v>
      </c>
      <c r="J5" s="34" t="n">
        <f aca="false">IF(D5&gt;0,I5/D5*100,0)</f>
        <v>0</v>
      </c>
      <c r="K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SUM(E6:H6)</f>
        <v>0</v>
      </c>
      <c r="J6" s="33" t="n">
        <f aca="false">IF(D6&gt;0,I6/D6*100,0)</f>
        <v>0</v>
      </c>
      <c r="K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4" t="n">
        <f aca="false">SUM(E7:H7)</f>
        <v>0</v>
      </c>
      <c r="J7" s="34" t="n">
        <f aca="false">IF(D7&gt;0,I7/D7*100,0)</f>
        <v>0</v>
      </c>
      <c r="K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SUM(E8:H8)</f>
        <v>0</v>
      </c>
      <c r="J8" s="33" t="n">
        <f aca="false">IF(D8&gt;0,I8/D8*100,0)</f>
        <v>0</v>
      </c>
      <c r="K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4" t="n">
        <f aca="false">SUM(E9:H9)</f>
        <v>0</v>
      </c>
      <c r="J9" s="34" t="n">
        <f aca="false">IF(D9&gt;0,I9/D9*100,0)</f>
        <v>0</v>
      </c>
      <c r="K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SUM(E10:H10)</f>
        <v>0</v>
      </c>
      <c r="J10" s="33" t="n">
        <f aca="false">IF(D10&gt;0,I10/D10*100,0)</f>
        <v>0</v>
      </c>
      <c r="K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4" t="n">
        <f aca="false">SUM(E11:H11)</f>
        <v>0</v>
      </c>
      <c r="J11" s="34" t="n">
        <f aca="false">IF(D11&gt;0,I11/D11*100,0)</f>
        <v>0</v>
      </c>
      <c r="K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SUM(E12:H12)</f>
        <v>0</v>
      </c>
      <c r="J12" s="33" t="n">
        <f aca="false">IF(D12&gt;0,I12/D12*100,0)</f>
        <v>0</v>
      </c>
      <c r="K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4" t="n">
        <f aca="false">SUM(E13:H13)</f>
        <v>0</v>
      </c>
      <c r="J13" s="34" t="n">
        <f aca="false">IF(D13&gt;0,I13/D13*100,0)</f>
        <v>0</v>
      </c>
      <c r="K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SUM(E14:H14)</f>
        <v>0</v>
      </c>
      <c r="J14" s="33" t="n">
        <f aca="false">IF(D14&gt;0,I14/D14*100,0)</f>
        <v>0</v>
      </c>
      <c r="K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4" t="n">
        <f aca="false">SUM(E15:H15)</f>
        <v>0</v>
      </c>
      <c r="J15" s="34" t="n">
        <f aca="false">IF(D15&gt;0,I15/D15*100,0)</f>
        <v>0</v>
      </c>
      <c r="K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SUM(E16:H16)</f>
        <v>0</v>
      </c>
      <c r="J16" s="33" t="n">
        <f aca="false">IF(D16&gt;0,I16/D16*100,0)</f>
        <v>0</v>
      </c>
      <c r="K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4" t="n">
        <f aca="false">SUM(E17:H17)</f>
        <v>0</v>
      </c>
      <c r="J17" s="34" t="n">
        <f aca="false">IF(D17&gt;0,I17/D17*100,0)</f>
        <v>0</v>
      </c>
      <c r="K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SUM(E18:H18)</f>
        <v>0</v>
      </c>
      <c r="J18" s="33" t="n">
        <f aca="false">IF(D18&gt;0,I18/D18*100,0)</f>
        <v>0</v>
      </c>
      <c r="K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4" t="n">
        <f aca="false">SUM(E19:H19)</f>
        <v>0</v>
      </c>
      <c r="J19" s="34" t="n">
        <f aca="false">IF(D19&gt;0,I19/D19*100,0)</f>
        <v>0</v>
      </c>
      <c r="K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SUM(E20:H20)</f>
        <v>0</v>
      </c>
      <c r="J20" s="33" t="n">
        <f aca="false">IF(D20&gt;0,I20/D20*100,0)</f>
        <v>0</v>
      </c>
      <c r="K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4" t="n">
        <f aca="false">SUM(E21:H21)</f>
        <v>0</v>
      </c>
      <c r="J21" s="34" t="n">
        <f aca="false">IF(D21&gt;0,I21/D21*100,0)</f>
        <v>0</v>
      </c>
      <c r="K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SUM(E22:H22)</f>
        <v>0</v>
      </c>
      <c r="J22" s="33" t="n">
        <f aca="false">IF(D22&gt;0,I22/D22*100,0)</f>
        <v>0</v>
      </c>
      <c r="K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4" t="n">
        <f aca="false">SUM(E23:H23)</f>
        <v>0</v>
      </c>
      <c r="J23" s="34" t="n">
        <f aca="false">IF(D23&gt;0,I23/D23*100,0)</f>
        <v>0</v>
      </c>
      <c r="K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SUM(E24:H24)</f>
        <v>0</v>
      </c>
      <c r="J24" s="33" t="n">
        <f aca="false">IF(D24&gt;0,I24/D24*100,0)</f>
        <v>0</v>
      </c>
      <c r="K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4" t="n">
        <f aca="false">SUM(E25:H25)</f>
        <v>0</v>
      </c>
      <c r="J25" s="34" t="n">
        <f aca="false">IF(D25&gt;0,I25/D25*100,0)</f>
        <v>0</v>
      </c>
      <c r="K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SUM(E26:H26)</f>
        <v>0</v>
      </c>
      <c r="J26" s="33" t="n">
        <f aca="false">IF(D26&gt;0,I26/D26*100,0)</f>
        <v>0</v>
      </c>
      <c r="K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4" t="n">
        <f aca="false">SUM(E27:H27)</f>
        <v>0</v>
      </c>
      <c r="J27" s="34" t="n">
        <f aca="false">IF(D27&gt;0,I27/D27*100,0)</f>
        <v>0</v>
      </c>
      <c r="K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SUM(E28:H28)</f>
        <v>0</v>
      </c>
      <c r="J28" s="33" t="n">
        <f aca="false">IF(D28&gt;0,I28/D28*100,0)</f>
        <v>0</v>
      </c>
      <c r="K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4" t="n">
        <f aca="false">SUM(E29:H29)</f>
        <v>0</v>
      </c>
      <c r="J29" s="34" t="n">
        <f aca="false">IF(D29&gt;0,I29/D29*100,0)</f>
        <v>0</v>
      </c>
      <c r="K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SUM(E30:H30)</f>
        <v>0</v>
      </c>
      <c r="J30" s="33" t="n">
        <f aca="false">IF(D30&gt;0,I30/D30*100,0)</f>
        <v>0</v>
      </c>
      <c r="K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4" t="n">
        <f aca="false">SUM(E31:H31)</f>
        <v>0</v>
      </c>
      <c r="J31" s="34" t="n">
        <f aca="false">IF(D31&gt;0,I31/D31*100,0)</f>
        <v>0</v>
      </c>
      <c r="K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SUM(E32:H32)</f>
        <v>0</v>
      </c>
      <c r="J32" s="33" t="n">
        <f aca="false">IF(D32&gt;0,I32/D32*100,0)</f>
        <v>0</v>
      </c>
      <c r="K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4" t="n">
        <f aca="false">SUM(E33:H33)</f>
        <v>0</v>
      </c>
      <c r="J33" s="34" t="n">
        <f aca="false">IF(D33&gt;0,I33/D33*100,0)</f>
        <v>0</v>
      </c>
      <c r="K33" s="18"/>
    </row>
    <row r="35" customFormat="false" ht="25.5" hidden="false" customHeight="true" outlineLevel="0" collapsed="false">
      <c r="A35" s="35" t="s">
        <v>89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</row>
    <row r="36" customFormat="false" ht="23.85" hidden="false" customHeight="false" outlineLevel="0" collapsed="false">
      <c r="A36" s="36" t="s">
        <v>30</v>
      </c>
      <c r="B36" s="36" t="s">
        <v>90</v>
      </c>
      <c r="C36" s="36" t="s">
        <v>91</v>
      </c>
      <c r="D36" s="36" t="s">
        <v>92</v>
      </c>
      <c r="E36" s="36" t="s">
        <v>93</v>
      </c>
      <c r="F36" s="36" t="s">
        <v>94</v>
      </c>
      <c r="G36" s="36" t="s">
        <v>95</v>
      </c>
      <c r="H36" s="36" t="s">
        <v>96</v>
      </c>
      <c r="I36" s="36" t="s">
        <v>97</v>
      </c>
      <c r="J36" s="36" t="s">
        <v>98</v>
      </c>
      <c r="K36" s="36" t="s">
        <v>39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7" t="s">
        <v>99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25.5" hidden="false" customHeight="true" outlineLevel="0" collapsed="false">
      <c r="A2" s="38" t="s">
        <v>100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customFormat="false" ht="35.05" hidden="false" customHeight="false" outlineLevel="0" collapsed="false">
      <c r="A3" s="39" t="s">
        <v>30</v>
      </c>
      <c r="B3" s="39" t="s">
        <v>39</v>
      </c>
      <c r="C3" s="39" t="s">
        <v>80</v>
      </c>
      <c r="D3" s="39" t="s">
        <v>101</v>
      </c>
      <c r="E3" s="39" t="s">
        <v>102</v>
      </c>
      <c r="F3" s="39" t="s">
        <v>103</v>
      </c>
      <c r="G3" s="39" t="s">
        <v>104</v>
      </c>
      <c r="H3" s="39" t="s">
        <v>105</v>
      </c>
      <c r="I3" s="39" t="s">
        <v>106</v>
      </c>
      <c r="J3" s="39" t="s">
        <v>107</v>
      </c>
      <c r="K3" s="39" t="s">
        <v>48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33" t="n">
        <f aca="false">IF(D4&gt;0,I4/D4*100,0)</f>
        <v>0</v>
      </c>
      <c r="K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34" t="n">
        <f aca="false">IF(D5&gt;0,I5/D5*100,0)</f>
        <v>0</v>
      </c>
      <c r="K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33" t="n">
        <f aca="false">IF(D6&gt;0,I6/D6*100,0)</f>
        <v>0</v>
      </c>
      <c r="K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34" t="n">
        <f aca="false">IF(D7&gt;0,I7/D7*100,0)</f>
        <v>0</v>
      </c>
      <c r="K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33" t="n">
        <f aca="false">IF(D8&gt;0,I8/D8*100,0)</f>
        <v>0</v>
      </c>
      <c r="K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34" t="n">
        <f aca="false">IF(D9&gt;0,I9/D9*100,0)</f>
        <v>0</v>
      </c>
      <c r="K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33" t="n">
        <f aca="false">IF(D10&gt;0,I10/D10*100,0)</f>
        <v>0</v>
      </c>
      <c r="K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34" t="n">
        <f aca="false">IF(D11&gt;0,I11/D11*100,0)</f>
        <v>0</v>
      </c>
      <c r="K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33" t="n">
        <f aca="false">IF(D12&gt;0,I12/D12*100,0)</f>
        <v>0</v>
      </c>
      <c r="K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34" t="n">
        <f aca="false">IF(D13&gt;0,I13/D13*100,0)</f>
        <v>0</v>
      </c>
      <c r="K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33" t="n">
        <f aca="false">IF(D14&gt;0,I14/D14*100,0)</f>
        <v>0</v>
      </c>
      <c r="K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34" t="n">
        <f aca="false">IF(D15&gt;0,I15/D15*100,0)</f>
        <v>0</v>
      </c>
      <c r="K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33" t="n">
        <f aca="false">IF(D16&gt;0,I16/D16*100,0)</f>
        <v>0</v>
      </c>
      <c r="K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34" t="n">
        <f aca="false">IF(D17&gt;0,I17/D17*100,0)</f>
        <v>0</v>
      </c>
      <c r="K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33" t="n">
        <f aca="false">IF(D18&gt;0,I18/D18*100,0)</f>
        <v>0</v>
      </c>
      <c r="K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34" t="n">
        <f aca="false">IF(D19&gt;0,I19/D19*100,0)</f>
        <v>0</v>
      </c>
      <c r="K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33" t="n">
        <f aca="false">IF(D20&gt;0,I20/D20*100,0)</f>
        <v>0</v>
      </c>
      <c r="K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34" t="n">
        <f aca="false">IF(D21&gt;0,I21/D21*100,0)</f>
        <v>0</v>
      </c>
      <c r="K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33" t="n">
        <f aca="false">IF(D22&gt;0,I22/D22*100,0)</f>
        <v>0</v>
      </c>
      <c r="K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34" t="n">
        <f aca="false">IF(D23&gt;0,I23/D23*100,0)</f>
        <v>0</v>
      </c>
      <c r="K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33" t="n">
        <f aca="false">IF(D24&gt;0,I24/D24*100,0)</f>
        <v>0</v>
      </c>
      <c r="K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34" t="n">
        <f aca="false">IF(D25&gt;0,I25/D25*100,0)</f>
        <v>0</v>
      </c>
      <c r="K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33" t="n">
        <f aca="false">IF(D26&gt;0,I26/D26*100,0)</f>
        <v>0</v>
      </c>
      <c r="K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34" t="n">
        <f aca="false">IF(D27&gt;0,I27/D27*100,0)</f>
        <v>0</v>
      </c>
      <c r="K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33" t="n">
        <f aca="false">IF(D28&gt;0,I28/D28*100,0)</f>
        <v>0</v>
      </c>
      <c r="K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34" t="n">
        <f aca="false">IF(D29&gt;0,I29/D29*100,0)</f>
        <v>0</v>
      </c>
      <c r="K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33" t="n">
        <f aca="false">IF(D30&gt;0,I30/D30*100,0)</f>
        <v>0</v>
      </c>
      <c r="K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34" t="n">
        <f aca="false">IF(D31&gt;0,I31/D31*100,0)</f>
        <v>0</v>
      </c>
      <c r="K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33" t="n">
        <f aca="false">IF(D32&gt;0,I32/D32*100,0)</f>
        <v>0</v>
      </c>
      <c r="K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34" t="n">
        <f aca="false">IF(D33&gt;0,I33/D33*100,0)</f>
        <v>0</v>
      </c>
      <c r="K33" s="18"/>
    </row>
    <row r="35" customFormat="false" ht="25.5" hidden="false" customHeight="true" outlineLevel="0" collapsed="false">
      <c r="A35" s="40" t="s">
        <v>108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</row>
    <row r="36" customFormat="false" ht="35.05" hidden="false" customHeight="false" outlineLevel="0" collapsed="false">
      <c r="A36" s="41" t="s">
        <v>30</v>
      </c>
      <c r="B36" s="41" t="s">
        <v>109</v>
      </c>
      <c r="C36" s="41" t="s">
        <v>110</v>
      </c>
      <c r="D36" s="41" t="s">
        <v>111</v>
      </c>
      <c r="E36" s="41" t="s">
        <v>112</v>
      </c>
      <c r="F36" s="41" t="s">
        <v>113</v>
      </c>
      <c r="G36" s="41" t="s">
        <v>114</v>
      </c>
      <c r="H36" s="41" t="s">
        <v>115</v>
      </c>
      <c r="I36" s="41" t="s">
        <v>116</v>
      </c>
      <c r="J36" s="41" t="s">
        <v>117</v>
      </c>
      <c r="K36" s="41" t="s">
        <v>59</v>
      </c>
    </row>
    <row r="37" customFormat="false" ht="15" hidden="false" customHeight="false" outlineLevel="0" collapsed="false">
      <c r="A37" s="4" t="n">
        <v>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4" t="n">
        <v>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4" t="n">
        <v>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4" t="n">
        <v>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4" t="n">
        <v>9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4" t="n">
        <v>11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4" t="n">
        <v>13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4" t="n">
        <v>15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4" t="n">
        <v>17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4" t="n">
        <v>19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4" t="n">
        <v>21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4" t="n">
        <v>23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4" t="n">
        <v>25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4" t="n">
        <v>27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4" t="n">
        <v>29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4" t="n">
        <v>31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4" t="n">
        <v>33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4" t="n">
        <v>35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4" t="n">
        <v>37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4" t="n">
        <v>39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42" t="s">
        <v>118</v>
      </c>
      <c r="B1" s="42"/>
      <c r="C1" s="42"/>
      <c r="D1" s="42"/>
      <c r="E1" s="42"/>
      <c r="F1" s="42"/>
      <c r="G1" s="42"/>
      <c r="H1" s="42"/>
    </row>
    <row r="2" customFormat="false" ht="25.5" hidden="false" customHeight="true" outlineLevel="0" collapsed="false">
      <c r="A2" s="43" t="s">
        <v>119</v>
      </c>
      <c r="B2" s="43"/>
      <c r="C2" s="43"/>
      <c r="D2" s="43"/>
      <c r="E2" s="43"/>
      <c r="F2" s="43"/>
      <c r="G2" s="43"/>
      <c r="H2" s="43"/>
    </row>
    <row r="3" customFormat="false" ht="35.05" hidden="false" customHeight="false" outlineLevel="0" collapsed="false">
      <c r="A3" s="44" t="s">
        <v>30</v>
      </c>
      <c r="B3" s="44" t="s">
        <v>39</v>
      </c>
      <c r="C3" s="44" t="s">
        <v>120</v>
      </c>
      <c r="D3" s="44" t="s">
        <v>121</v>
      </c>
      <c r="E3" s="44" t="s">
        <v>122</v>
      </c>
      <c r="F3" s="44" t="s">
        <v>123</v>
      </c>
      <c r="G3" s="44" t="s">
        <v>124</v>
      </c>
      <c r="H3" s="44" t="s">
        <v>38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  <c r="H44" s="17"/>
    </row>
    <row r="45" customFormat="false" ht="15" hidden="false" customHeight="false" outlineLevel="0" collapsed="false">
      <c r="A45" s="4" t="n">
        <v>42</v>
      </c>
      <c r="B45" s="18"/>
      <c r="C45" s="18"/>
      <c r="D45" s="18"/>
      <c r="E45" s="18"/>
      <c r="F45" s="18"/>
      <c r="G45" s="18"/>
      <c r="H45" s="18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  <c r="H46" s="17"/>
    </row>
    <row r="47" customFormat="false" ht="15" hidden="false" customHeight="false" outlineLevel="0" collapsed="false">
      <c r="A47" s="4" t="n">
        <v>44</v>
      </c>
      <c r="B47" s="18"/>
      <c r="C47" s="18"/>
      <c r="D47" s="18"/>
      <c r="E47" s="18"/>
      <c r="F47" s="18"/>
      <c r="G47" s="18"/>
      <c r="H47" s="18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  <c r="H48" s="17"/>
    </row>
    <row r="49" customFormat="false" ht="15" hidden="false" customHeight="false" outlineLevel="0" collapsed="false">
      <c r="A49" s="4" t="n">
        <v>46</v>
      </c>
      <c r="B49" s="18"/>
      <c r="C49" s="18"/>
      <c r="D49" s="18"/>
      <c r="E49" s="18"/>
      <c r="F49" s="18"/>
      <c r="G49" s="18"/>
      <c r="H49" s="18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  <c r="H50" s="17"/>
    </row>
    <row r="51" customFormat="false" ht="15" hidden="false" customHeight="false" outlineLevel="0" collapsed="false">
      <c r="A51" s="4" t="n">
        <v>48</v>
      </c>
      <c r="B51" s="18"/>
      <c r="C51" s="18"/>
      <c r="D51" s="18"/>
      <c r="E51" s="18"/>
      <c r="F51" s="18"/>
      <c r="G51" s="18"/>
      <c r="H51" s="18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  <c r="H52" s="17"/>
    </row>
    <row r="53" customFormat="false" ht="15" hidden="false" customHeight="false" outlineLevel="0" collapsed="false">
      <c r="A53" s="4" t="n">
        <v>50</v>
      </c>
      <c r="B53" s="18"/>
      <c r="C53" s="18"/>
      <c r="D53" s="18"/>
      <c r="E53" s="18"/>
      <c r="F53" s="18"/>
      <c r="G53" s="18"/>
      <c r="H53" s="18"/>
    </row>
    <row r="55" customFormat="false" ht="25.5" hidden="false" customHeight="true" outlineLevel="0" collapsed="false">
      <c r="A55" s="19" t="s">
        <v>125</v>
      </c>
      <c r="B55" s="19"/>
      <c r="C55" s="19"/>
      <c r="D55" s="19"/>
      <c r="E55" s="19"/>
      <c r="F55" s="19"/>
      <c r="G55" s="19"/>
      <c r="H55" s="19"/>
    </row>
    <row r="56" customFormat="false" ht="35.05" hidden="false" customHeight="false" outlineLevel="0" collapsed="false">
      <c r="A56" s="20" t="s">
        <v>30</v>
      </c>
      <c r="B56" s="20" t="s">
        <v>39</v>
      </c>
      <c r="C56" s="20" t="s">
        <v>126</v>
      </c>
      <c r="D56" s="20" t="s">
        <v>127</v>
      </c>
      <c r="E56" s="20" t="s">
        <v>128</v>
      </c>
      <c r="F56" s="20" t="s">
        <v>129</v>
      </c>
      <c r="G56" s="20" t="s">
        <v>130</v>
      </c>
      <c r="H56" s="20" t="s">
        <v>131</v>
      </c>
    </row>
    <row r="57" customFormat="false" ht="15" hidden="false" customHeight="false" outlineLevel="0" collapsed="false">
      <c r="A57" s="4" t="n">
        <v>1</v>
      </c>
      <c r="B57" s="18"/>
      <c r="C57" s="18"/>
      <c r="D57" s="18"/>
      <c r="E57" s="18"/>
      <c r="F57" s="18"/>
      <c r="G57" s="18"/>
      <c r="H57" s="18"/>
    </row>
    <row r="58" customFormat="false" ht="15" hidden="false" customHeight="false" outlineLevel="0" collapsed="false">
      <c r="A58" s="8" t="n">
        <v>2</v>
      </c>
      <c r="B58" s="17"/>
      <c r="C58" s="17"/>
      <c r="D58" s="17"/>
      <c r="E58" s="17"/>
      <c r="F58" s="17"/>
      <c r="G58" s="17"/>
      <c r="H58" s="17"/>
    </row>
    <row r="59" customFormat="false" ht="15" hidden="false" customHeight="false" outlineLevel="0" collapsed="false">
      <c r="A59" s="4" t="n">
        <v>3</v>
      </c>
      <c r="B59" s="18"/>
      <c r="C59" s="18"/>
      <c r="D59" s="18"/>
      <c r="E59" s="18"/>
      <c r="F59" s="18"/>
      <c r="G59" s="18"/>
      <c r="H59" s="18"/>
    </row>
    <row r="60" customFormat="false" ht="15" hidden="false" customHeight="false" outlineLevel="0" collapsed="false">
      <c r="A60" s="8" t="n">
        <v>4</v>
      </c>
      <c r="B60" s="17"/>
      <c r="C60" s="17"/>
      <c r="D60" s="17"/>
      <c r="E60" s="17"/>
      <c r="F60" s="17"/>
      <c r="G60" s="17"/>
      <c r="H60" s="17"/>
    </row>
    <row r="61" customFormat="false" ht="15" hidden="false" customHeight="false" outlineLevel="0" collapsed="false">
      <c r="A61" s="4" t="n">
        <v>5</v>
      </c>
      <c r="B61" s="18"/>
      <c r="C61" s="18"/>
      <c r="D61" s="18"/>
      <c r="E61" s="18"/>
      <c r="F61" s="18"/>
      <c r="G61" s="18"/>
      <c r="H61" s="18"/>
    </row>
    <row r="62" customFormat="false" ht="15" hidden="false" customHeight="false" outlineLevel="0" collapsed="false">
      <c r="A62" s="8" t="n">
        <v>6</v>
      </c>
      <c r="B62" s="17"/>
      <c r="C62" s="17"/>
      <c r="D62" s="17"/>
      <c r="E62" s="17"/>
      <c r="F62" s="17"/>
      <c r="G62" s="17"/>
      <c r="H62" s="17"/>
    </row>
    <row r="63" customFormat="false" ht="15" hidden="false" customHeight="false" outlineLevel="0" collapsed="false">
      <c r="A63" s="4" t="n">
        <v>7</v>
      </c>
      <c r="B63" s="18"/>
      <c r="C63" s="18"/>
      <c r="D63" s="18"/>
      <c r="E63" s="18"/>
      <c r="F63" s="18"/>
      <c r="G63" s="18"/>
      <c r="H63" s="18"/>
    </row>
    <row r="64" customFormat="false" ht="15" hidden="false" customHeight="false" outlineLevel="0" collapsed="false">
      <c r="A64" s="8" t="n">
        <v>8</v>
      </c>
      <c r="B64" s="17"/>
      <c r="C64" s="17"/>
      <c r="D64" s="17"/>
      <c r="E64" s="17"/>
      <c r="F64" s="17"/>
      <c r="G64" s="17"/>
      <c r="H64" s="17"/>
    </row>
    <row r="65" customFormat="false" ht="15" hidden="false" customHeight="false" outlineLevel="0" collapsed="false">
      <c r="A65" s="4" t="n">
        <v>9</v>
      </c>
      <c r="B65" s="18"/>
      <c r="C65" s="18"/>
      <c r="D65" s="18"/>
      <c r="E65" s="18"/>
      <c r="F65" s="18"/>
      <c r="G65" s="18"/>
      <c r="H65" s="18"/>
    </row>
    <row r="66" customFormat="false" ht="15" hidden="false" customHeight="false" outlineLevel="0" collapsed="false">
      <c r="A66" s="8" t="n">
        <v>10</v>
      </c>
      <c r="B66" s="17"/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A67" s="4" t="n">
        <v>11</v>
      </c>
      <c r="B67" s="18"/>
      <c r="C67" s="18"/>
      <c r="D67" s="18"/>
      <c r="E67" s="18"/>
      <c r="F67" s="18"/>
      <c r="G67" s="18"/>
      <c r="H67" s="18"/>
    </row>
    <row r="68" customFormat="false" ht="15" hidden="false" customHeight="false" outlineLevel="0" collapsed="false">
      <c r="A68" s="8" t="n">
        <v>12</v>
      </c>
      <c r="B68" s="17"/>
      <c r="C68" s="17"/>
      <c r="D68" s="17"/>
      <c r="E68" s="17"/>
      <c r="F68" s="17"/>
      <c r="G68" s="17"/>
      <c r="H68" s="17"/>
    </row>
    <row r="69" customFormat="false" ht="15" hidden="false" customHeight="false" outlineLevel="0" collapsed="false">
      <c r="A69" s="4" t="n">
        <v>13</v>
      </c>
      <c r="B69" s="18"/>
      <c r="C69" s="18"/>
      <c r="D69" s="18"/>
      <c r="E69" s="18"/>
      <c r="F69" s="18"/>
      <c r="G69" s="18"/>
      <c r="H69" s="18"/>
    </row>
    <row r="70" customFormat="false" ht="15" hidden="false" customHeight="false" outlineLevel="0" collapsed="false">
      <c r="A70" s="8" t="n">
        <v>14</v>
      </c>
      <c r="B70" s="17"/>
      <c r="C70" s="17"/>
      <c r="D70" s="17"/>
      <c r="E70" s="17"/>
      <c r="F70" s="17"/>
      <c r="G70" s="17"/>
      <c r="H70" s="17"/>
    </row>
    <row r="71" customFormat="false" ht="15" hidden="false" customHeight="false" outlineLevel="0" collapsed="false">
      <c r="A71" s="4" t="n">
        <v>15</v>
      </c>
      <c r="B71" s="18"/>
      <c r="C71" s="18"/>
      <c r="D71" s="18"/>
      <c r="E71" s="18"/>
      <c r="F71" s="18"/>
      <c r="G71" s="18"/>
      <c r="H71" s="18"/>
    </row>
    <row r="72" customFormat="false" ht="15" hidden="false" customHeight="false" outlineLevel="0" collapsed="false">
      <c r="A72" s="8" t="n">
        <v>16</v>
      </c>
      <c r="B72" s="17"/>
      <c r="C72" s="17"/>
      <c r="D72" s="17"/>
      <c r="E72" s="17"/>
      <c r="F72" s="17"/>
      <c r="G72" s="17"/>
      <c r="H72" s="17"/>
    </row>
    <row r="73" customFormat="false" ht="15" hidden="false" customHeight="false" outlineLevel="0" collapsed="false">
      <c r="A73" s="4" t="n">
        <v>17</v>
      </c>
      <c r="B73" s="18"/>
      <c r="C73" s="18"/>
      <c r="D73" s="18"/>
      <c r="E73" s="18"/>
      <c r="F73" s="18"/>
      <c r="G73" s="18"/>
      <c r="H73" s="18"/>
    </row>
    <row r="74" customFormat="false" ht="15" hidden="false" customHeight="false" outlineLevel="0" collapsed="false">
      <c r="A74" s="8" t="n">
        <v>18</v>
      </c>
      <c r="B74" s="17"/>
      <c r="C74" s="17"/>
      <c r="D74" s="17"/>
      <c r="E74" s="17"/>
      <c r="F74" s="17"/>
      <c r="G74" s="17"/>
      <c r="H74" s="17"/>
    </row>
    <row r="75" customFormat="false" ht="15" hidden="false" customHeight="false" outlineLevel="0" collapsed="false">
      <c r="A75" s="4" t="n">
        <v>19</v>
      </c>
      <c r="B75" s="18"/>
      <c r="C75" s="18"/>
      <c r="D75" s="18"/>
      <c r="E75" s="18"/>
      <c r="F75" s="18"/>
      <c r="G75" s="18"/>
      <c r="H75" s="18"/>
    </row>
    <row r="76" customFormat="false" ht="15" hidden="false" customHeight="false" outlineLevel="0" collapsed="false">
      <c r="A76" s="8" t="n">
        <v>20</v>
      </c>
      <c r="B76" s="17"/>
      <c r="C76" s="17"/>
      <c r="D76" s="17"/>
      <c r="E76" s="17"/>
      <c r="F76" s="17"/>
      <c r="G76" s="17"/>
      <c r="H76" s="17"/>
    </row>
    <row r="78" customFormat="false" ht="25.5" hidden="false" customHeight="true" outlineLevel="0" collapsed="false">
      <c r="A78" s="24" t="s">
        <v>132</v>
      </c>
      <c r="B78" s="24"/>
      <c r="C78" s="24"/>
      <c r="D78" s="24"/>
      <c r="E78" s="24"/>
      <c r="F78" s="24"/>
      <c r="G78" s="24"/>
      <c r="H78" s="24"/>
    </row>
    <row r="79" customFormat="false" ht="23.85" hidden="false" customHeight="false" outlineLevel="0" collapsed="false">
      <c r="A79" s="44" t="s">
        <v>2</v>
      </c>
      <c r="B79" s="44" t="s">
        <v>133</v>
      </c>
      <c r="C79" s="44" t="s">
        <v>56</v>
      </c>
      <c r="D79" s="44" t="s">
        <v>134</v>
      </c>
      <c r="E79" s="44" t="s">
        <v>122</v>
      </c>
      <c r="F79" s="44" t="s">
        <v>135</v>
      </c>
      <c r="G79" s="44" t="s">
        <v>136</v>
      </c>
      <c r="H79" s="44" t="s">
        <v>59</v>
      </c>
    </row>
    <row r="80" customFormat="false" ht="27.75" hidden="false" customHeight="true" outlineLevel="0" collapsed="false">
      <c r="A80" s="8" t="n">
        <v>1</v>
      </c>
      <c r="B80" s="10" t="s">
        <v>137</v>
      </c>
      <c r="C80" s="17"/>
      <c r="D80" s="17"/>
      <c r="E80" s="17"/>
      <c r="F80" s="17"/>
      <c r="G80" s="17"/>
      <c r="H80" s="17"/>
    </row>
    <row r="81" customFormat="false" ht="27.75" hidden="false" customHeight="true" outlineLevel="0" collapsed="false">
      <c r="A81" s="4" t="n">
        <v>2</v>
      </c>
      <c r="B81" s="6" t="s">
        <v>138</v>
      </c>
      <c r="C81" s="18"/>
      <c r="D81" s="18"/>
      <c r="E81" s="18"/>
      <c r="F81" s="18"/>
      <c r="G81" s="18"/>
      <c r="H81" s="18"/>
    </row>
    <row r="82" customFormat="false" ht="27.75" hidden="false" customHeight="true" outlineLevel="0" collapsed="false">
      <c r="A82" s="8" t="n">
        <v>3</v>
      </c>
      <c r="B82" s="10" t="s">
        <v>139</v>
      </c>
      <c r="C82" s="17"/>
      <c r="D82" s="17"/>
      <c r="E82" s="17"/>
      <c r="F82" s="17"/>
      <c r="G82" s="17"/>
      <c r="H82" s="17"/>
    </row>
    <row r="83" customFormat="false" ht="27.75" hidden="false" customHeight="true" outlineLevel="0" collapsed="false">
      <c r="A83" s="4" t="n">
        <v>4</v>
      </c>
      <c r="B83" s="6" t="s">
        <v>140</v>
      </c>
      <c r="C83" s="18"/>
      <c r="D83" s="18"/>
      <c r="E83" s="18"/>
      <c r="F83" s="18"/>
      <c r="G83" s="18"/>
      <c r="H83" s="18"/>
    </row>
    <row r="84" customFormat="false" ht="27.75" hidden="false" customHeight="true" outlineLevel="0" collapsed="false">
      <c r="A84" s="8" t="n">
        <v>5</v>
      </c>
      <c r="B84" s="10" t="s">
        <v>141</v>
      </c>
      <c r="C84" s="17"/>
      <c r="D84" s="17"/>
      <c r="E84" s="17"/>
      <c r="F84" s="17"/>
      <c r="G84" s="17"/>
      <c r="H84" s="17"/>
    </row>
    <row r="85" customFormat="false" ht="27.75" hidden="false" customHeight="true" outlineLevel="0" collapsed="false">
      <c r="A85" s="4" t="n">
        <v>6</v>
      </c>
      <c r="B85" s="6" t="s">
        <v>142</v>
      </c>
      <c r="C85" s="18"/>
      <c r="D85" s="18"/>
      <c r="E85" s="18"/>
      <c r="F85" s="18"/>
      <c r="G85" s="18"/>
      <c r="H85" s="18"/>
    </row>
    <row r="86" customFormat="false" ht="27.75" hidden="false" customHeight="true" outlineLevel="0" collapsed="false">
      <c r="A86" s="8" t="n">
        <v>7</v>
      </c>
      <c r="B86" s="10" t="s">
        <v>143</v>
      </c>
      <c r="C86" s="17"/>
      <c r="D86" s="17"/>
      <c r="E86" s="17"/>
      <c r="F86" s="17"/>
      <c r="G86" s="17"/>
      <c r="H86" s="17"/>
    </row>
    <row r="87" customFormat="false" ht="27.75" hidden="false" customHeight="true" outlineLevel="0" collapsed="false">
      <c r="A87" s="4" t="n">
        <v>8</v>
      </c>
      <c r="B87" s="6" t="s">
        <v>144</v>
      </c>
      <c r="C87" s="18"/>
      <c r="D87" s="18"/>
      <c r="E87" s="18"/>
      <c r="F87" s="18"/>
      <c r="G87" s="18"/>
      <c r="H87" s="18"/>
    </row>
    <row r="88" customFormat="false" ht="27.75" hidden="false" customHeight="true" outlineLevel="0" collapsed="false">
      <c r="A88" s="8" t="n">
        <v>9</v>
      </c>
      <c r="B88" s="10" t="s">
        <v>145</v>
      </c>
      <c r="C88" s="17"/>
      <c r="D88" s="17"/>
      <c r="E88" s="17"/>
      <c r="F88" s="17"/>
      <c r="G88" s="17"/>
      <c r="H88" s="17"/>
    </row>
    <row r="89" customFormat="false" ht="27.75" hidden="false" customHeight="true" outlineLevel="0" collapsed="false">
      <c r="A89" s="4" t="n">
        <v>10</v>
      </c>
      <c r="B89" s="6" t="s">
        <v>146</v>
      </c>
      <c r="C89" s="18"/>
      <c r="D89" s="18"/>
      <c r="E89" s="18"/>
      <c r="F89" s="18"/>
      <c r="G89" s="18"/>
      <c r="H89" s="18"/>
    </row>
    <row r="90" customFormat="false" ht="27.75" hidden="false" customHeight="true" outlineLevel="0" collapsed="false">
      <c r="A90" s="8" t="n">
        <v>11</v>
      </c>
      <c r="B90" s="10" t="s">
        <v>147</v>
      </c>
      <c r="C90" s="17"/>
      <c r="D90" s="17"/>
      <c r="E90" s="17"/>
      <c r="F90" s="17"/>
      <c r="G90" s="17"/>
      <c r="H90" s="17"/>
    </row>
    <row r="91" customFormat="false" ht="27.75" hidden="false" customHeight="true" outlineLevel="0" collapsed="false">
      <c r="A91" s="4" t="n">
        <v>12</v>
      </c>
      <c r="B91" s="6" t="s">
        <v>148</v>
      </c>
      <c r="C91" s="18"/>
      <c r="D91" s="18"/>
      <c r="E91" s="18"/>
      <c r="F91" s="18"/>
      <c r="G91" s="18"/>
      <c r="H91" s="18"/>
    </row>
    <row r="92" customFormat="false" ht="27.75" hidden="false" customHeight="true" outlineLevel="0" collapsed="false">
      <c r="A92" s="8" t="n">
        <v>13</v>
      </c>
      <c r="B92" s="10" t="s">
        <v>149</v>
      </c>
      <c r="C92" s="17"/>
      <c r="D92" s="17"/>
      <c r="E92" s="17"/>
      <c r="F92" s="17"/>
      <c r="G92" s="17"/>
      <c r="H92" s="17"/>
    </row>
    <row r="93" customFormat="false" ht="27.75" hidden="false" customHeight="true" outlineLevel="0" collapsed="false">
      <c r="A93" s="4" t="n">
        <v>14</v>
      </c>
      <c r="B93" s="6" t="s">
        <v>150</v>
      </c>
      <c r="C93" s="18"/>
      <c r="D93" s="18"/>
      <c r="E93" s="18"/>
      <c r="F93" s="18"/>
      <c r="G93" s="18"/>
      <c r="H93" s="18"/>
    </row>
    <row r="94" customFormat="false" ht="27.75" hidden="false" customHeight="true" outlineLevel="0" collapsed="false">
      <c r="A94" s="8" t="n">
        <v>15</v>
      </c>
      <c r="B94" s="10" t="s">
        <v>151</v>
      </c>
      <c r="C94" s="17"/>
      <c r="D94" s="17"/>
      <c r="E94" s="17"/>
      <c r="F94" s="17"/>
      <c r="G94" s="17"/>
      <c r="H94" s="17"/>
    </row>
  </sheetData>
  <mergeCells count="4">
    <mergeCell ref="A1:H1"/>
    <mergeCell ref="A2:H2"/>
    <mergeCell ref="A55:H55"/>
    <mergeCell ref="A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5" t="s">
        <v>152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25.5" hidden="false" customHeight="true" outlineLevel="0" collapsed="false">
      <c r="A2" s="35" t="s">
        <v>153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23.85" hidden="false" customHeight="false" outlineLevel="0" collapsed="false">
      <c r="A3" s="36" t="s">
        <v>30</v>
      </c>
      <c r="B3" s="36" t="s">
        <v>154</v>
      </c>
      <c r="C3" s="36" t="s">
        <v>155</v>
      </c>
      <c r="D3" s="36" t="s">
        <v>156</v>
      </c>
      <c r="E3" s="36" t="s">
        <v>157</v>
      </c>
      <c r="F3" s="36" t="s">
        <v>158</v>
      </c>
      <c r="G3" s="36" t="s">
        <v>159</v>
      </c>
      <c r="H3" s="36" t="s">
        <v>160</v>
      </c>
      <c r="I3" s="36" t="s">
        <v>161</v>
      </c>
      <c r="J3" s="36" t="s">
        <v>39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4" t="n">
        <v>32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4" t="n">
        <v>34</v>
      </c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36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38</v>
      </c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40</v>
      </c>
      <c r="B43" s="18"/>
      <c r="C43" s="18"/>
      <c r="D43" s="18"/>
      <c r="E43" s="18"/>
      <c r="F43" s="18"/>
      <c r="G43" s="18"/>
      <c r="H43" s="18"/>
      <c r="I43" s="18"/>
      <c r="J4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163</v>
      </c>
      <c r="B2" s="2"/>
      <c r="C2" s="2"/>
      <c r="D2" s="2"/>
      <c r="E2" s="2"/>
      <c r="F2" s="2"/>
      <c r="G2" s="2"/>
    </row>
    <row r="3" customFormat="false" ht="35.05" hidden="false" customHeight="false" outlineLevel="0" collapsed="false">
      <c r="A3" s="3" t="s">
        <v>30</v>
      </c>
      <c r="B3" s="3" t="s">
        <v>39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</row>
    <row r="4" customFormat="false" ht="31.5" hidden="false" customHeight="true" outlineLevel="0" collapsed="false">
      <c r="A4" s="8" t="n">
        <v>1</v>
      </c>
      <c r="B4" s="17"/>
      <c r="C4" s="10" t="s">
        <v>169</v>
      </c>
      <c r="D4" s="17"/>
      <c r="E4" s="17"/>
      <c r="F4" s="17"/>
      <c r="G4" s="17"/>
    </row>
    <row r="5" customFormat="false" ht="31.5" hidden="false" customHeight="true" outlineLevel="0" collapsed="false">
      <c r="A5" s="4" t="n">
        <v>2</v>
      </c>
      <c r="B5" s="18"/>
      <c r="C5" s="6" t="s">
        <v>170</v>
      </c>
      <c r="D5" s="18"/>
      <c r="E5" s="18"/>
      <c r="F5" s="18"/>
      <c r="G5" s="18"/>
    </row>
    <row r="6" customFormat="false" ht="31.5" hidden="false" customHeight="true" outlineLevel="0" collapsed="false">
      <c r="A6" s="8" t="n">
        <v>3</v>
      </c>
      <c r="B6" s="17"/>
      <c r="C6" s="10" t="s">
        <v>171</v>
      </c>
      <c r="D6" s="17"/>
      <c r="E6" s="17"/>
      <c r="F6" s="17"/>
      <c r="G6" s="17"/>
    </row>
    <row r="7" customFormat="false" ht="31.5" hidden="false" customHeight="true" outlineLevel="0" collapsed="false">
      <c r="A7" s="4" t="n">
        <v>4</v>
      </c>
      <c r="B7" s="18"/>
      <c r="C7" s="6" t="s">
        <v>172</v>
      </c>
      <c r="D7" s="18"/>
      <c r="E7" s="18"/>
      <c r="F7" s="18"/>
      <c r="G7" s="18"/>
    </row>
    <row r="8" customFormat="false" ht="31.5" hidden="false" customHeight="true" outlineLevel="0" collapsed="false">
      <c r="A8" s="8" t="n">
        <v>5</v>
      </c>
      <c r="B8" s="17"/>
      <c r="C8" s="10" t="s">
        <v>173</v>
      </c>
      <c r="D8" s="17"/>
      <c r="E8" s="17"/>
      <c r="F8" s="17"/>
      <c r="G8" s="17"/>
    </row>
    <row r="9" customFormat="false" ht="31.5" hidden="false" customHeight="true" outlineLevel="0" collapsed="false">
      <c r="A9" s="4" t="n">
        <v>6</v>
      </c>
      <c r="B9" s="18"/>
      <c r="C9" s="6" t="s">
        <v>174</v>
      </c>
      <c r="D9" s="18"/>
      <c r="E9" s="18"/>
      <c r="F9" s="18"/>
      <c r="G9" s="18"/>
    </row>
    <row r="10" customFormat="false" ht="31.5" hidden="false" customHeight="true" outlineLevel="0" collapsed="false">
      <c r="A10" s="8" t="n">
        <v>7</v>
      </c>
      <c r="B10" s="17"/>
      <c r="C10" s="10" t="s">
        <v>175</v>
      </c>
      <c r="D10" s="17"/>
      <c r="E10" s="17"/>
      <c r="F10" s="17"/>
      <c r="G10" s="17"/>
    </row>
    <row r="11" customFormat="false" ht="31.5" hidden="false" customHeight="true" outlineLevel="0" collapsed="false">
      <c r="A11" s="4" t="n">
        <v>8</v>
      </c>
      <c r="B11" s="18"/>
      <c r="C11" s="6" t="s">
        <v>176</v>
      </c>
      <c r="D11" s="18"/>
      <c r="E11" s="18"/>
      <c r="F11" s="18"/>
      <c r="G11" s="18"/>
    </row>
    <row r="12" customFormat="false" ht="31.5" hidden="false" customHeight="true" outlineLevel="0" collapsed="false">
      <c r="A12" s="8" t="n">
        <v>9</v>
      </c>
      <c r="B12" s="17"/>
      <c r="C12" s="10" t="s">
        <v>177</v>
      </c>
      <c r="D12" s="17"/>
      <c r="E12" s="17"/>
      <c r="F12" s="17"/>
      <c r="G12" s="17"/>
    </row>
    <row r="13" customFormat="false" ht="31.5" hidden="false" customHeight="true" outlineLevel="0" collapsed="false">
      <c r="A13" s="4" t="n">
        <v>10</v>
      </c>
      <c r="B13" s="18"/>
      <c r="C13" s="6" t="s">
        <v>178</v>
      </c>
      <c r="D13" s="18"/>
      <c r="E13" s="18"/>
      <c r="F13" s="18"/>
      <c r="G13" s="18"/>
    </row>
    <row r="14" customFormat="false" ht="31.5" hidden="false" customHeight="true" outlineLevel="0" collapsed="false">
      <c r="A14" s="8" t="n">
        <v>11</v>
      </c>
      <c r="B14" s="17"/>
      <c r="C14" s="10" t="s">
        <v>179</v>
      </c>
      <c r="D14" s="17"/>
      <c r="E14" s="17"/>
      <c r="F14" s="17"/>
      <c r="G14" s="17"/>
    </row>
    <row r="15" customFormat="false" ht="31.5" hidden="false" customHeight="true" outlineLevel="0" collapsed="false">
      <c r="A15" s="4" t="n">
        <v>12</v>
      </c>
      <c r="B15" s="18"/>
      <c r="C15" s="6" t="s">
        <v>180</v>
      </c>
      <c r="D15" s="18"/>
      <c r="E15" s="18"/>
      <c r="F15" s="18"/>
      <c r="G15" s="18"/>
    </row>
    <row r="16" customFormat="false" ht="31.5" hidden="false" customHeight="true" outlineLevel="0" collapsed="false">
      <c r="A16" s="8" t="n">
        <v>13</v>
      </c>
      <c r="B16" s="17"/>
      <c r="C16" s="10" t="s">
        <v>181</v>
      </c>
      <c r="D16" s="17"/>
      <c r="E16" s="17"/>
      <c r="F16" s="17"/>
      <c r="G16" s="17"/>
    </row>
    <row r="17" customFormat="false" ht="31.5" hidden="false" customHeight="true" outlineLevel="0" collapsed="false">
      <c r="A17" s="4" t="n">
        <v>14</v>
      </c>
      <c r="B17" s="18"/>
      <c r="C17" s="6" t="s">
        <v>182</v>
      </c>
      <c r="D17" s="18"/>
      <c r="E17" s="18"/>
      <c r="F17" s="18"/>
      <c r="G17" s="18"/>
    </row>
    <row r="18" customFormat="false" ht="31.5" hidden="false" customHeight="true" outlineLevel="0" collapsed="false">
      <c r="A18" s="8" t="n">
        <v>15</v>
      </c>
      <c r="B18" s="17"/>
      <c r="C18" s="10" t="s">
        <v>183</v>
      </c>
      <c r="D18" s="17"/>
      <c r="E18" s="17"/>
      <c r="F18" s="17"/>
      <c r="G18" s="1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6" t="s">
        <v>184</v>
      </c>
      <c r="B1" s="46"/>
      <c r="C1" s="46"/>
      <c r="D1" s="46"/>
      <c r="E1" s="46"/>
      <c r="F1" s="46"/>
      <c r="G1" s="46"/>
      <c r="H1" s="46"/>
      <c r="I1" s="46"/>
    </row>
    <row r="2" customFormat="false" ht="25.5" hidden="false" customHeight="true" outlineLevel="0" collapsed="false">
      <c r="A2" s="15" t="s">
        <v>185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47" t="s">
        <v>30</v>
      </c>
      <c r="B3" s="47" t="s">
        <v>39</v>
      </c>
      <c r="C3" s="47" t="s">
        <v>186</v>
      </c>
      <c r="D3" s="47" t="s">
        <v>187</v>
      </c>
      <c r="E3" s="47" t="s">
        <v>188</v>
      </c>
      <c r="F3" s="47" t="s">
        <v>189</v>
      </c>
      <c r="G3" s="47" t="s">
        <v>190</v>
      </c>
      <c r="H3" s="47" t="s">
        <v>191</v>
      </c>
      <c r="I3" s="47" t="s">
        <v>192</v>
      </c>
    </row>
    <row r="4" customFormat="false" ht="15" hidden="false" customHeight="false" outlineLevel="0" collapsed="false">
      <c r="B4" s="48" t="s">
        <v>193</v>
      </c>
      <c r="C4" s="49" t="n">
        <v>0.25</v>
      </c>
      <c r="D4" s="49" t="n">
        <v>0.2</v>
      </c>
      <c r="E4" s="49" t="n">
        <v>0.2</v>
      </c>
      <c r="F4" s="49" t="n">
        <v>0.2</v>
      </c>
      <c r="G4" s="49" t="n">
        <v>0.15</v>
      </c>
    </row>
    <row r="5" customFormat="false" ht="15" hidden="false" customHeight="false" outlineLevel="0" collapsed="false">
      <c r="A5" s="4" t="n">
        <v>1</v>
      </c>
      <c r="B5" s="18"/>
      <c r="C5" s="50"/>
      <c r="D5" s="50"/>
      <c r="E5" s="50"/>
      <c r="F5" s="50"/>
      <c r="G5" s="50"/>
      <c r="H5" s="51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2"/>
      <c r="D6" s="52"/>
      <c r="E6" s="52"/>
      <c r="F6" s="52"/>
      <c r="G6" s="52"/>
      <c r="H6" s="53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8"/>
      <c r="C7" s="50"/>
      <c r="D7" s="50"/>
      <c r="E7" s="50"/>
      <c r="F7" s="50"/>
      <c r="G7" s="50"/>
      <c r="H7" s="51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2"/>
      <c r="D8" s="52"/>
      <c r="E8" s="52"/>
      <c r="F8" s="52"/>
      <c r="G8" s="52"/>
      <c r="H8" s="53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8"/>
      <c r="C9" s="50"/>
      <c r="D9" s="50"/>
      <c r="E9" s="50"/>
      <c r="F9" s="50"/>
      <c r="G9" s="50"/>
      <c r="H9" s="51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2"/>
      <c r="D10" s="52"/>
      <c r="E10" s="52"/>
      <c r="F10" s="52"/>
      <c r="G10" s="52"/>
      <c r="H10" s="53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8"/>
      <c r="C11" s="50"/>
      <c r="D11" s="50"/>
      <c r="E11" s="50"/>
      <c r="F11" s="50"/>
      <c r="G11" s="50"/>
      <c r="H11" s="51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2"/>
      <c r="D12" s="52"/>
      <c r="E12" s="52"/>
      <c r="F12" s="52"/>
      <c r="G12" s="52"/>
      <c r="H12" s="53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8"/>
      <c r="C13" s="50"/>
      <c r="D13" s="50"/>
      <c r="E13" s="50"/>
      <c r="F13" s="50"/>
      <c r="G13" s="50"/>
      <c r="H13" s="51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2"/>
      <c r="D14" s="52"/>
      <c r="E14" s="52"/>
      <c r="F14" s="52"/>
      <c r="G14" s="52"/>
      <c r="H14" s="53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8"/>
      <c r="C15" s="50"/>
      <c r="D15" s="50"/>
      <c r="E15" s="50"/>
      <c r="F15" s="50"/>
      <c r="G15" s="50"/>
      <c r="H15" s="51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2"/>
      <c r="D16" s="52"/>
      <c r="E16" s="52"/>
      <c r="F16" s="52"/>
      <c r="G16" s="52"/>
      <c r="H16" s="53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8"/>
      <c r="C17" s="50"/>
      <c r="D17" s="50"/>
      <c r="E17" s="50"/>
      <c r="F17" s="50"/>
      <c r="G17" s="50"/>
      <c r="H17" s="51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2"/>
      <c r="D18" s="52"/>
      <c r="E18" s="52"/>
      <c r="F18" s="52"/>
      <c r="G18" s="52"/>
      <c r="H18" s="53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8"/>
      <c r="C19" s="50"/>
      <c r="D19" s="50"/>
      <c r="E19" s="50"/>
      <c r="F19" s="50"/>
      <c r="G19" s="50"/>
      <c r="H19" s="51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2"/>
      <c r="D20" s="52"/>
      <c r="E20" s="52"/>
      <c r="F20" s="52"/>
      <c r="G20" s="52"/>
      <c r="H20" s="53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8"/>
      <c r="C21" s="50"/>
      <c r="D21" s="50"/>
      <c r="E21" s="50"/>
      <c r="F21" s="50"/>
      <c r="G21" s="50"/>
      <c r="H21" s="51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2"/>
      <c r="D22" s="52"/>
      <c r="E22" s="52"/>
      <c r="F22" s="52"/>
      <c r="G22" s="52"/>
      <c r="H22" s="53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8"/>
      <c r="C23" s="50"/>
      <c r="D23" s="50"/>
      <c r="E23" s="50"/>
      <c r="F23" s="50"/>
      <c r="G23" s="50"/>
      <c r="H23" s="51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2"/>
      <c r="D24" s="52"/>
      <c r="E24" s="52"/>
      <c r="F24" s="52"/>
      <c r="G24" s="52"/>
      <c r="H24" s="53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8"/>
      <c r="C25" s="50"/>
      <c r="D25" s="50"/>
      <c r="E25" s="50"/>
      <c r="F25" s="50"/>
      <c r="G25" s="50"/>
      <c r="H25" s="51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2"/>
      <c r="D26" s="52"/>
      <c r="E26" s="52"/>
      <c r="F26" s="52"/>
      <c r="G26" s="52"/>
      <c r="H26" s="53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8"/>
      <c r="C27" s="50"/>
      <c r="D27" s="50"/>
      <c r="E27" s="50"/>
      <c r="F27" s="50"/>
      <c r="G27" s="50"/>
      <c r="H27" s="51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2"/>
      <c r="D28" s="52"/>
      <c r="E28" s="52"/>
      <c r="F28" s="52"/>
      <c r="G28" s="52"/>
      <c r="H28" s="53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8"/>
      <c r="C29" s="50"/>
      <c r="D29" s="50"/>
      <c r="E29" s="50"/>
      <c r="F29" s="50"/>
      <c r="G29" s="50"/>
      <c r="H29" s="51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2"/>
      <c r="D30" s="52"/>
      <c r="E30" s="52"/>
      <c r="F30" s="52"/>
      <c r="G30" s="52"/>
      <c r="H30" s="53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8"/>
      <c r="C31" s="50"/>
      <c r="D31" s="50"/>
      <c r="E31" s="50"/>
      <c r="F31" s="50"/>
      <c r="G31" s="50"/>
      <c r="H31" s="51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2"/>
      <c r="D32" s="52"/>
      <c r="E32" s="52"/>
      <c r="F32" s="52"/>
      <c r="G32" s="52"/>
      <c r="H32" s="53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8"/>
      <c r="C33" s="50"/>
      <c r="D33" s="50"/>
      <c r="E33" s="50"/>
      <c r="F33" s="50"/>
      <c r="G33" s="50"/>
      <c r="H33" s="51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2"/>
      <c r="D34" s="52"/>
      <c r="E34" s="52"/>
      <c r="F34" s="52"/>
      <c r="G34" s="52"/>
      <c r="H34" s="53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45" t="s">
        <v>194</v>
      </c>
      <c r="B1" s="45"/>
      <c r="C1" s="45"/>
      <c r="D1" s="45"/>
      <c r="E1" s="45"/>
      <c r="F1" s="45"/>
      <c r="G1" s="45"/>
      <c r="H1" s="45"/>
      <c r="I1" s="45"/>
    </row>
    <row r="2" customFormat="false" ht="25.5" hidden="false" customHeight="true" outlineLevel="0" collapsed="false">
      <c r="A2" s="35" t="s">
        <v>195</v>
      </c>
      <c r="B2" s="35"/>
      <c r="C2" s="35"/>
      <c r="D2" s="35"/>
      <c r="E2" s="35"/>
      <c r="F2" s="35"/>
      <c r="G2" s="35"/>
      <c r="H2" s="35"/>
      <c r="I2" s="35"/>
    </row>
    <row r="3" customFormat="false" ht="15" hidden="false" customHeight="false" outlineLevel="0" collapsed="false">
      <c r="A3" s="36" t="s">
        <v>30</v>
      </c>
      <c r="B3" s="36" t="s">
        <v>196</v>
      </c>
      <c r="C3" s="36" t="s">
        <v>197</v>
      </c>
      <c r="D3" s="36" t="s">
        <v>198</v>
      </c>
      <c r="E3" s="36" t="s">
        <v>199</v>
      </c>
      <c r="F3" s="36" t="s">
        <v>200</v>
      </c>
      <c r="G3" s="36" t="s">
        <v>201</v>
      </c>
      <c r="H3" s="36" t="s">
        <v>202</v>
      </c>
      <c r="I3" s="36" t="s">
        <v>203</v>
      </c>
    </row>
    <row r="4" customFormat="false" ht="15" hidden="false" customHeight="false" outlineLevel="0" collapsed="false">
      <c r="A4" s="54" t="n">
        <v>1</v>
      </c>
      <c r="B4" s="55" t="s">
        <v>204</v>
      </c>
      <c r="C4" s="56"/>
      <c r="D4" s="56"/>
      <c r="E4" s="56"/>
      <c r="F4" s="56"/>
      <c r="G4" s="56"/>
      <c r="H4" s="56"/>
      <c r="I4" s="56" t="s">
        <v>205</v>
      </c>
    </row>
    <row r="5" customFormat="false" ht="15" hidden="false" customHeight="false" outlineLevel="0" collapsed="false">
      <c r="A5" s="4" t="n">
        <v>2</v>
      </c>
      <c r="B5" s="5" t="s">
        <v>206</v>
      </c>
      <c r="C5" s="18"/>
      <c r="D5" s="18"/>
      <c r="E5" s="18"/>
      <c r="F5" s="18"/>
      <c r="G5" s="18"/>
      <c r="H5" s="18"/>
      <c r="I5" s="18" t="s">
        <v>207</v>
      </c>
    </row>
    <row r="6" customFormat="false" ht="15" hidden="false" customHeight="false" outlineLevel="0" collapsed="false">
      <c r="A6" s="8" t="n">
        <v>3</v>
      </c>
      <c r="B6" s="9" t="s">
        <v>208</v>
      </c>
      <c r="C6" s="17"/>
      <c r="D6" s="17"/>
      <c r="E6" s="17"/>
      <c r="F6" s="17"/>
      <c r="G6" s="17"/>
      <c r="H6" s="17"/>
      <c r="I6" s="17" t="s">
        <v>209</v>
      </c>
    </row>
    <row r="7" customFormat="false" ht="15" hidden="false" customHeight="false" outlineLevel="0" collapsed="false">
      <c r="A7" s="4" t="n">
        <v>4</v>
      </c>
      <c r="B7" s="5" t="s">
        <v>210</v>
      </c>
      <c r="C7" s="18"/>
      <c r="D7" s="18"/>
      <c r="E7" s="18"/>
      <c r="F7" s="18"/>
      <c r="G7" s="18"/>
      <c r="H7" s="18"/>
      <c r="I7" s="18" t="s">
        <v>211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212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7" t="s">
        <v>213</v>
      </c>
      <c r="B2" s="57"/>
      <c r="C2" s="57"/>
      <c r="D2" s="57"/>
      <c r="E2" s="57"/>
      <c r="F2" s="57"/>
    </row>
    <row r="3" customFormat="false" ht="15" hidden="false" customHeight="false" outlineLevel="0" collapsed="false">
      <c r="A3" s="16" t="s">
        <v>2</v>
      </c>
      <c r="B3" s="16" t="s">
        <v>214</v>
      </c>
      <c r="C3" s="16" t="s">
        <v>215</v>
      </c>
      <c r="D3" s="16" t="s">
        <v>216</v>
      </c>
      <c r="E3" s="16" t="s">
        <v>217</v>
      </c>
      <c r="F3" s="16" t="s">
        <v>218</v>
      </c>
    </row>
    <row r="4" customFormat="false" ht="31.5" hidden="false" customHeight="true" outlineLevel="0" collapsed="false">
      <c r="A4" s="8" t="n">
        <v>1</v>
      </c>
      <c r="B4" s="9" t="s">
        <v>219</v>
      </c>
      <c r="C4" s="10" t="s">
        <v>220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221</v>
      </c>
      <c r="C5" s="6" t="s">
        <v>222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223</v>
      </c>
      <c r="C6" s="10" t="s">
        <v>224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225</v>
      </c>
      <c r="C7" s="6" t="s">
        <v>226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227</v>
      </c>
      <c r="C8" s="10" t="s">
        <v>228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229</v>
      </c>
      <c r="C9" s="6" t="s">
        <v>230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231</v>
      </c>
      <c r="C10" s="10" t="s">
        <v>232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233</v>
      </c>
      <c r="C11" s="6" t="s">
        <v>234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235</v>
      </c>
      <c r="C12" s="10" t="s">
        <v>236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237</v>
      </c>
      <c r="C13" s="6" t="s">
        <v>238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239</v>
      </c>
      <c r="C14" s="10" t="s">
        <v>240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241</v>
      </c>
      <c r="C15" s="6" t="s">
        <v>242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243</v>
      </c>
      <c r="C16" s="10" t="s">
        <v>244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245</v>
      </c>
      <c r="C17" s="6" t="s">
        <v>246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247</v>
      </c>
      <c r="C18" s="10" t="s">
        <v>248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249</v>
      </c>
      <c r="C19" s="6" t="s">
        <v>250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251</v>
      </c>
      <c r="C20" s="10" t="s">
        <v>252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253</v>
      </c>
      <c r="C21" s="6" t="s">
        <v>254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255</v>
      </c>
      <c r="C22" s="10" t="s">
        <v>256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257</v>
      </c>
      <c r="C23" s="6" t="s">
        <v>258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2026-05-04T09:41:36Z</dcterms:created>
  <dc:creator>openpyxl</dc:creator>
  <dc:description/>
  <dc:language>en-US</dc:language>
  <cp:lastModifiedBy/>
  <dcterms:modified xsi:type="dcterms:W3CDTF">2026-05-04T09:41:36Z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