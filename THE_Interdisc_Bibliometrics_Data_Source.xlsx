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bliometrics Overview" sheetId="1" state="visible" r:id="rId3"/>
    <sheet name="ASJC Reference" sheetId="2" state="visible" r:id="rId4"/>
    <sheet name="1. Publication Summary" sheetId="3" state="visible" r:id="rId5"/>
    <sheet name="2. ASJC Distribution" sheetId="4" state="visible" r:id="rId6"/>
    <sheet name="3. Cross-Field Citations" sheetId="5" state="visible" r:id="rId7"/>
    <sheet name="4. Intl Co-authorship" sheetId="6" state="visible" r:id="rId8"/>
    <sheet name="5. Visibility &amp; Influence" sheetId="7" state="visible" r:id="rId9"/>
    <sheet name="6. Extraction Methodology" sheetId="8" state="visible" r:id="rId10"/>
    <sheet name="7. Composite Score" sheetId="9" state="visible" r:id="rId11"/>
    <sheet name="8. Benchmarking" sheetId="10" state="visible" r:id="rId12"/>
    <sheet name="9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<sst xmlns="http://schemas.openxmlformats.org/spreadsheetml/2006/main" count="368" uniqueCount="332">
  <si>
    <t xml:space="preserve">THE Interdisciplinary Rankings — Data Sources: Bibliometrics (40%)</t>
  </si>
  <si>
    <t xml:space="preserve">Scopus Publication &amp; Citation Data → Forms the Core of Output Measurement (40% of Total Ranking)</t>
  </si>
  <si>
    <t xml:space="preserve">#</t>
  </si>
  <si>
    <t xml:space="preserve">Bibliometric Sub-Indicator</t>
  </si>
  <si>
    <t xml:space="preserve">Description &amp; Scopus Methodology</t>
  </si>
  <si>
    <t xml:space="preserve">Approx. Weight</t>
  </si>
  <si>
    <t xml:space="preserve">Field-Weighted Citation Impact (FWCI)</t>
  </si>
  <si>
    <t xml:space="preserve">Average citation impact of interdisciplinary publications relative to world average for their field(s). FWCI &gt;1.0 = above average. Scopus normalizes by publication year, document type, and ASJC discipline. For interdisciplinary papers tagged across 2+ ASJC areas, the FWCI uses a composite benchmark blending the relevant fields.</t>
  </si>
  <si>
    <t xml:space="preserve">~12%</t>
  </si>
  <si>
    <t xml:space="preserve">Proportion of Interdisciplinary Publications</t>
  </si>
  <si>
    <t xml:space="preserve">Percentage of total Scopus-indexed output classified as multidisciplinary (publications tagged across 2+ ASJC top-level subject areas). Measures the structural interdisciplinarity of the research portfolio.</t>
  </si>
  <si>
    <t xml:space="preserve">~8%</t>
  </si>
  <si>
    <t xml:space="preserve">Cross-Field Citation Flows</t>
  </si>
  <si>
    <t xml:space="preserve">Frequency with which a university's publications are cited by papers in DIFFERENT ASJC fields than the originating discipline. Signals knowledge transfer and scientific integration across domain boundaries. Computed from Scopus citation linkages.</t>
  </si>
  <si>
    <t xml:space="preserve">International Cross-Disciplinary Co-authorship</t>
  </si>
  <si>
    <t xml:space="preserve">Publications with authors from 2+ countries AND spanning 2+ ASJC subject areas. Measures breadth of global collaborative interdisciplinary research networks.</t>
  </si>
  <si>
    <t xml:space="preserve">~7%</t>
  </si>
  <si>
    <t xml:space="preserve">Research Visibility &amp; Multi-Domain Influence</t>
  </si>
  <si>
    <t xml:space="preserve">Composite of: h-index of cross-domain work, publication volume, top-percentile (top 10%/1%) papers, presence in multi-domain journals (Nature, Science, PNAS, Cell, Lancet, etc.), and Altmetric attention scores for interdisciplinary output.</t>
  </si>
  <si>
    <t xml:space="preserve">~5%</t>
  </si>
  <si>
    <t xml:space="preserve">Bibliometrics Data Flow: Scopus → THE Ranking Pillars</t>
  </si>
  <si>
    <t xml:space="preserve">From Scopus</t>
  </si>
  <si>
    <t xml:space="preserve">Metric Derived</t>
  </si>
  <si>
    <t xml:space="preserve">Feeds Ranking Pillar</t>
  </si>
  <si>
    <t xml:space="preserve">Weight</t>
  </si>
  <si>
    <t xml:space="preserve">Scopus Publication Database</t>
  </si>
  <si>
    <t xml:space="preserve">Total &amp; Interdisciplinary Publication Counts</t>
  </si>
  <si>
    <t xml:space="preserve">Research Quality &amp; Influence</t>
  </si>
  <si>
    <t xml:space="preserve">Part of ~40%</t>
  </si>
  <si>
    <t xml:space="preserve">Scopus Citation Network</t>
  </si>
  <si>
    <t xml:space="preserve">FWCI (Field-Weighted Citation Impact)</t>
  </si>
  <si>
    <t xml:space="preserve">Scopus ASJC Classification</t>
  </si>
  <si>
    <t xml:space="preserve">Interdisciplinary Proportion (2+ ASJC areas)</t>
  </si>
  <si>
    <t xml:space="preserve">Scopus Citation Linkages</t>
  </si>
  <si>
    <t xml:space="preserve">Scopus Author Affiliations</t>
  </si>
  <si>
    <t xml:space="preserve">Scopus + Altmetric</t>
  </si>
  <si>
    <t xml:space="preserve">Visibility: h-index, Top 10%, Multi-domain journals</t>
  </si>
  <si>
    <t xml:space="preserve">Scopus SDG Mapping</t>
  </si>
  <si>
    <t xml:space="preserve">SDG-Linked Interdisciplinary Research Output</t>
  </si>
  <si>
    <t xml:space="preserve">Societal Impact &amp; SDG Alignment</t>
  </si>
  <si>
    <t xml:space="preserve">Part of ~10%</t>
  </si>
  <si>
    <t xml:space="preserve">Scopus Industry Affiliation</t>
  </si>
  <si>
    <t xml:space="preserve">Industry Co-authored Interdisciplinary Papers</t>
  </si>
  <si>
    <t xml:space="preserve">Innovation &amp; Industry Linkages</t>
  </si>
  <si>
    <t xml:space="preserve">Scopus Patent Citations</t>
  </si>
  <si>
    <t xml:space="preserve">Citations from Patent Literature to Univ. Papers</t>
  </si>
  <si>
    <t xml:space="preserve">SciVal (built on Scopus)</t>
  </si>
  <si>
    <t xml:space="preserve">SciVal Topic Clusters, Collaboration Analytics</t>
  </si>
  <si>
    <t xml:space="preserve">Cross-validation &amp; benchmarking</t>
  </si>
  <si>
    <t xml:space="preserve">Indirect</t>
  </si>
  <si>
    <t xml:space="preserve">Key Notes on Bibliometric Data Source</t>
  </si>
  <si>
    <t xml:space="preserve">• Bibliometrics accounts for 40% of total ranking — the single largest data source, forming the entire Research Quality &amp; Influence pillar.</t>
  </si>
  <si>
    <t xml:space="preserve">• Primary database: Scopus (Elsevier) — world's largest abstract and citation database with 90M+ records and 27 ASJC top-level areas.</t>
  </si>
  <si>
    <t xml:space="preserve">• THE does NOT use Web of Science or Google Scholar for this ranking — Scopus is the sole bibliometric source.</t>
  </si>
  <si>
    <t xml:space="preserve">• Analysis window: 5-year rolling period (e.g., 2019–2023 for 2025 ranking cycle).</t>
  </si>
  <si>
    <t xml:space="preserve">• Publication types: articles, reviews, conference papers included. Editorials, letters, errata, book reviews excluded.</t>
  </si>
  <si>
    <t xml:space="preserve">• Self-citations: institutional self-citations excluded or diluted per THE methodology.</t>
  </si>
  <si>
    <t xml:space="preserve">• Fractional counting: multi-authored papers counted fractionally to avoid double-counting across institutions.</t>
  </si>
  <si>
    <t xml:space="preserve">• ASJC classification: publications tagged to 2+ ASJC top-level areas = interdisciplinary. Sub-area overlaps within same top-level area do not qualify.</t>
  </si>
  <si>
    <t xml:space="preserve">• SciVal (Elsevier's analytics platform built on Scopus) provides complementary analytics for institutional benchmarking.</t>
  </si>
  <si>
    <t xml:space="preserve">• Minimum publication threshold: universities below ~150 Scopus publications/year typically excluded from ranking eligibility.</t>
  </si>
  <si>
    <t xml:space="preserve">Scopus ASJC All Science Journal Classification — 27 Top-Level Subject Areas</t>
  </si>
  <si>
    <t xml:space="preserve">Publications must span 2+ of these top-level areas to qualify as 'interdisciplinary'</t>
  </si>
  <si>
    <t xml:space="preserve">Code</t>
  </si>
  <si>
    <t xml:space="preserve">Top-Level Subject Area</t>
  </si>
  <si>
    <t xml:space="preserve">Sub-Areas Covered (Examples)</t>
  </si>
  <si>
    <t xml:space="preserve">Pubs Threshold</t>
  </si>
  <si>
    <t xml:space="preserve">Agricultural &amp; Biological Sciences</t>
  </si>
  <si>
    <t xml:space="preserve">Agronomy, Animal Science, Aquatic Science, Ecology, Food Science, Forestry, Plant Science</t>
  </si>
  <si>
    <t xml:space="preserve">Arts &amp; Humanities</t>
  </si>
  <si>
    <t xml:space="preserve">Archaeology, History, Language, Literature, Music, Philosophy, Religious Studies, Visual Arts</t>
  </si>
  <si>
    <t xml:space="preserve">Biochemistry, Genetics &amp; Molecular Biology</t>
  </si>
  <si>
    <t xml:space="preserve">Biochemistry, Biophysics, Cell Biology, Genetics, Molecular Biology, Structural Biology</t>
  </si>
  <si>
    <t xml:space="preserve">Business, Management &amp; Accounting</t>
  </si>
  <si>
    <t xml:space="preserve">Accounting, Business, Management, Marketing, Organizational Behaviour, Strategy</t>
  </si>
  <si>
    <t xml:space="preserve">Chemical Engineering</t>
  </si>
  <si>
    <t xml:space="preserve">Bioengineering, Catalysis, Chemical Health &amp; Safety, Filtration, Fluid Flow, Process Chemistry</t>
  </si>
  <si>
    <t xml:space="preserve">Chemistry</t>
  </si>
  <si>
    <t xml:space="preserve">Analytical, Inorganic, Organic, Physical &amp; Theoretical, Spectroscopy, Electrochemistry</t>
  </si>
  <si>
    <t xml:space="preserve">Computer Science</t>
  </si>
  <si>
    <t xml:space="preserve">AI, Computational Theory, Computer Graphics, CV, HCI, Information Systems, Networks, Software</t>
  </si>
  <si>
    <t xml:space="preserve">Decision Sciences</t>
  </si>
  <si>
    <t xml:space="preserve">Information Systems, Management Science, Operations Research, Statistics &amp; Probability</t>
  </si>
  <si>
    <t xml:space="preserve">Dentistry</t>
  </si>
  <si>
    <t xml:space="preserve">Dental Hygiene, Oral Surgery, Orthodontics, Periodontics</t>
  </si>
  <si>
    <t xml:space="preserve">Earth &amp; Planetary Sciences</t>
  </si>
  <si>
    <t xml:space="preserve">Atmospheric Science, Geochemistry, Geology, Geophysics, Oceanography, Paleontology</t>
  </si>
  <si>
    <t xml:space="preserve">Economics, Econometrics &amp; Finance</t>
  </si>
  <si>
    <t xml:space="preserve">Economics, Finance, Econometrics</t>
  </si>
  <si>
    <t xml:space="preserve">Energy</t>
  </si>
  <si>
    <t xml:space="preserve">Energy Engineering, Fuel Technology, Nuclear Energy, Renewable Energy, Solar</t>
  </si>
  <si>
    <t xml:space="preserve">Engineering</t>
  </si>
  <si>
    <t xml:space="preserve">Aerospace, Automotive, Biomedical, Civil, Computational, Control, Electrical, Industrial, Mechanical, Ocean</t>
  </si>
  <si>
    <t xml:space="preserve">Environmental Science</t>
  </si>
  <si>
    <t xml:space="preserve">Ecology, Environmental Chemistry, Global Change, Health Toxicology, Management, Pollution, Water Science</t>
  </si>
  <si>
    <t xml:space="preserve">Health Professions</t>
  </si>
  <si>
    <t xml:space="preserve">Chiropody, Health Information, Medical Lab, Occupational Therapy, Optometry, Pharmacy, Podiatry, Speech</t>
  </si>
  <si>
    <t xml:space="preserve">Immunology &amp; Microbiology</t>
  </si>
  <si>
    <t xml:space="preserve">Applied Microbiology, Immunology, Parasitology, Virology</t>
  </si>
  <si>
    <t xml:space="preserve">Materials Science</t>
  </si>
  <si>
    <t xml:space="preserve">Biomaterials, Ceramics, Composites, Electronic/Magnetic, Metals, Nanomaterials, Polymers, Surfaces</t>
  </si>
  <si>
    <t xml:space="preserve">Mathematics</t>
  </si>
  <si>
    <t xml:space="preserve">Algebra, Analysis, Applied Mathematics, Computational, Discrete, Geometry, Logic, Modelling, Statistics</t>
  </si>
  <si>
    <t xml:space="preserve">Medicine</t>
  </si>
  <si>
    <t xml:space="preserve">Anatomy, Cardiology, Dermatology, Emergency Medicine, Endocrinology, Gastroenterology, Geriatrics, Internal, Neurology, Oncology, Pathology, Pediatrics, Physiology, Psychiatry, Public Health, Radiology, Surgery</t>
  </si>
  <si>
    <t xml:space="preserve">Neuroscience</t>
  </si>
  <si>
    <t xml:space="preserve">Behavioral, Biological Psychiatry, Cellular, Cognitive, Developmental, Endocrine, Sensory Systems</t>
  </si>
  <si>
    <t xml:space="preserve">Nursing</t>
  </si>
  <si>
    <t xml:space="preserve">Advanced Practice, Community, Critical Care, Emergency, Gerontology, Medical-Surgical, Midwifery, Pediatric, Psychiatric</t>
  </si>
  <si>
    <t xml:space="preserve">Pharmacology, Toxicology &amp; Pharmaceutics</t>
  </si>
  <si>
    <t xml:space="preserve">Drug Discovery, Pharmaceutical Science, Pharmacology, Toxicology</t>
  </si>
  <si>
    <t xml:space="preserve">Physics &amp; Astronomy</t>
  </si>
  <si>
    <t xml:space="preserve">Acoustics, Astrophysics, Atomic &amp; Molecular, Condensed Matter, Instrumentation, Nuclear, Optics, Statistical</t>
  </si>
  <si>
    <t xml:space="preserve">Psychology</t>
  </si>
  <si>
    <t xml:space="preserve">Applied, Clinical, Developmental, Educational, Experimental, Neuropsychology, Social</t>
  </si>
  <si>
    <t xml:space="preserve">Social Sciences</t>
  </si>
  <si>
    <t xml:space="preserve">Anthropology, Communication, Education, Geography, Law, Library Science, Linguistics, Political Science, Public Administration, Sociology, Urban Studies</t>
  </si>
  <si>
    <t xml:space="preserve">Veterinary</t>
  </si>
  <si>
    <t xml:space="preserve">Equine, Food Animals, Small Animals, Veterinary Medicine</t>
  </si>
  <si>
    <t xml:space="preserve">Multidisciplinary</t>
  </si>
  <si>
    <t xml:space="preserve">Journals covering multiple areas (Nature, Science, PNAS, PLOS ONE, etc.)</t>
  </si>
  <si>
    <t xml:space="preserve">Scopus Publication &amp; Citation Summary — University-Level (5-Year Window)</t>
  </si>
  <si>
    <t xml:space="preserve">Core bibliometric data extracted from Scopus | Total output, interdisciplinary output, citations, FWCI</t>
  </si>
  <si>
    <t xml:space="preserve">S.No.</t>
  </si>
  <si>
    <t xml:space="preserve">University Name</t>
  </si>
  <si>
    <t xml:space="preserve">Country</t>
  </si>
  <si>
    <t xml:space="preserve">Total Scopus Publications (5yr)</t>
  </si>
  <si>
    <t xml:space="preserve">Interdisciplinary Pubs (2+ ASJC)</t>
  </si>
  <si>
    <t xml:space="preserve">% Interdisciplinary</t>
  </si>
  <si>
    <t xml:space="preserve">Total Citations Received</t>
  </si>
  <si>
    <t xml:space="preserve">Citations per Publication</t>
  </si>
  <si>
    <t xml:space="preserve">FWCI (All Pubs)</t>
  </si>
  <si>
    <t xml:space="preserve">FWCI (Interdisc. Pubs Only)</t>
  </si>
  <si>
    <t xml:space="preserve">h-index (Interdisc.)</t>
  </si>
  <si>
    <t xml:space="preserve">Analysis Period</t>
  </si>
  <si>
    <t xml:space="preserve">Summary Statistics</t>
  </si>
  <si>
    <t xml:space="preserve">Total Publications (All Universities)</t>
  </si>
  <si>
    <t xml:space="preserve">Total Interdisciplinary Publications</t>
  </si>
  <si>
    <t xml:space="preserve">Average % Interdisciplinary</t>
  </si>
  <si>
    <t xml:space="preserve">Average FWCI (All Pubs)</t>
  </si>
  <si>
    <t xml:space="preserve">Average FWCI (Interdisc.)</t>
  </si>
  <si>
    <t xml:space="preserve">Highest FWCI (Interdisc.)</t>
  </si>
  <si>
    <t xml:space="preserve">Interdisciplinary Publication Distribution by ASJC Area (University × ASJC Matrix)</t>
  </si>
  <si>
    <t xml:space="preserve">Count of interdisciplinary publications touching each ASJC top-level area | One paper may appear in multiple columns</t>
  </si>
  <si>
    <t xml:space="preserve">University ↓ / ASJC →</t>
  </si>
  <si>
    <t xml:space="preserve">AGRI</t>
  </si>
  <si>
    <t xml:space="preserve">AH</t>
  </si>
  <si>
    <t xml:space="preserve">BIOC</t>
  </si>
  <si>
    <t xml:space="preserve">BUS</t>
  </si>
  <si>
    <t xml:space="preserve">CENG</t>
  </si>
  <si>
    <t xml:space="preserve">CHEM</t>
  </si>
  <si>
    <t xml:space="preserve">CS</t>
  </si>
  <si>
    <t xml:space="preserve">DEC</t>
  </si>
  <si>
    <t xml:space="preserve">EART</t>
  </si>
  <si>
    <t xml:space="preserve">ECON</t>
  </si>
  <si>
    <t xml:space="preserve">ENER</t>
  </si>
  <si>
    <t xml:space="preserve">ENGI</t>
  </si>
  <si>
    <t xml:space="preserve">ENVI</t>
  </si>
  <si>
    <t xml:space="preserve">HEAL</t>
  </si>
  <si>
    <t xml:space="preserve">IMMU</t>
  </si>
  <si>
    <t xml:space="preserve">MATE</t>
  </si>
  <si>
    <t xml:space="preserve">MATH</t>
  </si>
  <si>
    <t xml:space="preserve">MEDI</t>
  </si>
  <si>
    <t xml:space="preserve">NEUR</t>
  </si>
  <si>
    <t xml:space="preserve">NURS</t>
  </si>
  <si>
    <t xml:space="preserve">PHAR</t>
  </si>
  <si>
    <t xml:space="preserve">PHYS</t>
  </si>
  <si>
    <t xml:space="preserve">PSYC</t>
  </si>
  <si>
    <t xml:space="preserve">SOCI</t>
  </si>
  <si>
    <t xml:space="preserve">VETE</t>
  </si>
  <si>
    <t xml:space="preserve">MULT</t>
  </si>
  <si>
    <t xml:space="preserve">Total</t>
  </si>
  <si>
    <t xml:space="preserve">Areas Active</t>
  </si>
  <si>
    <t xml:space="preserve">Cross-Field Citation Flows — Knowledge Transfer Across Disciplines</t>
  </si>
  <si>
    <t xml:space="preserve">Citations RECEIVED from papers in DIFFERENT ASJC fields | Scopus citation linkage analysis</t>
  </si>
  <si>
    <t xml:space="preserve">Total Citations (5yr)</t>
  </si>
  <si>
    <t xml:space="preserve">Same-Field Citations</t>
  </si>
  <si>
    <t xml:space="preserve">Cross-Field Citations</t>
  </si>
  <si>
    <t xml:space="preserve">% Cross-Field</t>
  </si>
  <si>
    <t xml:space="preserve">Unique Citing ASJC Areas</t>
  </si>
  <si>
    <t xml:space="preserve">Cross-Field Citation Impact (Norm.)</t>
  </si>
  <si>
    <t xml:space="preserve">Papers with authors from 2+ countries AND spanning 2+ ASJC areas | Scopus author affiliation data</t>
  </si>
  <si>
    <t xml:space="preserve">Total Publications (5yr)</t>
  </si>
  <si>
    <t xml:space="preserve">International Co-authored Pubs</t>
  </si>
  <si>
    <t xml:space="preserve">Intl + Interdisc. Co-authored</t>
  </si>
  <si>
    <t xml:space="preserve">% Intl + Interdisc.</t>
  </si>
  <si>
    <t xml:space="preserve">Partner Countries</t>
  </si>
  <si>
    <t xml:space="preserve">Partner Institutions</t>
  </si>
  <si>
    <t xml:space="preserve">Avg ASJC Areas per Intl Paper</t>
  </si>
  <si>
    <t xml:space="preserve">h-index, Top 10%/1% papers, multi-domain journal presence, Altmetric scores | Scopus + Altmetric</t>
  </si>
  <si>
    <t xml:space="preserve">Interdisc. h-index</t>
  </si>
  <si>
    <t xml:space="preserve">Top 10% Cited Interdisc. Pubs</t>
  </si>
  <si>
    <t xml:space="preserve">Top 1% Cited Interdisc. Pubs</t>
  </si>
  <si>
    <t xml:space="preserve">Pubs in Nature/Science/PNAS/Cell/Lancet</t>
  </si>
  <si>
    <t xml:space="preserve">% in Multi-Domain Journals</t>
  </si>
  <si>
    <t xml:space="preserve">Avg Altmetric Score (Interdisc.)</t>
  </si>
  <si>
    <t xml:space="preserve">Scopus Data Extraction — Methodology &amp; Parameters</t>
  </si>
  <si>
    <t xml:space="preserve">Technical specifications for reproducing the bibliometric analysis from Scopus</t>
  </si>
  <si>
    <t xml:space="preserve">Parameter</t>
  </si>
  <si>
    <t xml:space="preserve">Specification / Setting</t>
  </si>
  <si>
    <t xml:space="preserve">Notes</t>
  </si>
  <si>
    <t xml:space="preserve">Database</t>
  </si>
  <si>
    <t xml:space="preserve">Scopus (Elsevier)</t>
  </si>
  <si>
    <t xml:space="preserve">Sole bibliometric source for THE Interdisciplinary Rankings</t>
  </si>
  <si>
    <t xml:space="preserve">Analysis Window</t>
  </si>
  <si>
    <t xml:space="preserve">5-year rolling (e.g., 2019–2023 for 2025 cycle)</t>
  </si>
  <si>
    <t xml:space="preserve">Calendar year boundaries; publication date, not acceptance date</t>
  </si>
  <si>
    <t xml:space="preserve">Document Types Included</t>
  </si>
  <si>
    <t xml:space="preserve">Articles, Reviews, Conference Papers</t>
  </si>
  <si>
    <t xml:space="preserve">Based on Scopus document type classification</t>
  </si>
  <si>
    <t xml:space="preserve">Document Types Excluded</t>
  </si>
  <si>
    <t xml:space="preserve">Editorials, Letters, Errata, Notes, Book Reviews, Short Surveys</t>
  </si>
  <si>
    <t xml:space="preserve">Excluded to ensure substantive research output measurement</t>
  </si>
  <si>
    <t xml:space="preserve">Affiliation Matching</t>
  </si>
  <si>
    <t xml:space="preserve">Scopus Affiliation ID for each university</t>
  </si>
  <si>
    <t xml:space="preserve">Verified against Scopus institutional profile; includes merged/satellite IDs</t>
  </si>
  <si>
    <t xml:space="preserve">ASJC Classification Level</t>
  </si>
  <si>
    <t xml:space="preserve">Top-level (27 areas)</t>
  </si>
  <si>
    <t xml:space="preserve">Sub-area overlaps within same top-level area do NOT qualify as interdisciplinary</t>
  </si>
  <si>
    <t xml:space="preserve">Interdisciplinary Threshold</t>
  </si>
  <si>
    <t xml:space="preserve">Publication tagged to 2+ DISTINCT top-level ASJC areas</t>
  </si>
  <si>
    <t xml:space="preserve">2-area minimum; 3+, 4+ tracked separately for diversity analysis</t>
  </si>
  <si>
    <t xml:space="preserve">FWCI Calculation</t>
  </si>
  <si>
    <t xml:space="preserve">Scopus/SciVal field-weighted citation impact</t>
  </si>
  <si>
    <t xml:space="preserve">Normalized by field, year, document type; uses Snowball metrics model</t>
  </si>
  <si>
    <t xml:space="preserve">Self-Citation Treatment</t>
  </si>
  <si>
    <t xml:space="preserve">Institutional self-citations excluded</t>
  </si>
  <si>
    <t xml:space="preserve">Author self-citations may be included (per THE methodology)</t>
  </si>
  <si>
    <t xml:space="preserve">Fractional Counting</t>
  </si>
  <si>
    <t xml:space="preserve">Applied for multi-institution papers</t>
  </si>
  <si>
    <t xml:space="preserve">Each institution receives 1/N credit where N = number of affiliated institutions</t>
  </si>
  <si>
    <t xml:space="preserve">International Co-authorship</t>
  </si>
  <si>
    <t xml:space="preserve">Authors from 2+ distinct countries (Scopus country affiliation)</t>
  </si>
  <si>
    <t xml:space="preserve">Country = country of institutional affiliation, not nationality</t>
  </si>
  <si>
    <t xml:space="preserve">Top Percentile Benchmarks</t>
  </si>
  <si>
    <t xml:space="preserve">Top 10% and Top 1% by citation count</t>
  </si>
  <si>
    <t xml:space="preserve">Calculated against global field-year-doctype citation distribution</t>
  </si>
  <si>
    <t xml:space="preserve">Multi-Domain Journals</t>
  </si>
  <si>
    <t xml:space="preserve">Nature, Science, PNAS, Cell, Lancet, BMJ, NEJM, PLOS ONE, Sci Rep, etc.</t>
  </si>
  <si>
    <t xml:space="preserve">Journals classified under 'Multidisciplinary' ASJC area or spanning 5+ areas</t>
  </si>
  <si>
    <t xml:space="preserve">Altmetric Data</t>
  </si>
  <si>
    <t xml:space="preserve">Altmetric Attention Score (from Altmetric.com)</t>
  </si>
  <si>
    <t xml:space="preserve">Measures online attention: news, policy, social media, Wikipedia, patents</t>
  </si>
  <si>
    <t xml:space="preserve">h-index Scope</t>
  </si>
  <si>
    <t xml:space="preserve">Calculated on interdisciplinary subset only</t>
  </si>
  <si>
    <t xml:space="preserve">Not overall institutional h-index; restricted to 2+ ASJC publications</t>
  </si>
  <si>
    <t xml:space="preserve">Citation Window</t>
  </si>
  <si>
    <t xml:space="preserve">All citations up to analysis cutoff date</t>
  </si>
  <si>
    <t xml:space="preserve">No fixed citation window; accumulative citations to date</t>
  </si>
  <si>
    <t xml:space="preserve">Minimum Publication Threshold</t>
  </si>
  <si>
    <t xml:space="preserve">~150 Scopus publications per year (750 over 5 years)</t>
  </si>
  <si>
    <t xml:space="preserve">Below threshold = insufficient data for reliable ranking</t>
  </si>
  <si>
    <t xml:space="preserve">Currency of Data</t>
  </si>
  <si>
    <t xml:space="preserve">Scopus data snapshot taken ~6 months before ranking publication</t>
  </si>
  <si>
    <t xml:space="preserve">Ensures consistent cut-off across all institutions</t>
  </si>
  <si>
    <t xml:space="preserve">Composite Bibliometric Score (0–100) — 40% of Total Ranking</t>
  </si>
  <si>
    <t xml:space="preserve">Weighted composite of 5 sub-indicators | Weights editable in Row 4</t>
  </si>
  <si>
    <t xml:space="preserve">FWCI Score (A)</t>
  </si>
  <si>
    <t xml:space="preserve">Interdisc. Proportion (B)</t>
  </si>
  <si>
    <t xml:space="preserve">Cross-Field Cit. (C)</t>
  </si>
  <si>
    <t xml:space="preserve">Intl Co-auth. (D)</t>
  </si>
  <si>
    <t xml:space="preserve">Visibility (E)</t>
  </si>
  <si>
    <t xml:space="preserve">Composite Biblio Score (0–100)</t>
  </si>
  <si>
    <t xml:space="preserve">Global Rank</t>
  </si>
  <si>
    <t xml:space="preserve">Weights →</t>
  </si>
  <si>
    <t xml:space="preserve">Benchmarking &amp; Peer Comparison — Bibliometrics</t>
  </si>
  <si>
    <t xml:space="preserve">Compare against peers, aspirational targets, and global top performers</t>
  </si>
  <si>
    <t xml:space="preserve">University / Benchmark</t>
  </si>
  <si>
    <t xml:space="preserve">FWCI</t>
  </si>
  <si>
    <t xml:space="preserve">% Interdisc.</t>
  </si>
  <si>
    <t xml:space="preserve">Cross-Field</t>
  </si>
  <si>
    <t xml:space="preserve">Intl Co-auth.</t>
  </si>
  <si>
    <t xml:space="preserve">Visibility</t>
  </si>
  <si>
    <t xml:space="preserve">Composite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</si>
  <si>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</si>
  <si>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</si>
  <si>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</si>
  <si>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</si>
  <si>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</si>
  <si>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</si>
  <si>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</si>
  <si>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</si>
  <si>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</si>
  <si>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World Average (FWCI=1.0)</t>
  </si>
  <si>
    <t xml:space="preserve">Baseline</t>
  </si>
  <si>
    <t xml:space="preserve">Bibliometrics — Data Quality &amp; Audit Checklist</t>
  </si>
  <si>
    <t xml:space="preserve">Validation checks for all bibliometric data (40% of total ranking)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</si>
  <si>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</si>
  <si>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</si>
  <si>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</si>
  <si>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</si>
  <si>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</si>
  <si>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Scopus Affiliation ID verification</t>
  </si>
  <si>
    <t xml:space="preserve">Institutional Scopus Affiliation ID(s) verified; includes all campuses, merged IDs, and satellite centres</t>
  </si>
  <si>
    <t xml:space="preserve">Analysis window confirmation</t>
  </si>
  <si>
    <t xml:space="preserve">5-year window matches current ranking cycle; start/end dates confirmed with THE</t>
  </si>
  <si>
    <t xml:space="preserve">Document type filter</t>
  </si>
  <si>
    <t xml:space="preserve">Only articles, reviews, conference papers included; editorials, letters, errata excluded from counts</t>
  </si>
  <si>
    <t xml:space="preserve">ASJC classification level</t>
  </si>
  <si>
    <t xml:space="preserve">Interdisciplinary threshold applied at TOP-LEVEL ASJC (27 areas), not sub-area level</t>
  </si>
  <si>
    <t xml:space="preserve">2+ ASJC area threshold</t>
  </si>
  <si>
    <t xml:space="preserve">Every publication counted as 'interdisciplinary' confirmed as spanning 2+ distinct top-level ASJC areas</t>
  </si>
  <si>
    <t xml:space="preserve">FWCI source verification</t>
  </si>
  <si>
    <t xml:space="preserve">FWCI values sourced from SciVal or Scopus API; cross-checked against institutional SciVal dashboard</t>
  </si>
  <si>
    <t xml:space="preserve">Self-citation exclusion</t>
  </si>
  <si>
    <t xml:space="preserve">Institutional self-citations excluded from citation counts and FWCI calculation</t>
  </si>
  <si>
    <t xml:space="preserve">Fractional counting applied</t>
  </si>
  <si>
    <t xml:space="preserve">Multi-institution papers counted fractionally (1/N); verified in publication count methodology</t>
  </si>
  <si>
    <t xml:space="preserve">International co-authorship criteria</t>
  </si>
  <si>
    <t xml:space="preserve">'International' = authors from 2+ distinct countries by Scopus affiliation; verified per paper</t>
  </si>
  <si>
    <t xml:space="preserve">Top percentile benchmarks</t>
  </si>
  <si>
    <t xml:space="preserve">Top 10% and 1% calculated against global field-year-doctype citation distribution (not institutional)</t>
  </si>
  <si>
    <t xml:space="preserve">Multi-domain journal list</t>
  </si>
  <si>
    <t xml:space="preserve">List of journals classified as 'multi-domain' documented and consistent with ASJC 'Multidisciplinary' category</t>
  </si>
  <si>
    <t xml:space="preserve">Altmetric data linkage</t>
  </si>
  <si>
    <t xml:space="preserve">Altmetric scores linked via DOI matching; coverage rate documented (typically 70–80% of Scopus records)</t>
  </si>
  <si>
    <t xml:space="preserve">h-index scope restriction</t>
  </si>
  <si>
    <t xml:space="preserve">h-index calculated only on interdisciplinary subset (2+ ASJC), not all institutional publications</t>
  </si>
  <si>
    <t xml:space="preserve">Minimum publication threshold</t>
  </si>
  <si>
    <t xml:space="preserve">University meets minimum threshold (~150 pubs/year); below-threshold flagged for exclusion</t>
  </si>
  <si>
    <t xml:space="preserve">ASJC matrix reconciliation</t>
  </si>
  <si>
    <t xml:space="preserve">Sum of ASJC distribution matrix consistent with total interdisciplinary publication count</t>
  </si>
  <si>
    <t xml:space="preserve">Cross-field citation direction</t>
  </si>
  <si>
    <t xml:space="preserve">Citation flow direction verified: citing paper's ASJC ≠ cited paper's ASJC</t>
  </si>
  <si>
    <t xml:space="preserve">Data snapshot date</t>
  </si>
  <si>
    <t xml:space="preserve">Scopus data snapshot date documented; consistent across all universities in the analysis</t>
  </si>
  <si>
    <t xml:space="preserve">SciVal cross-validation</t>
  </si>
  <si>
    <t xml:space="preserve">Key metrics (FWCI, output, collaboration %) cross-checked against SciVal institutional overview</t>
  </si>
  <si>
    <t xml:space="preserve">Year-on-year trend check</t>
  </si>
  <si>
    <t xml:space="preserve">Current cycle data compared with previous cycle; anomalous changes (&gt;25%) documented</t>
  </si>
  <si>
    <t xml:space="preserve">Reproducibility test</t>
  </si>
  <si>
    <t xml:space="preserve">Analysis reproducible by independent analyst using Scopus API or SciVal with documented parameters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</si>
</sst>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#,##0"/>
    <numFmt numFmtId="168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7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06064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FFF5D9"/>
        <bgColor rgb="FFF2F2F2"/>
      </patternFill>
    </fill>
    <fill>
      <patternFill patternType="solid">
        <fgColor rgb="FFC8102E"/>
        <bgColor rgb="FF993300"/>
      </patternFill>
    </fill>
    <fill>
      <patternFill patternType="solid">
        <fgColor rgb="FF3F51B5"/>
        <bgColor rgb="FF455A64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2F8F9D"/>
        <bgColor rgb="FF2E75B6"/>
      </patternFill>
    </fill>
    <fill>
      <patternFill patternType="solid">
        <fgColor rgb="FFBF8F00"/>
        <bgColor rgb="FFED7D31"/>
      </patternFill>
    </fill>
    <fill>
      <patternFill patternType="solid">
        <fgColor rgb="FF455A64"/>
        <bgColor rgb="FF404040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6064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455A64"/>
      <rgbColor rgb="FF969696"/>
      <rgbColor rgb="FF1A2E4F"/>
      <rgbColor rgb="FF2F8F9D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064"/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8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84.7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84.7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84.7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11</v>
      </c>
    </row>
    <row r="8" customFormat="false" ht="84.75" hidden="false" customHeight="true" outlineLevel="0" collapsed="false">
      <c r="A8" s="8" t="n">
        <v>4</v>
      </c>
      <c r="B8" s="9" t="s">
        <v>14</v>
      </c>
      <c r="C8" s="10" t="s">
        <v>15</v>
      </c>
      <c r="D8" s="11" t="s">
        <v>16</v>
      </c>
    </row>
    <row r="9" customFormat="false" ht="84.75" hidden="false" customHeight="true" outlineLevel="0" collapsed="false">
      <c r="A9" s="4" t="n">
        <v>5</v>
      </c>
      <c r="B9" s="5" t="s">
        <v>17</v>
      </c>
      <c r="C9" s="6" t="s">
        <v>18</v>
      </c>
      <c r="D9" s="7" t="s">
        <v>19</v>
      </c>
    </row>
    <row r="11" customFormat="false" ht="25.5" hidden="false" customHeight="true" outlineLevel="0" collapsed="false">
      <c r="A11" s="12" t="s">
        <v>20</v>
      </c>
      <c r="B11" s="12"/>
      <c r="C11" s="12"/>
      <c r="D11" s="12"/>
    </row>
    <row r="12" customFormat="false" ht="46.25" hidden="false" customHeight="false" outlineLevel="0" collapsed="false">
      <c r="A12" s="13" t="s">
        <v>21</v>
      </c>
      <c r="B12" s="13" t="s">
        <v>22</v>
      </c>
      <c r="C12" s="13" t="s">
        <v>23</v>
      </c>
      <c r="D12" s="13" t="s">
        <v>24</v>
      </c>
    </row>
    <row r="13" customFormat="false" ht="31.5" hidden="false" customHeight="true" outlineLevel="0" collapsed="false">
      <c r="A13" s="14" t="s">
        <v>25</v>
      </c>
      <c r="B13" s="15" t="s">
        <v>26</v>
      </c>
      <c r="C13" s="15" t="s">
        <v>27</v>
      </c>
      <c r="D13" s="16" t="s">
        <v>28</v>
      </c>
    </row>
    <row r="14" customFormat="false" ht="31.5" hidden="false" customHeight="true" outlineLevel="0" collapsed="false">
      <c r="A14" s="9" t="s">
        <v>29</v>
      </c>
      <c r="B14" s="10" t="s">
        <v>30</v>
      </c>
      <c r="C14" s="10" t="s">
        <v>27</v>
      </c>
      <c r="D14" s="11" t="s">
        <v>8</v>
      </c>
    </row>
    <row r="15" customFormat="false" ht="31.5" hidden="false" customHeight="true" outlineLevel="0" collapsed="false">
      <c r="A15" s="5" t="s">
        <v>31</v>
      </c>
      <c r="B15" s="6" t="s">
        <v>32</v>
      </c>
      <c r="C15" s="6" t="s">
        <v>27</v>
      </c>
      <c r="D15" s="7" t="s">
        <v>11</v>
      </c>
    </row>
    <row r="16" customFormat="false" ht="31.5" hidden="false" customHeight="true" outlineLevel="0" collapsed="false">
      <c r="A16" s="9" t="s">
        <v>33</v>
      </c>
      <c r="B16" s="10" t="s">
        <v>12</v>
      </c>
      <c r="C16" s="10" t="s">
        <v>27</v>
      </c>
      <c r="D16" s="11" t="s">
        <v>11</v>
      </c>
    </row>
    <row r="17" customFormat="false" ht="31.5" hidden="false" customHeight="true" outlineLevel="0" collapsed="false">
      <c r="A17" s="5" t="s">
        <v>34</v>
      </c>
      <c r="B17" s="6" t="s">
        <v>14</v>
      </c>
      <c r="C17" s="6" t="s">
        <v>27</v>
      </c>
      <c r="D17" s="7" t="s">
        <v>16</v>
      </c>
    </row>
    <row r="18" customFormat="false" ht="31.5" hidden="false" customHeight="true" outlineLevel="0" collapsed="false">
      <c r="A18" s="9" t="s">
        <v>35</v>
      </c>
      <c r="B18" s="10" t="s">
        <v>36</v>
      </c>
      <c r="C18" s="10" t="s">
        <v>27</v>
      </c>
      <c r="D18" s="11" t="s">
        <v>19</v>
      </c>
    </row>
    <row r="19" customFormat="false" ht="31.5" hidden="false" customHeight="true" outlineLevel="0" collapsed="false">
      <c r="A19" s="5" t="s">
        <v>37</v>
      </c>
      <c r="B19" s="6" t="s">
        <v>38</v>
      </c>
      <c r="C19" s="6" t="s">
        <v>39</v>
      </c>
      <c r="D19" s="7" t="s">
        <v>40</v>
      </c>
    </row>
    <row r="20" customFormat="false" ht="31.5" hidden="false" customHeight="true" outlineLevel="0" collapsed="false">
      <c r="A20" s="9" t="s">
        <v>41</v>
      </c>
      <c r="B20" s="10" t="s">
        <v>42</v>
      </c>
      <c r="C20" s="10" t="s">
        <v>43</v>
      </c>
      <c r="D20" s="11" t="s">
        <v>40</v>
      </c>
    </row>
    <row r="21" customFormat="false" ht="31.5" hidden="false" customHeight="true" outlineLevel="0" collapsed="false">
      <c r="A21" s="5" t="s">
        <v>44</v>
      </c>
      <c r="B21" s="6" t="s">
        <v>45</v>
      </c>
      <c r="C21" s="6" t="s">
        <v>43</v>
      </c>
      <c r="D21" s="7" t="s">
        <v>40</v>
      </c>
    </row>
    <row r="22" customFormat="false" ht="31.5" hidden="false" customHeight="true" outlineLevel="0" collapsed="false">
      <c r="A22" s="9" t="s">
        <v>46</v>
      </c>
      <c r="B22" s="10" t="s">
        <v>47</v>
      </c>
      <c r="C22" s="10" t="s">
        <v>48</v>
      </c>
      <c r="D22" s="11" t="s">
        <v>49</v>
      </c>
    </row>
    <row r="24" customFormat="false" ht="25.5" hidden="false" customHeight="true" outlineLevel="0" collapsed="false">
      <c r="A24" s="17" t="s">
        <v>50</v>
      </c>
      <c r="B24" s="17"/>
      <c r="C24" s="17"/>
      <c r="D24" s="17"/>
    </row>
    <row r="25" customFormat="false" ht="23.85" hidden="false" customHeight="true" outlineLevel="0" collapsed="false">
      <c r="A25" s="18" t="s">
        <v>51</v>
      </c>
      <c r="B25" s="18"/>
      <c r="C25" s="18"/>
      <c r="D25" s="18"/>
    </row>
    <row r="26" customFormat="false" ht="23.85" hidden="false" customHeight="true" outlineLevel="0" collapsed="false">
      <c r="A26" s="18" t="s">
        <v>52</v>
      </c>
      <c r="B26" s="18"/>
      <c r="C26" s="18"/>
      <c r="D26" s="18"/>
    </row>
    <row r="27" customFormat="false" ht="15" hidden="false" customHeight="true" outlineLevel="0" collapsed="false">
      <c r="A27" s="18" t="s">
        <v>53</v>
      </c>
      <c r="B27" s="18"/>
      <c r="C27" s="18"/>
      <c r="D27" s="18"/>
    </row>
    <row r="28" customFormat="false" ht="15" hidden="false" customHeight="true" outlineLevel="0" collapsed="false">
      <c r="A28" s="18" t="s">
        <v>54</v>
      </c>
      <c r="B28" s="18"/>
      <c r="C28" s="18"/>
      <c r="D28" s="18"/>
    </row>
    <row r="29" customFormat="false" ht="15" hidden="false" customHeight="true" outlineLevel="0" collapsed="false">
      <c r="A29" s="18" t="s">
        <v>55</v>
      </c>
      <c r="B29" s="18"/>
      <c r="C29" s="18"/>
      <c r="D29" s="18"/>
    </row>
    <row r="30" customFormat="false" ht="15" hidden="false" customHeight="true" outlineLevel="0" collapsed="false">
      <c r="A30" s="18" t="s">
        <v>56</v>
      </c>
      <c r="B30" s="18"/>
      <c r="C30" s="18"/>
      <c r="D30" s="18"/>
    </row>
    <row r="31" customFormat="false" ht="15" hidden="false" customHeight="true" outlineLevel="0" collapsed="false">
      <c r="A31" s="18" t="s">
        <v>57</v>
      </c>
      <c r="B31" s="18"/>
      <c r="C31" s="18"/>
      <c r="D31" s="18"/>
    </row>
    <row r="32" customFormat="false" ht="23.85" hidden="false" customHeight="true" outlineLevel="0" collapsed="false">
      <c r="A32" s="18" t="s">
        <v>58</v>
      </c>
      <c r="B32" s="18"/>
      <c r="C32" s="18"/>
      <c r="D32" s="18"/>
    </row>
    <row r="33" customFormat="false" ht="15" hidden="false" customHeight="true" outlineLevel="0" collapsed="false">
      <c r="A33" s="18" t="s">
        <v>59</v>
      </c>
      <c r="B33" s="18"/>
      <c r="C33" s="18"/>
      <c r="D33" s="18"/>
    </row>
    <row r="34" customFormat="false" ht="15" hidden="false" customHeight="true" outlineLevel="0" collapsed="false">
      <c r="A34" s="18" t="s">
        <v>60</v>
      </c>
      <c r="B34" s="18"/>
      <c r="C34" s="18"/>
      <c r="D34" s="18"/>
    </row>
  </sheetData>
  <mergeCells count="14">
    <mergeCell ref="A1:D1"/>
    <mergeCell ref="A2:D2"/>
    <mergeCell ref="A11:D11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14"/>
  </cols>
  <sheetData>
    <row r="1" customFormat="false" ht="33.75" hidden="false" customHeight="true" outlineLevel="0" collapsed="false">
      <c r="A1" s="19" t="s">
        <v>61</v>
      </c>
      <c r="B1" s="19"/>
      <c r="C1" s="19"/>
      <c r="D1" s="19"/>
      <c r="E1" s="19"/>
    </row>
    <row r="2" customFormat="false" ht="25.5" hidden="false" customHeight="true" outlineLevel="0" collapsed="false">
      <c r="A2" s="20" t="s">
        <v>62</v>
      </c>
      <c r="B2" s="20"/>
      <c r="C2" s="20"/>
      <c r="D2" s="20"/>
      <c r="E2" s="20"/>
    </row>
    <row r="3" customFormat="false" ht="23.85" hidden="false" customHeight="false" outlineLevel="0" collapsed="false">
      <c r="A3" s="21" t="s">
        <v>2</v>
      </c>
      <c r="B3" s="21" t="s">
        <v>63</v>
      </c>
      <c r="C3" s="21" t="s">
        <v>64</v>
      </c>
      <c r="D3" s="21" t="s">
        <v>65</v>
      </c>
      <c r="E3" s="21" t="s">
        <v>66</v>
      </c>
    </row>
    <row r="4" customFormat="false" ht="36" hidden="false" customHeight="true" outlineLevel="0" collapsed="false">
      <c r="A4" s="8" t="n">
        <v>1</v>
      </c>
      <c r="B4" s="11" t="n">
        <v>1000</v>
      </c>
      <c r="C4" s="9" t="s">
        <v>67</v>
      </c>
      <c r="D4" s="10" t="s">
        <v>68</v>
      </c>
      <c r="E4" s="22"/>
    </row>
    <row r="5" customFormat="false" ht="36" hidden="false" customHeight="true" outlineLevel="0" collapsed="false">
      <c r="A5" s="4" t="n">
        <v>2</v>
      </c>
      <c r="B5" s="7" t="n">
        <v>1100</v>
      </c>
      <c r="C5" s="5" t="s">
        <v>69</v>
      </c>
      <c r="D5" s="6" t="s">
        <v>70</v>
      </c>
      <c r="E5" s="23"/>
    </row>
    <row r="6" customFormat="false" ht="36" hidden="false" customHeight="true" outlineLevel="0" collapsed="false">
      <c r="A6" s="8" t="n">
        <v>3</v>
      </c>
      <c r="B6" s="11" t="n">
        <v>1200</v>
      </c>
      <c r="C6" s="9" t="s">
        <v>71</v>
      </c>
      <c r="D6" s="10" t="s">
        <v>72</v>
      </c>
      <c r="E6" s="22"/>
    </row>
    <row r="7" customFormat="false" ht="36" hidden="false" customHeight="true" outlineLevel="0" collapsed="false">
      <c r="A7" s="4" t="n">
        <v>4</v>
      </c>
      <c r="B7" s="7" t="n">
        <v>1300</v>
      </c>
      <c r="C7" s="5" t="s">
        <v>73</v>
      </c>
      <c r="D7" s="6" t="s">
        <v>74</v>
      </c>
      <c r="E7" s="23"/>
    </row>
    <row r="8" customFormat="false" ht="36" hidden="false" customHeight="true" outlineLevel="0" collapsed="false">
      <c r="A8" s="8" t="n">
        <v>5</v>
      </c>
      <c r="B8" s="11" t="n">
        <v>1400</v>
      </c>
      <c r="C8" s="9" t="s">
        <v>75</v>
      </c>
      <c r="D8" s="10" t="s">
        <v>76</v>
      </c>
      <c r="E8" s="22"/>
    </row>
    <row r="9" customFormat="false" ht="36" hidden="false" customHeight="true" outlineLevel="0" collapsed="false">
      <c r="A9" s="4" t="n">
        <v>6</v>
      </c>
      <c r="B9" s="7" t="n">
        <v>1500</v>
      </c>
      <c r="C9" s="5" t="s">
        <v>77</v>
      </c>
      <c r="D9" s="6" t="s">
        <v>78</v>
      </c>
      <c r="E9" s="23"/>
    </row>
    <row r="10" customFormat="false" ht="36" hidden="false" customHeight="true" outlineLevel="0" collapsed="false">
      <c r="A10" s="8" t="n">
        <v>7</v>
      </c>
      <c r="B10" s="11" t="n">
        <v>1700</v>
      </c>
      <c r="C10" s="9" t="s">
        <v>79</v>
      </c>
      <c r="D10" s="10" t="s">
        <v>80</v>
      </c>
      <c r="E10" s="22"/>
    </row>
    <row r="11" customFormat="false" ht="36" hidden="false" customHeight="true" outlineLevel="0" collapsed="false">
      <c r="A11" s="4" t="n">
        <v>8</v>
      </c>
      <c r="B11" s="7" t="n">
        <v>1800</v>
      </c>
      <c r="C11" s="5" t="s">
        <v>81</v>
      </c>
      <c r="D11" s="6" t="s">
        <v>82</v>
      </c>
      <c r="E11" s="23"/>
    </row>
    <row r="12" customFormat="false" ht="36" hidden="false" customHeight="true" outlineLevel="0" collapsed="false">
      <c r="A12" s="8" t="n">
        <v>9</v>
      </c>
      <c r="B12" s="11" t="n">
        <v>1900</v>
      </c>
      <c r="C12" s="9" t="s">
        <v>83</v>
      </c>
      <c r="D12" s="10" t="s">
        <v>84</v>
      </c>
      <c r="E12" s="22"/>
    </row>
    <row r="13" customFormat="false" ht="36" hidden="false" customHeight="true" outlineLevel="0" collapsed="false">
      <c r="A13" s="4" t="n">
        <v>10</v>
      </c>
      <c r="B13" s="7" t="n">
        <v>2000</v>
      </c>
      <c r="C13" s="5" t="s">
        <v>85</v>
      </c>
      <c r="D13" s="6" t="s">
        <v>86</v>
      </c>
      <c r="E13" s="23"/>
    </row>
    <row r="14" customFormat="false" ht="36" hidden="false" customHeight="true" outlineLevel="0" collapsed="false">
      <c r="A14" s="8" t="n">
        <v>11</v>
      </c>
      <c r="B14" s="11" t="n">
        <v>2100</v>
      </c>
      <c r="C14" s="9" t="s">
        <v>87</v>
      </c>
      <c r="D14" s="10" t="s">
        <v>88</v>
      </c>
      <c r="E14" s="22"/>
    </row>
    <row r="15" customFormat="false" ht="36" hidden="false" customHeight="true" outlineLevel="0" collapsed="false">
      <c r="A15" s="4" t="n">
        <v>12</v>
      </c>
      <c r="B15" s="7" t="n">
        <v>2200</v>
      </c>
      <c r="C15" s="5" t="s">
        <v>89</v>
      </c>
      <c r="D15" s="6" t="s">
        <v>90</v>
      </c>
      <c r="E15" s="23"/>
    </row>
    <row r="16" customFormat="false" ht="36" hidden="false" customHeight="true" outlineLevel="0" collapsed="false">
      <c r="A16" s="8" t="n">
        <v>13</v>
      </c>
      <c r="B16" s="11" t="n">
        <v>2300</v>
      </c>
      <c r="C16" s="9" t="s">
        <v>91</v>
      </c>
      <c r="D16" s="10" t="s">
        <v>92</v>
      </c>
      <c r="E16" s="22"/>
    </row>
    <row r="17" customFormat="false" ht="36" hidden="false" customHeight="true" outlineLevel="0" collapsed="false">
      <c r="A17" s="4" t="n">
        <v>14</v>
      </c>
      <c r="B17" s="7" t="n">
        <v>2400</v>
      </c>
      <c r="C17" s="5" t="s">
        <v>93</v>
      </c>
      <c r="D17" s="6" t="s">
        <v>94</v>
      </c>
      <c r="E17" s="23"/>
    </row>
    <row r="18" customFormat="false" ht="36" hidden="false" customHeight="true" outlineLevel="0" collapsed="false">
      <c r="A18" s="8" t="n">
        <v>15</v>
      </c>
      <c r="B18" s="11" t="n">
        <v>2700</v>
      </c>
      <c r="C18" s="9" t="s">
        <v>95</v>
      </c>
      <c r="D18" s="10" t="s">
        <v>96</v>
      </c>
      <c r="E18" s="22"/>
    </row>
    <row r="19" customFormat="false" ht="36" hidden="false" customHeight="true" outlineLevel="0" collapsed="false">
      <c r="A19" s="4" t="n">
        <v>16</v>
      </c>
      <c r="B19" s="7" t="n">
        <v>2800</v>
      </c>
      <c r="C19" s="5" t="s">
        <v>97</v>
      </c>
      <c r="D19" s="6" t="s">
        <v>98</v>
      </c>
      <c r="E19" s="23"/>
    </row>
    <row r="20" customFormat="false" ht="36" hidden="false" customHeight="true" outlineLevel="0" collapsed="false">
      <c r="A20" s="8" t="n">
        <v>17</v>
      </c>
      <c r="B20" s="11" t="n">
        <v>2500</v>
      </c>
      <c r="C20" s="9" t="s">
        <v>99</v>
      </c>
      <c r="D20" s="10" t="s">
        <v>100</v>
      </c>
      <c r="E20" s="22"/>
    </row>
    <row r="21" customFormat="false" ht="36" hidden="false" customHeight="true" outlineLevel="0" collapsed="false">
      <c r="A21" s="4" t="n">
        <v>18</v>
      </c>
      <c r="B21" s="7" t="n">
        <v>2600</v>
      </c>
      <c r="C21" s="5" t="s">
        <v>101</v>
      </c>
      <c r="D21" s="6" t="s">
        <v>102</v>
      </c>
      <c r="E21" s="23"/>
    </row>
    <row r="22" customFormat="false" ht="36" hidden="false" customHeight="true" outlineLevel="0" collapsed="false">
      <c r="A22" s="8" t="n">
        <v>19</v>
      </c>
      <c r="B22" s="11" t="n">
        <v>2700</v>
      </c>
      <c r="C22" s="9" t="s">
        <v>103</v>
      </c>
      <c r="D22" s="10" t="s">
        <v>104</v>
      </c>
      <c r="E22" s="22"/>
    </row>
    <row r="23" customFormat="false" ht="36" hidden="false" customHeight="true" outlineLevel="0" collapsed="false">
      <c r="A23" s="4" t="n">
        <v>20</v>
      </c>
      <c r="B23" s="7" t="n">
        <v>3000</v>
      </c>
      <c r="C23" s="5" t="s">
        <v>105</v>
      </c>
      <c r="D23" s="6" t="s">
        <v>106</v>
      </c>
      <c r="E23" s="23"/>
    </row>
    <row r="24" customFormat="false" ht="36" hidden="false" customHeight="true" outlineLevel="0" collapsed="false">
      <c r="A24" s="8" t="n">
        <v>21</v>
      </c>
      <c r="B24" s="11" t="n">
        <v>3100</v>
      </c>
      <c r="C24" s="9" t="s">
        <v>107</v>
      </c>
      <c r="D24" s="10" t="s">
        <v>108</v>
      </c>
      <c r="E24" s="22"/>
    </row>
    <row r="25" customFormat="false" ht="36" hidden="false" customHeight="true" outlineLevel="0" collapsed="false">
      <c r="A25" s="4" t="n">
        <v>22</v>
      </c>
      <c r="B25" s="7" t="n">
        <v>3200</v>
      </c>
      <c r="C25" s="5" t="s">
        <v>109</v>
      </c>
      <c r="D25" s="6" t="s">
        <v>110</v>
      </c>
      <c r="E25" s="23"/>
    </row>
    <row r="26" customFormat="false" ht="36" hidden="false" customHeight="true" outlineLevel="0" collapsed="false">
      <c r="A26" s="8" t="n">
        <v>23</v>
      </c>
      <c r="B26" s="11" t="n">
        <v>3300</v>
      </c>
      <c r="C26" s="9" t="s">
        <v>111</v>
      </c>
      <c r="D26" s="10" t="s">
        <v>112</v>
      </c>
      <c r="E26" s="22"/>
    </row>
    <row r="27" customFormat="false" ht="36" hidden="false" customHeight="true" outlineLevel="0" collapsed="false">
      <c r="A27" s="4" t="n">
        <v>24</v>
      </c>
      <c r="B27" s="7" t="n">
        <v>3400</v>
      </c>
      <c r="C27" s="5" t="s">
        <v>113</v>
      </c>
      <c r="D27" s="6" t="s">
        <v>114</v>
      </c>
      <c r="E27" s="23"/>
    </row>
    <row r="28" customFormat="false" ht="36" hidden="false" customHeight="true" outlineLevel="0" collapsed="false">
      <c r="A28" s="8" t="n">
        <v>25</v>
      </c>
      <c r="B28" s="11" t="n">
        <v>3500</v>
      </c>
      <c r="C28" s="9" t="s">
        <v>115</v>
      </c>
      <c r="D28" s="10" t="s">
        <v>116</v>
      </c>
      <c r="E28" s="22"/>
    </row>
    <row r="29" customFormat="false" ht="36" hidden="false" customHeight="true" outlineLevel="0" collapsed="false">
      <c r="A29" s="4" t="n">
        <v>26</v>
      </c>
      <c r="B29" s="7" t="n">
        <v>3600</v>
      </c>
      <c r="C29" s="5" t="s">
        <v>117</v>
      </c>
      <c r="D29" s="6" t="s">
        <v>118</v>
      </c>
      <c r="E29" s="23"/>
    </row>
    <row r="30" customFormat="false" ht="36" hidden="false" customHeight="true" outlineLevel="0" collapsed="false">
      <c r="A30" s="8" t="n">
        <v>27</v>
      </c>
      <c r="B30" s="11" t="n">
        <v>1000</v>
      </c>
      <c r="C30" s="9" t="s">
        <v>119</v>
      </c>
      <c r="D30" s="10" t="s">
        <v>120</v>
      </c>
      <c r="E30" s="22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18"/>
    <col collapsed="false" customWidth="true" hidden="false" outlineLevel="0" max="11" min="7" style="0" width="16"/>
    <col collapsed="false" customWidth="true" hidden="false" outlineLevel="0" max="12" min="12" style="0" width="14"/>
  </cols>
  <sheetData>
    <row r="1" customFormat="false" ht="33.75" hidden="false" customHeight="true" outlineLevel="0" collapsed="false">
      <c r="A1" s="24" t="s">
        <v>121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customFormat="false" ht="25.5" hidden="false" customHeight="true" outlineLevel="0" collapsed="false">
      <c r="A2" s="17" t="s">
        <v>122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customFormat="false" ht="23.85" hidden="false" customHeight="false" outlineLevel="0" collapsed="false">
      <c r="A3" s="25" t="s">
        <v>123</v>
      </c>
      <c r="B3" s="25" t="s">
        <v>124</v>
      </c>
      <c r="C3" s="25" t="s">
        <v>125</v>
      </c>
      <c r="D3" s="25" t="s">
        <v>126</v>
      </c>
      <c r="E3" s="25" t="s">
        <v>127</v>
      </c>
      <c r="F3" s="25" t="s">
        <v>128</v>
      </c>
      <c r="G3" s="25" t="s">
        <v>129</v>
      </c>
      <c r="H3" s="25" t="s">
        <v>130</v>
      </c>
      <c r="I3" s="25" t="s">
        <v>131</v>
      </c>
      <c r="J3" s="25" t="s">
        <v>132</v>
      </c>
      <c r="K3" s="25" t="s">
        <v>133</v>
      </c>
      <c r="L3" s="25" t="s">
        <v>134</v>
      </c>
    </row>
    <row r="4" customFormat="false" ht="15" hidden="false" customHeight="false" outlineLevel="0" collapsed="false">
      <c r="A4" s="8" t="n">
        <v>1</v>
      </c>
      <c r="B4" s="22"/>
      <c r="C4" s="22"/>
      <c r="D4" s="22"/>
      <c r="E4" s="22"/>
      <c r="F4" s="26" t="n">
        <f aca="false">IF(D4&gt;0,E4/D4*100,0)</f>
        <v>0</v>
      </c>
      <c r="G4" s="22"/>
      <c r="H4" s="26" t="n">
        <f aca="false">IF(D4&gt;0,G4/D4,0)</f>
        <v>0</v>
      </c>
      <c r="I4" s="27"/>
      <c r="J4" s="27"/>
      <c r="K4" s="22"/>
      <c r="L4" s="22"/>
    </row>
    <row r="5" customFormat="false" ht="15" hidden="false" customHeight="false" outlineLevel="0" collapsed="false">
      <c r="A5" s="4" t="n">
        <v>2</v>
      </c>
      <c r="B5" s="23"/>
      <c r="C5" s="23"/>
      <c r="D5" s="23"/>
      <c r="E5" s="23"/>
      <c r="F5" s="28" t="n">
        <f aca="false">IF(D5&gt;0,E5/D5*100,0)</f>
        <v>0</v>
      </c>
      <c r="G5" s="23"/>
      <c r="H5" s="28" t="n">
        <f aca="false">IF(D5&gt;0,G5/D5,0)</f>
        <v>0</v>
      </c>
      <c r="I5" s="29"/>
      <c r="J5" s="29"/>
      <c r="K5" s="23"/>
      <c r="L5" s="23"/>
    </row>
    <row r="6" customFormat="false" ht="15" hidden="false" customHeight="false" outlineLevel="0" collapsed="false">
      <c r="A6" s="8" t="n">
        <v>3</v>
      </c>
      <c r="B6" s="22"/>
      <c r="C6" s="22"/>
      <c r="D6" s="22"/>
      <c r="E6" s="22"/>
      <c r="F6" s="26" t="n">
        <f aca="false">IF(D6&gt;0,E6/D6*100,0)</f>
        <v>0</v>
      </c>
      <c r="G6" s="22"/>
      <c r="H6" s="26" t="n">
        <f aca="false">IF(D6&gt;0,G6/D6,0)</f>
        <v>0</v>
      </c>
      <c r="I6" s="27"/>
      <c r="J6" s="27"/>
      <c r="K6" s="22"/>
      <c r="L6" s="22"/>
    </row>
    <row r="7" customFormat="false" ht="15" hidden="false" customHeight="false" outlineLevel="0" collapsed="false">
      <c r="A7" s="4" t="n">
        <v>4</v>
      </c>
      <c r="B7" s="23"/>
      <c r="C7" s="23"/>
      <c r="D7" s="23"/>
      <c r="E7" s="23"/>
      <c r="F7" s="28" t="n">
        <f aca="false">IF(D7&gt;0,E7/D7*100,0)</f>
        <v>0</v>
      </c>
      <c r="G7" s="23"/>
      <c r="H7" s="28" t="n">
        <f aca="false">IF(D7&gt;0,G7/D7,0)</f>
        <v>0</v>
      </c>
      <c r="I7" s="29"/>
      <c r="J7" s="29"/>
      <c r="K7" s="23"/>
      <c r="L7" s="23"/>
    </row>
    <row r="8" customFormat="false" ht="15" hidden="false" customHeight="false" outlineLevel="0" collapsed="false">
      <c r="A8" s="8" t="n">
        <v>5</v>
      </c>
      <c r="B8" s="22"/>
      <c r="C8" s="22"/>
      <c r="D8" s="22"/>
      <c r="E8" s="22"/>
      <c r="F8" s="26" t="n">
        <f aca="false">IF(D8&gt;0,E8/D8*100,0)</f>
        <v>0</v>
      </c>
      <c r="G8" s="22"/>
      <c r="H8" s="26" t="n">
        <f aca="false">IF(D8&gt;0,G8/D8,0)</f>
        <v>0</v>
      </c>
      <c r="I8" s="27"/>
      <c r="J8" s="27"/>
      <c r="K8" s="22"/>
      <c r="L8" s="22"/>
    </row>
    <row r="9" customFormat="false" ht="15" hidden="false" customHeight="false" outlineLevel="0" collapsed="false">
      <c r="A9" s="4" t="n">
        <v>6</v>
      </c>
      <c r="B9" s="23"/>
      <c r="C9" s="23"/>
      <c r="D9" s="23"/>
      <c r="E9" s="23"/>
      <c r="F9" s="28" t="n">
        <f aca="false">IF(D9&gt;0,E9/D9*100,0)</f>
        <v>0</v>
      </c>
      <c r="G9" s="23"/>
      <c r="H9" s="28" t="n">
        <f aca="false">IF(D9&gt;0,G9/D9,0)</f>
        <v>0</v>
      </c>
      <c r="I9" s="29"/>
      <c r="J9" s="29"/>
      <c r="K9" s="23"/>
      <c r="L9" s="23"/>
    </row>
    <row r="10" customFormat="false" ht="15" hidden="false" customHeight="false" outlineLevel="0" collapsed="false">
      <c r="A10" s="8" t="n">
        <v>7</v>
      </c>
      <c r="B10" s="22"/>
      <c r="C10" s="22"/>
      <c r="D10" s="22"/>
      <c r="E10" s="22"/>
      <c r="F10" s="26" t="n">
        <f aca="false">IF(D10&gt;0,E10/D10*100,0)</f>
        <v>0</v>
      </c>
      <c r="G10" s="22"/>
      <c r="H10" s="26" t="n">
        <f aca="false">IF(D10&gt;0,G10/D10,0)</f>
        <v>0</v>
      </c>
      <c r="I10" s="27"/>
      <c r="J10" s="27"/>
      <c r="K10" s="22"/>
      <c r="L10" s="22"/>
    </row>
    <row r="11" customFormat="false" ht="15" hidden="false" customHeight="false" outlineLevel="0" collapsed="false">
      <c r="A11" s="4" t="n">
        <v>8</v>
      </c>
      <c r="B11" s="23"/>
      <c r="C11" s="23"/>
      <c r="D11" s="23"/>
      <c r="E11" s="23"/>
      <c r="F11" s="28" t="n">
        <f aca="false">IF(D11&gt;0,E11/D11*100,0)</f>
        <v>0</v>
      </c>
      <c r="G11" s="23"/>
      <c r="H11" s="28" t="n">
        <f aca="false">IF(D11&gt;0,G11/D11,0)</f>
        <v>0</v>
      </c>
      <c r="I11" s="29"/>
      <c r="J11" s="29"/>
      <c r="K11" s="23"/>
      <c r="L11" s="23"/>
    </row>
    <row r="12" customFormat="false" ht="15" hidden="false" customHeight="false" outlineLevel="0" collapsed="false">
      <c r="A12" s="8" t="n">
        <v>9</v>
      </c>
      <c r="B12" s="22"/>
      <c r="C12" s="22"/>
      <c r="D12" s="22"/>
      <c r="E12" s="22"/>
      <c r="F12" s="26" t="n">
        <f aca="false">IF(D12&gt;0,E12/D12*100,0)</f>
        <v>0</v>
      </c>
      <c r="G12" s="22"/>
      <c r="H12" s="26" t="n">
        <f aca="false">IF(D12&gt;0,G12/D12,0)</f>
        <v>0</v>
      </c>
      <c r="I12" s="27"/>
      <c r="J12" s="27"/>
      <c r="K12" s="22"/>
      <c r="L12" s="22"/>
    </row>
    <row r="13" customFormat="false" ht="15" hidden="false" customHeight="false" outlineLevel="0" collapsed="false">
      <c r="A13" s="4" t="n">
        <v>10</v>
      </c>
      <c r="B13" s="23"/>
      <c r="C13" s="23"/>
      <c r="D13" s="23"/>
      <c r="E13" s="23"/>
      <c r="F13" s="28" t="n">
        <f aca="false">IF(D13&gt;0,E13/D13*100,0)</f>
        <v>0</v>
      </c>
      <c r="G13" s="23"/>
      <c r="H13" s="28" t="n">
        <f aca="false">IF(D13&gt;0,G13/D13,0)</f>
        <v>0</v>
      </c>
      <c r="I13" s="29"/>
      <c r="J13" s="29"/>
      <c r="K13" s="23"/>
      <c r="L13" s="23"/>
    </row>
    <row r="14" customFormat="false" ht="15" hidden="false" customHeight="false" outlineLevel="0" collapsed="false">
      <c r="A14" s="8" t="n">
        <v>11</v>
      </c>
      <c r="B14" s="22"/>
      <c r="C14" s="22"/>
      <c r="D14" s="22"/>
      <c r="E14" s="22"/>
      <c r="F14" s="26" t="n">
        <f aca="false">IF(D14&gt;0,E14/D14*100,0)</f>
        <v>0</v>
      </c>
      <c r="G14" s="22"/>
      <c r="H14" s="26" t="n">
        <f aca="false">IF(D14&gt;0,G14/D14,0)</f>
        <v>0</v>
      </c>
      <c r="I14" s="27"/>
      <c r="J14" s="27"/>
      <c r="K14" s="22"/>
      <c r="L14" s="22"/>
    </row>
    <row r="15" customFormat="false" ht="15" hidden="false" customHeight="false" outlineLevel="0" collapsed="false">
      <c r="A15" s="4" t="n">
        <v>12</v>
      </c>
      <c r="B15" s="23"/>
      <c r="C15" s="23"/>
      <c r="D15" s="23"/>
      <c r="E15" s="23"/>
      <c r="F15" s="28" t="n">
        <f aca="false">IF(D15&gt;0,E15/D15*100,0)</f>
        <v>0</v>
      </c>
      <c r="G15" s="23"/>
      <c r="H15" s="28" t="n">
        <f aca="false">IF(D15&gt;0,G15/D15,0)</f>
        <v>0</v>
      </c>
      <c r="I15" s="29"/>
      <c r="J15" s="29"/>
      <c r="K15" s="23"/>
      <c r="L15" s="23"/>
    </row>
    <row r="16" customFormat="false" ht="15" hidden="false" customHeight="false" outlineLevel="0" collapsed="false">
      <c r="A16" s="8" t="n">
        <v>13</v>
      </c>
      <c r="B16" s="22"/>
      <c r="C16" s="22"/>
      <c r="D16" s="22"/>
      <c r="E16" s="22"/>
      <c r="F16" s="26" t="n">
        <f aca="false">IF(D16&gt;0,E16/D16*100,0)</f>
        <v>0</v>
      </c>
      <c r="G16" s="22"/>
      <c r="H16" s="26" t="n">
        <f aca="false">IF(D16&gt;0,G16/D16,0)</f>
        <v>0</v>
      </c>
      <c r="I16" s="27"/>
      <c r="J16" s="27"/>
      <c r="K16" s="22"/>
      <c r="L16" s="22"/>
    </row>
    <row r="17" customFormat="false" ht="15" hidden="false" customHeight="false" outlineLevel="0" collapsed="false">
      <c r="A17" s="4" t="n">
        <v>14</v>
      </c>
      <c r="B17" s="23"/>
      <c r="C17" s="23"/>
      <c r="D17" s="23"/>
      <c r="E17" s="23"/>
      <c r="F17" s="28" t="n">
        <f aca="false">IF(D17&gt;0,E17/D17*100,0)</f>
        <v>0</v>
      </c>
      <c r="G17" s="23"/>
      <c r="H17" s="28" t="n">
        <f aca="false">IF(D17&gt;0,G17/D17,0)</f>
        <v>0</v>
      </c>
      <c r="I17" s="29"/>
      <c r="J17" s="29"/>
      <c r="K17" s="23"/>
      <c r="L17" s="23"/>
    </row>
    <row r="18" customFormat="false" ht="15" hidden="false" customHeight="false" outlineLevel="0" collapsed="false">
      <c r="A18" s="8" t="n">
        <v>15</v>
      </c>
      <c r="B18" s="22"/>
      <c r="C18" s="22"/>
      <c r="D18" s="22"/>
      <c r="E18" s="22"/>
      <c r="F18" s="26" t="n">
        <f aca="false">IF(D18&gt;0,E18/D18*100,0)</f>
        <v>0</v>
      </c>
      <c r="G18" s="22"/>
      <c r="H18" s="26" t="n">
        <f aca="false">IF(D18&gt;0,G18/D18,0)</f>
        <v>0</v>
      </c>
      <c r="I18" s="27"/>
      <c r="J18" s="27"/>
      <c r="K18" s="22"/>
      <c r="L18" s="22"/>
    </row>
    <row r="19" customFormat="false" ht="15" hidden="false" customHeight="false" outlineLevel="0" collapsed="false">
      <c r="A19" s="4" t="n">
        <v>16</v>
      </c>
      <c r="B19" s="23"/>
      <c r="C19" s="23"/>
      <c r="D19" s="23"/>
      <c r="E19" s="23"/>
      <c r="F19" s="28" t="n">
        <f aca="false">IF(D19&gt;0,E19/D19*100,0)</f>
        <v>0</v>
      </c>
      <c r="G19" s="23"/>
      <c r="H19" s="28" t="n">
        <f aca="false">IF(D19&gt;0,G19/D19,0)</f>
        <v>0</v>
      </c>
      <c r="I19" s="29"/>
      <c r="J19" s="29"/>
      <c r="K19" s="23"/>
      <c r="L19" s="23"/>
    </row>
    <row r="20" customFormat="false" ht="15" hidden="false" customHeight="false" outlineLevel="0" collapsed="false">
      <c r="A20" s="8" t="n">
        <v>17</v>
      </c>
      <c r="B20" s="22"/>
      <c r="C20" s="22"/>
      <c r="D20" s="22"/>
      <c r="E20" s="22"/>
      <c r="F20" s="26" t="n">
        <f aca="false">IF(D20&gt;0,E20/D20*100,0)</f>
        <v>0</v>
      </c>
      <c r="G20" s="22"/>
      <c r="H20" s="26" t="n">
        <f aca="false">IF(D20&gt;0,G20/D20,0)</f>
        <v>0</v>
      </c>
      <c r="I20" s="27"/>
      <c r="J20" s="27"/>
      <c r="K20" s="22"/>
      <c r="L20" s="22"/>
    </row>
    <row r="21" customFormat="false" ht="15" hidden="false" customHeight="false" outlineLevel="0" collapsed="false">
      <c r="A21" s="4" t="n">
        <v>18</v>
      </c>
      <c r="B21" s="23"/>
      <c r="C21" s="23"/>
      <c r="D21" s="23"/>
      <c r="E21" s="23"/>
      <c r="F21" s="28" t="n">
        <f aca="false">IF(D21&gt;0,E21/D21*100,0)</f>
        <v>0</v>
      </c>
      <c r="G21" s="23"/>
      <c r="H21" s="28" t="n">
        <f aca="false">IF(D21&gt;0,G21/D21,0)</f>
        <v>0</v>
      </c>
      <c r="I21" s="29"/>
      <c r="J21" s="29"/>
      <c r="K21" s="23"/>
      <c r="L21" s="23"/>
    </row>
    <row r="22" customFormat="false" ht="15" hidden="false" customHeight="false" outlineLevel="0" collapsed="false">
      <c r="A22" s="8" t="n">
        <v>19</v>
      </c>
      <c r="B22" s="22"/>
      <c r="C22" s="22"/>
      <c r="D22" s="22"/>
      <c r="E22" s="22"/>
      <c r="F22" s="26" t="n">
        <f aca="false">IF(D22&gt;0,E22/D22*100,0)</f>
        <v>0</v>
      </c>
      <c r="G22" s="22"/>
      <c r="H22" s="26" t="n">
        <f aca="false">IF(D22&gt;0,G22/D22,0)</f>
        <v>0</v>
      </c>
      <c r="I22" s="27"/>
      <c r="J22" s="27"/>
      <c r="K22" s="22"/>
      <c r="L22" s="22"/>
    </row>
    <row r="23" customFormat="false" ht="15" hidden="false" customHeight="false" outlineLevel="0" collapsed="false">
      <c r="A23" s="4" t="n">
        <v>20</v>
      </c>
      <c r="B23" s="23"/>
      <c r="C23" s="23"/>
      <c r="D23" s="23"/>
      <c r="E23" s="23"/>
      <c r="F23" s="28" t="n">
        <f aca="false">IF(D23&gt;0,E23/D23*100,0)</f>
        <v>0</v>
      </c>
      <c r="G23" s="23"/>
      <c r="H23" s="28" t="n">
        <f aca="false">IF(D23&gt;0,G23/D23,0)</f>
        <v>0</v>
      </c>
      <c r="I23" s="29"/>
      <c r="J23" s="29"/>
      <c r="K23" s="23"/>
      <c r="L23" s="23"/>
    </row>
    <row r="24" customFormat="false" ht="15" hidden="false" customHeight="false" outlineLevel="0" collapsed="false">
      <c r="A24" s="8" t="n">
        <v>21</v>
      </c>
      <c r="B24" s="22"/>
      <c r="C24" s="22"/>
      <c r="D24" s="22"/>
      <c r="E24" s="22"/>
      <c r="F24" s="26" t="n">
        <f aca="false">IF(D24&gt;0,E24/D24*100,0)</f>
        <v>0</v>
      </c>
      <c r="G24" s="22"/>
      <c r="H24" s="26" t="n">
        <f aca="false">IF(D24&gt;0,G24/D24,0)</f>
        <v>0</v>
      </c>
      <c r="I24" s="27"/>
      <c r="J24" s="27"/>
      <c r="K24" s="22"/>
      <c r="L24" s="22"/>
    </row>
    <row r="25" customFormat="false" ht="15" hidden="false" customHeight="false" outlineLevel="0" collapsed="false">
      <c r="A25" s="4" t="n">
        <v>22</v>
      </c>
      <c r="B25" s="23"/>
      <c r="C25" s="23"/>
      <c r="D25" s="23"/>
      <c r="E25" s="23"/>
      <c r="F25" s="28" t="n">
        <f aca="false">IF(D25&gt;0,E25/D25*100,0)</f>
        <v>0</v>
      </c>
      <c r="G25" s="23"/>
      <c r="H25" s="28" t="n">
        <f aca="false">IF(D25&gt;0,G25/D25,0)</f>
        <v>0</v>
      </c>
      <c r="I25" s="29"/>
      <c r="J25" s="29"/>
      <c r="K25" s="23"/>
      <c r="L25" s="23"/>
    </row>
    <row r="26" customFormat="false" ht="15" hidden="false" customHeight="false" outlineLevel="0" collapsed="false">
      <c r="A26" s="8" t="n">
        <v>23</v>
      </c>
      <c r="B26" s="22"/>
      <c r="C26" s="22"/>
      <c r="D26" s="22"/>
      <c r="E26" s="22"/>
      <c r="F26" s="26" t="n">
        <f aca="false">IF(D26&gt;0,E26/D26*100,0)</f>
        <v>0</v>
      </c>
      <c r="G26" s="22"/>
      <c r="H26" s="26" t="n">
        <f aca="false">IF(D26&gt;0,G26/D26,0)</f>
        <v>0</v>
      </c>
      <c r="I26" s="27"/>
      <c r="J26" s="27"/>
      <c r="K26" s="22"/>
      <c r="L26" s="22"/>
    </row>
    <row r="27" customFormat="false" ht="15" hidden="false" customHeight="false" outlineLevel="0" collapsed="false">
      <c r="A27" s="4" t="n">
        <v>24</v>
      </c>
      <c r="B27" s="23"/>
      <c r="C27" s="23"/>
      <c r="D27" s="23"/>
      <c r="E27" s="23"/>
      <c r="F27" s="28" t="n">
        <f aca="false">IF(D27&gt;0,E27/D27*100,0)</f>
        <v>0</v>
      </c>
      <c r="G27" s="23"/>
      <c r="H27" s="28" t="n">
        <f aca="false">IF(D27&gt;0,G27/D27,0)</f>
        <v>0</v>
      </c>
      <c r="I27" s="29"/>
      <c r="J27" s="29"/>
      <c r="K27" s="23"/>
      <c r="L27" s="23"/>
    </row>
    <row r="28" customFormat="false" ht="15" hidden="false" customHeight="false" outlineLevel="0" collapsed="false">
      <c r="A28" s="8" t="n">
        <v>25</v>
      </c>
      <c r="B28" s="22"/>
      <c r="C28" s="22"/>
      <c r="D28" s="22"/>
      <c r="E28" s="22"/>
      <c r="F28" s="26" t="n">
        <f aca="false">IF(D28&gt;0,E28/D28*100,0)</f>
        <v>0</v>
      </c>
      <c r="G28" s="22"/>
      <c r="H28" s="26" t="n">
        <f aca="false">IF(D28&gt;0,G28/D28,0)</f>
        <v>0</v>
      </c>
      <c r="I28" s="27"/>
      <c r="J28" s="27"/>
      <c r="K28" s="22"/>
      <c r="L28" s="22"/>
    </row>
    <row r="29" customFormat="false" ht="15" hidden="false" customHeight="false" outlineLevel="0" collapsed="false">
      <c r="A29" s="4" t="n">
        <v>26</v>
      </c>
      <c r="B29" s="23"/>
      <c r="C29" s="23"/>
      <c r="D29" s="23"/>
      <c r="E29" s="23"/>
      <c r="F29" s="28" t="n">
        <f aca="false">IF(D29&gt;0,E29/D29*100,0)</f>
        <v>0</v>
      </c>
      <c r="G29" s="23"/>
      <c r="H29" s="28" t="n">
        <f aca="false">IF(D29&gt;0,G29/D29,0)</f>
        <v>0</v>
      </c>
      <c r="I29" s="29"/>
      <c r="J29" s="29"/>
      <c r="K29" s="23"/>
      <c r="L29" s="23"/>
    </row>
    <row r="30" customFormat="false" ht="15" hidden="false" customHeight="false" outlineLevel="0" collapsed="false">
      <c r="A30" s="8" t="n">
        <v>27</v>
      </c>
      <c r="B30" s="22"/>
      <c r="C30" s="22"/>
      <c r="D30" s="22"/>
      <c r="E30" s="22"/>
      <c r="F30" s="26" t="n">
        <f aca="false">IF(D30&gt;0,E30/D30*100,0)</f>
        <v>0</v>
      </c>
      <c r="G30" s="22"/>
      <c r="H30" s="26" t="n">
        <f aca="false">IF(D30&gt;0,G30/D30,0)</f>
        <v>0</v>
      </c>
      <c r="I30" s="27"/>
      <c r="J30" s="27"/>
      <c r="K30" s="22"/>
      <c r="L30" s="22"/>
    </row>
    <row r="31" customFormat="false" ht="15" hidden="false" customHeight="false" outlineLevel="0" collapsed="false">
      <c r="A31" s="4" t="n">
        <v>28</v>
      </c>
      <c r="B31" s="23"/>
      <c r="C31" s="23"/>
      <c r="D31" s="23"/>
      <c r="E31" s="23"/>
      <c r="F31" s="28" t="n">
        <f aca="false">IF(D31&gt;0,E31/D31*100,0)</f>
        <v>0</v>
      </c>
      <c r="G31" s="23"/>
      <c r="H31" s="28" t="n">
        <f aca="false">IF(D31&gt;0,G31/D31,0)</f>
        <v>0</v>
      </c>
      <c r="I31" s="29"/>
      <c r="J31" s="29"/>
      <c r="K31" s="23"/>
      <c r="L31" s="23"/>
    </row>
    <row r="32" customFormat="false" ht="15" hidden="false" customHeight="false" outlineLevel="0" collapsed="false">
      <c r="A32" s="8" t="n">
        <v>29</v>
      </c>
      <c r="B32" s="22"/>
      <c r="C32" s="22"/>
      <c r="D32" s="22"/>
      <c r="E32" s="22"/>
      <c r="F32" s="26" t="n">
        <f aca="false">IF(D32&gt;0,E32/D32*100,0)</f>
        <v>0</v>
      </c>
      <c r="G32" s="22"/>
      <c r="H32" s="26" t="n">
        <f aca="false">IF(D32&gt;0,G32/D32,0)</f>
        <v>0</v>
      </c>
      <c r="I32" s="27"/>
      <c r="J32" s="27"/>
      <c r="K32" s="22"/>
      <c r="L32" s="22"/>
    </row>
    <row r="33" customFormat="false" ht="15" hidden="false" customHeight="false" outlineLevel="0" collapsed="false">
      <c r="A33" s="4" t="n">
        <v>30</v>
      </c>
      <c r="B33" s="23"/>
      <c r="C33" s="23"/>
      <c r="D33" s="23"/>
      <c r="E33" s="23"/>
      <c r="F33" s="28" t="n">
        <f aca="false">IF(D33&gt;0,E33/D33*100,0)</f>
        <v>0</v>
      </c>
      <c r="G33" s="23"/>
      <c r="H33" s="28" t="n">
        <f aca="false">IF(D33&gt;0,G33/D33,0)</f>
        <v>0</v>
      </c>
      <c r="I33" s="29"/>
      <c r="J33" s="29"/>
      <c r="K33" s="23"/>
      <c r="L33" s="23"/>
    </row>
    <row r="35" customFormat="false" ht="25.5" hidden="false" customHeight="true" outlineLevel="0" collapsed="false">
      <c r="A35" s="30" t="s">
        <v>135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</row>
    <row r="36" customFormat="false" ht="15" hidden="false" customHeight="true" outlineLevel="0" collapsed="false">
      <c r="A36" s="31" t="s">
        <v>136</v>
      </c>
      <c r="B36" s="31"/>
      <c r="C36" s="31"/>
      <c r="D36" s="31"/>
      <c r="E36" s="31"/>
      <c r="F36" s="32" t="n">
        <f aca="false">SUM(D4:D33)</f>
        <v>0</v>
      </c>
      <c r="G36" s="33"/>
      <c r="H36" s="33"/>
      <c r="I36" s="33"/>
      <c r="J36" s="33"/>
      <c r="K36" s="33"/>
      <c r="L36" s="33"/>
    </row>
    <row r="37" customFormat="false" ht="15" hidden="false" customHeight="true" outlineLevel="0" collapsed="false">
      <c r="A37" s="31" t="s">
        <v>137</v>
      </c>
      <c r="B37" s="31"/>
      <c r="C37" s="31"/>
      <c r="D37" s="31"/>
      <c r="E37" s="31"/>
      <c r="F37" s="32" t="n">
        <f aca="false">SUM(E4:E33)</f>
        <v>0</v>
      </c>
      <c r="G37" s="33"/>
      <c r="H37" s="33"/>
      <c r="I37" s="33"/>
      <c r="J37" s="33"/>
      <c r="K37" s="33"/>
      <c r="L37" s="33"/>
    </row>
    <row r="38" customFormat="false" ht="15" hidden="false" customHeight="true" outlineLevel="0" collapsed="false">
      <c r="A38" s="31" t="s">
        <v>138</v>
      </c>
      <c r="B38" s="31"/>
      <c r="C38" s="31"/>
      <c r="D38" s="31"/>
      <c r="E38" s="31"/>
      <c r="F38" s="34" t="n">
        <f aca="false">IF(COUNTA(F4:F33)&gt;0,AVERAGE(F4:F33),0)</f>
        <v>0</v>
      </c>
      <c r="G38" s="33"/>
      <c r="H38" s="33"/>
      <c r="I38" s="33"/>
      <c r="J38" s="33"/>
      <c r="K38" s="33"/>
      <c r="L38" s="33"/>
    </row>
    <row r="39" customFormat="false" ht="15" hidden="false" customHeight="true" outlineLevel="0" collapsed="false">
      <c r="A39" s="31" t="s">
        <v>139</v>
      </c>
      <c r="B39" s="31"/>
      <c r="C39" s="31"/>
      <c r="D39" s="31"/>
      <c r="E39" s="31"/>
      <c r="F39" s="35" t="n">
        <f aca="false">IF(COUNTA(I4:I33)&gt;0,AVERAGE(I4:I33),0)</f>
        <v>0</v>
      </c>
      <c r="G39" s="33"/>
      <c r="H39" s="33"/>
      <c r="I39" s="33"/>
      <c r="J39" s="33"/>
      <c r="K39" s="33"/>
      <c r="L39" s="33"/>
    </row>
    <row r="40" customFormat="false" ht="15" hidden="false" customHeight="true" outlineLevel="0" collapsed="false">
      <c r="A40" s="31" t="s">
        <v>140</v>
      </c>
      <c r="B40" s="31"/>
      <c r="C40" s="31"/>
      <c r="D40" s="31"/>
      <c r="E40" s="31"/>
      <c r="F40" s="35" t="n">
        <f aca="false">IF(COUNTA(J4:J33)&gt;0,AVERAGE(J4:J33),0)</f>
        <v>0</v>
      </c>
      <c r="G40" s="33"/>
      <c r="H40" s="33"/>
      <c r="I40" s="33"/>
      <c r="J40" s="33"/>
      <c r="K40" s="33"/>
      <c r="L40" s="33"/>
    </row>
    <row r="41" customFormat="false" ht="15" hidden="false" customHeight="true" outlineLevel="0" collapsed="false">
      <c r="A41" s="31" t="s">
        <v>141</v>
      </c>
      <c r="B41" s="31"/>
      <c r="C41" s="31"/>
      <c r="D41" s="31"/>
      <c r="E41" s="31"/>
      <c r="F41" s="35" t="n">
        <f aca="false">MAX(J4:J33)</f>
        <v>0</v>
      </c>
      <c r="G41" s="33"/>
      <c r="H41" s="33"/>
      <c r="I41" s="33"/>
      <c r="J41" s="33"/>
      <c r="K41" s="33"/>
      <c r="L41" s="33"/>
    </row>
  </sheetData>
  <mergeCells count="9">
    <mergeCell ref="A1:L1"/>
    <mergeCell ref="A2:L2"/>
    <mergeCell ref="A35:L35"/>
    <mergeCell ref="A36:E36"/>
    <mergeCell ref="A37:E37"/>
    <mergeCell ref="A38:E38"/>
    <mergeCell ref="A39:E39"/>
    <mergeCell ref="A40:E40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A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7" min="2" style="0" width="7"/>
    <col collapsed="false" customWidth="true" hidden="false" outlineLevel="0" max="28" min="28" style="0" width="12"/>
    <col collapsed="false" customWidth="true" hidden="false" outlineLevel="0" max="29" min="29" style="0" width="14"/>
  </cols>
  <sheetData>
    <row r="1" customFormat="false" ht="33.75" hidden="false" customHeight="true" outlineLevel="0" collapsed="false">
      <c r="A1" s="36" t="s">
        <v>142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customFormat="false" ht="25.5" hidden="false" customHeight="true" outlineLevel="0" collapsed="false">
      <c r="A2" s="37" t="s">
        <v>143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</row>
    <row r="4" customFormat="false" ht="15" hidden="false" customHeight="false" outlineLevel="0" collapsed="false">
      <c r="A4" s="38" t="s">
        <v>144</v>
      </c>
      <c r="B4" s="39" t="s">
        <v>145</v>
      </c>
      <c r="C4" s="39" t="s">
        <v>146</v>
      </c>
      <c r="D4" s="39" t="s">
        <v>147</v>
      </c>
      <c r="E4" s="39" t="s">
        <v>148</v>
      </c>
      <c r="F4" s="39" t="s">
        <v>149</v>
      </c>
      <c r="G4" s="39" t="s">
        <v>150</v>
      </c>
      <c r="H4" s="39" t="s">
        <v>151</v>
      </c>
      <c r="I4" s="39" t="s">
        <v>152</v>
      </c>
      <c r="J4" s="39" t="s">
        <v>153</v>
      </c>
      <c r="K4" s="39" t="s">
        <v>154</v>
      </c>
      <c r="L4" s="39" t="s">
        <v>155</v>
      </c>
      <c r="M4" s="39" t="s">
        <v>156</v>
      </c>
      <c r="N4" s="39" t="s">
        <v>157</v>
      </c>
      <c r="O4" s="39" t="s">
        <v>158</v>
      </c>
      <c r="P4" s="39" t="s">
        <v>159</v>
      </c>
      <c r="Q4" s="39" t="s">
        <v>160</v>
      </c>
      <c r="R4" s="39" t="s">
        <v>161</v>
      </c>
      <c r="S4" s="39" t="s">
        <v>162</v>
      </c>
      <c r="T4" s="39" t="s">
        <v>163</v>
      </c>
      <c r="U4" s="39" t="s">
        <v>164</v>
      </c>
      <c r="V4" s="39" t="s">
        <v>165</v>
      </c>
      <c r="W4" s="39" t="s">
        <v>166</v>
      </c>
      <c r="X4" s="39" t="s">
        <v>167</v>
      </c>
      <c r="Y4" s="39" t="s">
        <v>168</v>
      </c>
      <c r="Z4" s="39" t="s">
        <v>169</v>
      </c>
      <c r="AA4" s="39" t="s">
        <v>170</v>
      </c>
      <c r="AB4" s="13" t="s">
        <v>171</v>
      </c>
      <c r="AC4" s="13" t="s">
        <v>172</v>
      </c>
    </row>
    <row r="5" customFormat="false" ht="15" hidden="false" customHeight="false" outlineLevel="0" collapsed="false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7" t="n">
        <f aca="false">SUM(B5:AA5)</f>
        <v>0</v>
      </c>
      <c r="AC5" s="7" t="n">
        <f aca="false">COUNTIF(B5:AA5,"&gt;0")</f>
        <v>0</v>
      </c>
    </row>
    <row r="6" customFormat="false" ht="15" hidden="false" customHeight="false" outlineLevel="0" collapsed="false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11" t="n">
        <f aca="false">SUM(B6:AA6)</f>
        <v>0</v>
      </c>
      <c r="AC6" s="11" t="n">
        <f aca="false">COUNTIF(B6:AA6,"&gt;0")</f>
        <v>0</v>
      </c>
    </row>
    <row r="7" customFormat="false" ht="15" hidden="false" customHeight="false" outlineLevel="0" collapsed="false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7" t="n">
        <f aca="false">SUM(B7:AA7)</f>
        <v>0</v>
      </c>
      <c r="AC7" s="7" t="n">
        <f aca="false">COUNTIF(B7:AA7,"&gt;0")</f>
        <v>0</v>
      </c>
    </row>
    <row r="8" customFormat="false" ht="15" hidden="false" customHeight="false" outlineLevel="0" collapsed="false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11" t="n">
        <f aca="false">SUM(B8:AA8)</f>
        <v>0</v>
      </c>
      <c r="AC8" s="11" t="n">
        <f aca="false">COUNTIF(B8:AA8,"&gt;0")</f>
        <v>0</v>
      </c>
    </row>
    <row r="9" customFormat="false" ht="15" hidden="false" customHeight="false" outlineLevel="0" collapsed="false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7" t="n">
        <f aca="false">SUM(B9:AA9)</f>
        <v>0</v>
      </c>
      <c r="AC9" s="7" t="n">
        <f aca="false">COUNTIF(B9:AA9,"&gt;0")</f>
        <v>0</v>
      </c>
    </row>
    <row r="10" customFormat="false" ht="15" hidden="false" customHeight="fals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11" t="n">
        <f aca="false">SUM(B10:AA10)</f>
        <v>0</v>
      </c>
      <c r="AC10" s="11" t="n">
        <f aca="false">COUNTIF(B10:AA10,"&gt;0")</f>
        <v>0</v>
      </c>
    </row>
    <row r="11" customFormat="false" ht="15" hidden="false" customHeight="false" outlineLevel="0" collapsed="false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7" t="n">
        <f aca="false">SUM(B11:AA11)</f>
        <v>0</v>
      </c>
      <c r="AC11" s="7" t="n">
        <f aca="false">COUNTIF(B11:AA11,"&gt;0")</f>
        <v>0</v>
      </c>
    </row>
    <row r="12" customFormat="false" ht="15" hidden="false" customHeight="fals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11" t="n">
        <f aca="false">SUM(B12:AA12)</f>
        <v>0</v>
      </c>
      <c r="AC12" s="11" t="n">
        <f aca="false">COUNTIF(B12:AA12,"&gt;0")</f>
        <v>0</v>
      </c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7" t="n">
        <f aca="false">SUM(B13:AA13)</f>
        <v>0</v>
      </c>
      <c r="AC13" s="7" t="n">
        <f aca="false">COUNTIF(B13:AA13,"&gt;0")</f>
        <v>0</v>
      </c>
    </row>
    <row r="14" customFormat="false" ht="15" hidden="false" customHeight="fals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11" t="n">
        <f aca="false">SUM(B14:AA14)</f>
        <v>0</v>
      </c>
      <c r="AC14" s="11" t="n">
        <f aca="false">COUNTIF(B14:AA14,"&gt;0")</f>
        <v>0</v>
      </c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7" t="n">
        <f aca="false">SUM(B15:AA15)</f>
        <v>0</v>
      </c>
      <c r="AC15" s="7" t="n">
        <f aca="false">COUNTIF(B15:AA15,"&gt;0")</f>
        <v>0</v>
      </c>
    </row>
    <row r="16" customFormat="false" ht="15" hidden="false" customHeight="fals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11" t="n">
        <f aca="false">SUM(B16:AA16)</f>
        <v>0</v>
      </c>
      <c r="AC16" s="11" t="n">
        <f aca="false">COUNTIF(B16:AA16,"&gt;0")</f>
        <v>0</v>
      </c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7" t="n">
        <f aca="false">SUM(B17:AA17)</f>
        <v>0</v>
      </c>
      <c r="AC17" s="7" t="n">
        <f aca="false">COUNTIF(B17:AA17,"&gt;0")</f>
        <v>0</v>
      </c>
    </row>
    <row r="18" customFormat="false" ht="15" hidden="false" customHeight="fals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11" t="n">
        <f aca="false">SUM(B18:AA18)</f>
        <v>0</v>
      </c>
      <c r="AC18" s="11" t="n">
        <f aca="false">COUNTIF(B18:AA18,"&gt;0")</f>
        <v>0</v>
      </c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7" t="n">
        <f aca="false">SUM(B19:AA19)</f>
        <v>0</v>
      </c>
      <c r="AC19" s="7" t="n">
        <f aca="false">COUNTIF(B19:AA19,"&gt;0")</f>
        <v>0</v>
      </c>
    </row>
    <row r="20" customFormat="false" ht="15" hidden="false" customHeight="fals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11" t="n">
        <f aca="false">SUM(B20:AA20)</f>
        <v>0</v>
      </c>
      <c r="AC20" s="11" t="n">
        <f aca="false">COUNTIF(B20:AA20,"&gt;0")</f>
        <v>0</v>
      </c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7" t="n">
        <f aca="false">SUM(B21:AA21)</f>
        <v>0</v>
      </c>
      <c r="AC21" s="7" t="n">
        <f aca="false">COUNTIF(B21:AA21,"&gt;0")</f>
        <v>0</v>
      </c>
    </row>
    <row r="22" customFormat="false" ht="15" hidden="false" customHeight="fals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11" t="n">
        <f aca="false">SUM(B22:AA22)</f>
        <v>0</v>
      </c>
      <c r="AC22" s="11" t="n">
        <f aca="false">COUNTIF(B22:AA22,"&gt;0")</f>
        <v>0</v>
      </c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7" t="n">
        <f aca="false">SUM(B23:AA23)</f>
        <v>0</v>
      </c>
      <c r="AC23" s="7" t="n">
        <f aca="false">COUNTIF(B23:AA23,"&gt;0")</f>
        <v>0</v>
      </c>
    </row>
    <row r="24" customFormat="false" ht="15" hidden="false" customHeight="fals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11" t="n">
        <f aca="false">SUM(B24:AA24)</f>
        <v>0</v>
      </c>
      <c r="AC24" s="11" t="n">
        <f aca="false">COUNTIF(B24:AA24,"&gt;0")</f>
        <v>0</v>
      </c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7" t="n">
        <f aca="false">SUM(B25:AA25)</f>
        <v>0</v>
      </c>
      <c r="AC25" s="7" t="n">
        <f aca="false">COUNTIF(B25:AA25,"&gt;0")</f>
        <v>0</v>
      </c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11" t="n">
        <f aca="false">SUM(B26:AA26)</f>
        <v>0</v>
      </c>
      <c r="AC26" s="11" t="n">
        <f aca="false">COUNTIF(B26:AA26,"&gt;0")</f>
        <v>0</v>
      </c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7" t="n">
        <f aca="false">SUM(B27:AA27)</f>
        <v>0</v>
      </c>
      <c r="AC27" s="7" t="n">
        <f aca="false">COUNTIF(B27:AA27,"&gt;0")</f>
        <v>0</v>
      </c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11" t="n">
        <f aca="false">SUM(B28:AA28)</f>
        <v>0</v>
      </c>
      <c r="AC28" s="11" t="n">
        <f aca="false">COUNTIF(B28:AA28,"&gt;0")</f>
        <v>0</v>
      </c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7" t="n">
        <f aca="false">SUM(B29:AA29)</f>
        <v>0</v>
      </c>
      <c r="AC29" s="7" t="n">
        <f aca="false">COUNTIF(B29:AA29,"&gt;0")</f>
        <v>0</v>
      </c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11" t="n">
        <f aca="false">SUM(B30:AA30)</f>
        <v>0</v>
      </c>
      <c r="AC30" s="11" t="n">
        <f aca="false">COUNTIF(B30:AA30,"&gt;0")</f>
        <v>0</v>
      </c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7" t="n">
        <f aca="false">SUM(B31:AA31)</f>
        <v>0</v>
      </c>
      <c r="AC31" s="7" t="n">
        <f aca="false">COUNTIF(B31:AA31,"&gt;0")</f>
        <v>0</v>
      </c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11" t="n">
        <f aca="false">SUM(B32:AA32)</f>
        <v>0</v>
      </c>
      <c r="AC32" s="11" t="n">
        <f aca="false">COUNTIF(B32:AA32,"&gt;0")</f>
        <v>0</v>
      </c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7" t="n">
        <f aca="false">SUM(B33:AA33)</f>
        <v>0</v>
      </c>
      <c r="AC33" s="7" t="n">
        <f aca="false">COUNTIF(B33:AA33,"&gt;0")</f>
        <v>0</v>
      </c>
    </row>
    <row r="34" customFormat="false" ht="15" hidden="false" customHeight="fals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11" t="n">
        <f aca="false">SUM(B34:AA34)</f>
        <v>0</v>
      </c>
      <c r="AC34" s="11" t="n">
        <f aca="false">COUNTIF(B34:AA34,"&gt;0")</f>
        <v>0</v>
      </c>
    </row>
  </sheetData>
  <mergeCells count="2">
    <mergeCell ref="A1:AC1"/>
    <mergeCell ref="A2:A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18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0" t="s">
        <v>173</v>
      </c>
      <c r="B1" s="40"/>
      <c r="C1" s="40"/>
      <c r="D1" s="40"/>
      <c r="E1" s="40"/>
      <c r="F1" s="40"/>
      <c r="G1" s="40"/>
      <c r="H1" s="40"/>
      <c r="I1" s="40"/>
      <c r="J1" s="40"/>
    </row>
    <row r="2" customFormat="false" ht="25.5" hidden="false" customHeight="true" outlineLevel="0" collapsed="false">
      <c r="A2" s="41" t="s">
        <v>174</v>
      </c>
      <c r="B2" s="41"/>
      <c r="C2" s="41"/>
      <c r="D2" s="41"/>
      <c r="E2" s="41"/>
      <c r="F2" s="41"/>
      <c r="G2" s="41"/>
      <c r="H2" s="41"/>
      <c r="I2" s="41"/>
      <c r="J2" s="41"/>
    </row>
    <row r="3" customFormat="false" ht="23.85" hidden="false" customHeight="false" outlineLevel="0" collapsed="false">
      <c r="A3" s="42" t="s">
        <v>123</v>
      </c>
      <c r="B3" s="42" t="s">
        <v>124</v>
      </c>
      <c r="C3" s="42" t="s">
        <v>125</v>
      </c>
      <c r="D3" s="42" t="s">
        <v>175</v>
      </c>
      <c r="E3" s="42" t="s">
        <v>176</v>
      </c>
      <c r="F3" s="42" t="s">
        <v>177</v>
      </c>
      <c r="G3" s="42" t="s">
        <v>178</v>
      </c>
      <c r="H3" s="42" t="s">
        <v>179</v>
      </c>
      <c r="I3" s="42" t="s">
        <v>180</v>
      </c>
      <c r="J3" s="42" t="s">
        <v>134</v>
      </c>
    </row>
    <row r="4" customFormat="false" ht="15" hidden="false" customHeight="false" outlineLevel="0" collapsed="false">
      <c r="A4" s="8" t="n">
        <v>1</v>
      </c>
      <c r="B4" s="22"/>
      <c r="C4" s="22"/>
      <c r="D4" s="22"/>
      <c r="E4" s="22"/>
      <c r="F4" s="22"/>
      <c r="G4" s="26" t="n">
        <f aca="false">IF(D4&gt;0,F4/D4*100,0)</f>
        <v>0</v>
      </c>
      <c r="H4" s="22"/>
      <c r="I4" s="22"/>
      <c r="J4" s="22"/>
    </row>
    <row r="5" customFormat="false" ht="15" hidden="false" customHeight="false" outlineLevel="0" collapsed="false">
      <c r="A5" s="4" t="n">
        <v>2</v>
      </c>
      <c r="B5" s="23"/>
      <c r="C5" s="23"/>
      <c r="D5" s="23"/>
      <c r="E5" s="23"/>
      <c r="F5" s="23"/>
      <c r="G5" s="28" t="n">
        <f aca="false">IF(D5&gt;0,F5/D5*100,0)</f>
        <v>0</v>
      </c>
      <c r="H5" s="23"/>
      <c r="I5" s="23"/>
      <c r="J5" s="23"/>
    </row>
    <row r="6" customFormat="false" ht="15" hidden="false" customHeight="false" outlineLevel="0" collapsed="false">
      <c r="A6" s="8" t="n">
        <v>3</v>
      </c>
      <c r="B6" s="22"/>
      <c r="C6" s="22"/>
      <c r="D6" s="22"/>
      <c r="E6" s="22"/>
      <c r="F6" s="22"/>
      <c r="G6" s="26" t="n">
        <f aca="false">IF(D6&gt;0,F6/D6*100,0)</f>
        <v>0</v>
      </c>
      <c r="H6" s="22"/>
      <c r="I6" s="22"/>
      <c r="J6" s="22"/>
    </row>
    <row r="7" customFormat="false" ht="15" hidden="false" customHeight="false" outlineLevel="0" collapsed="false">
      <c r="A7" s="4" t="n">
        <v>4</v>
      </c>
      <c r="B7" s="23"/>
      <c r="C7" s="23"/>
      <c r="D7" s="23"/>
      <c r="E7" s="23"/>
      <c r="F7" s="23"/>
      <c r="G7" s="28" t="n">
        <f aca="false">IF(D7&gt;0,F7/D7*100,0)</f>
        <v>0</v>
      </c>
      <c r="H7" s="23"/>
      <c r="I7" s="23"/>
      <c r="J7" s="23"/>
    </row>
    <row r="8" customFormat="false" ht="15" hidden="false" customHeight="false" outlineLevel="0" collapsed="false">
      <c r="A8" s="8" t="n">
        <v>5</v>
      </c>
      <c r="B8" s="22"/>
      <c r="C8" s="22"/>
      <c r="D8" s="22"/>
      <c r="E8" s="22"/>
      <c r="F8" s="22"/>
      <c r="G8" s="26" t="n">
        <f aca="false">IF(D8&gt;0,F8/D8*100,0)</f>
        <v>0</v>
      </c>
      <c r="H8" s="22"/>
      <c r="I8" s="22"/>
      <c r="J8" s="22"/>
    </row>
    <row r="9" customFormat="false" ht="15" hidden="false" customHeight="false" outlineLevel="0" collapsed="false">
      <c r="A9" s="4" t="n">
        <v>6</v>
      </c>
      <c r="B9" s="23"/>
      <c r="C9" s="23"/>
      <c r="D9" s="23"/>
      <c r="E9" s="23"/>
      <c r="F9" s="23"/>
      <c r="G9" s="28" t="n">
        <f aca="false">IF(D9&gt;0,F9/D9*100,0)</f>
        <v>0</v>
      </c>
      <c r="H9" s="23"/>
      <c r="I9" s="23"/>
      <c r="J9" s="23"/>
    </row>
    <row r="10" customFormat="false" ht="15" hidden="false" customHeight="false" outlineLevel="0" collapsed="false">
      <c r="A10" s="8" t="n">
        <v>7</v>
      </c>
      <c r="B10" s="22"/>
      <c r="C10" s="22"/>
      <c r="D10" s="22"/>
      <c r="E10" s="22"/>
      <c r="F10" s="22"/>
      <c r="G10" s="26" t="n">
        <f aca="false">IF(D10&gt;0,F10/D10*100,0)</f>
        <v>0</v>
      </c>
      <c r="H10" s="22"/>
      <c r="I10" s="22"/>
      <c r="J10" s="22"/>
    </row>
    <row r="11" customFormat="false" ht="15" hidden="false" customHeight="false" outlineLevel="0" collapsed="false">
      <c r="A11" s="4" t="n">
        <v>8</v>
      </c>
      <c r="B11" s="23"/>
      <c r="C11" s="23"/>
      <c r="D11" s="23"/>
      <c r="E11" s="23"/>
      <c r="F11" s="23"/>
      <c r="G11" s="28" t="n">
        <f aca="false">IF(D11&gt;0,F11/D11*100,0)</f>
        <v>0</v>
      </c>
      <c r="H11" s="23"/>
      <c r="I11" s="23"/>
      <c r="J11" s="23"/>
    </row>
    <row r="12" customFormat="false" ht="15" hidden="false" customHeight="false" outlineLevel="0" collapsed="false">
      <c r="A12" s="8" t="n">
        <v>9</v>
      </c>
      <c r="B12" s="22"/>
      <c r="C12" s="22"/>
      <c r="D12" s="22"/>
      <c r="E12" s="22"/>
      <c r="F12" s="22"/>
      <c r="G12" s="26" t="n">
        <f aca="false">IF(D12&gt;0,F12/D12*100,0)</f>
        <v>0</v>
      </c>
      <c r="H12" s="22"/>
      <c r="I12" s="22"/>
      <c r="J12" s="22"/>
    </row>
    <row r="13" customFormat="false" ht="15" hidden="false" customHeight="false" outlineLevel="0" collapsed="false">
      <c r="A13" s="4" t="n">
        <v>10</v>
      </c>
      <c r="B13" s="23"/>
      <c r="C13" s="23"/>
      <c r="D13" s="23"/>
      <c r="E13" s="23"/>
      <c r="F13" s="23"/>
      <c r="G13" s="28" t="n">
        <f aca="false">IF(D13&gt;0,F13/D13*100,0)</f>
        <v>0</v>
      </c>
      <c r="H13" s="23"/>
      <c r="I13" s="23"/>
      <c r="J13" s="23"/>
    </row>
    <row r="14" customFormat="false" ht="15" hidden="false" customHeight="false" outlineLevel="0" collapsed="false">
      <c r="A14" s="8" t="n">
        <v>11</v>
      </c>
      <c r="B14" s="22"/>
      <c r="C14" s="22"/>
      <c r="D14" s="22"/>
      <c r="E14" s="22"/>
      <c r="F14" s="22"/>
      <c r="G14" s="26" t="n">
        <f aca="false">IF(D14&gt;0,F14/D14*100,0)</f>
        <v>0</v>
      </c>
      <c r="H14" s="22"/>
      <c r="I14" s="22"/>
      <c r="J14" s="22"/>
    </row>
    <row r="15" customFormat="false" ht="15" hidden="false" customHeight="false" outlineLevel="0" collapsed="false">
      <c r="A15" s="4" t="n">
        <v>12</v>
      </c>
      <c r="B15" s="23"/>
      <c r="C15" s="23"/>
      <c r="D15" s="23"/>
      <c r="E15" s="23"/>
      <c r="F15" s="23"/>
      <c r="G15" s="28" t="n">
        <f aca="false">IF(D15&gt;0,F15/D15*100,0)</f>
        <v>0</v>
      </c>
      <c r="H15" s="23"/>
      <c r="I15" s="23"/>
      <c r="J15" s="23"/>
    </row>
    <row r="16" customFormat="false" ht="15" hidden="false" customHeight="false" outlineLevel="0" collapsed="false">
      <c r="A16" s="8" t="n">
        <v>13</v>
      </c>
      <c r="B16" s="22"/>
      <c r="C16" s="22"/>
      <c r="D16" s="22"/>
      <c r="E16" s="22"/>
      <c r="F16" s="22"/>
      <c r="G16" s="26" t="n">
        <f aca="false">IF(D16&gt;0,F16/D16*100,0)</f>
        <v>0</v>
      </c>
      <c r="H16" s="22"/>
      <c r="I16" s="22"/>
      <c r="J16" s="22"/>
    </row>
    <row r="17" customFormat="false" ht="15" hidden="false" customHeight="false" outlineLevel="0" collapsed="false">
      <c r="A17" s="4" t="n">
        <v>14</v>
      </c>
      <c r="B17" s="23"/>
      <c r="C17" s="23"/>
      <c r="D17" s="23"/>
      <c r="E17" s="23"/>
      <c r="F17" s="23"/>
      <c r="G17" s="28" t="n">
        <f aca="false">IF(D17&gt;0,F17/D17*100,0)</f>
        <v>0</v>
      </c>
      <c r="H17" s="23"/>
      <c r="I17" s="23"/>
      <c r="J17" s="23"/>
    </row>
    <row r="18" customFormat="false" ht="15" hidden="false" customHeight="false" outlineLevel="0" collapsed="false">
      <c r="A18" s="8" t="n">
        <v>15</v>
      </c>
      <c r="B18" s="22"/>
      <c r="C18" s="22"/>
      <c r="D18" s="22"/>
      <c r="E18" s="22"/>
      <c r="F18" s="22"/>
      <c r="G18" s="26" t="n">
        <f aca="false">IF(D18&gt;0,F18/D18*100,0)</f>
        <v>0</v>
      </c>
      <c r="H18" s="22"/>
      <c r="I18" s="22"/>
      <c r="J18" s="22"/>
    </row>
    <row r="19" customFormat="false" ht="15" hidden="false" customHeight="false" outlineLevel="0" collapsed="false">
      <c r="A19" s="4" t="n">
        <v>16</v>
      </c>
      <c r="B19" s="23"/>
      <c r="C19" s="23"/>
      <c r="D19" s="23"/>
      <c r="E19" s="23"/>
      <c r="F19" s="23"/>
      <c r="G19" s="28" t="n">
        <f aca="false">IF(D19&gt;0,F19/D19*100,0)</f>
        <v>0</v>
      </c>
      <c r="H19" s="23"/>
      <c r="I19" s="23"/>
      <c r="J19" s="23"/>
    </row>
    <row r="20" customFormat="false" ht="15" hidden="false" customHeight="false" outlineLevel="0" collapsed="false">
      <c r="A20" s="8" t="n">
        <v>17</v>
      </c>
      <c r="B20" s="22"/>
      <c r="C20" s="22"/>
      <c r="D20" s="22"/>
      <c r="E20" s="22"/>
      <c r="F20" s="22"/>
      <c r="G20" s="26" t="n">
        <f aca="false">IF(D20&gt;0,F20/D20*100,0)</f>
        <v>0</v>
      </c>
      <c r="H20" s="22"/>
      <c r="I20" s="22"/>
      <c r="J20" s="22"/>
    </row>
    <row r="21" customFormat="false" ht="15" hidden="false" customHeight="false" outlineLevel="0" collapsed="false">
      <c r="A21" s="4" t="n">
        <v>18</v>
      </c>
      <c r="B21" s="23"/>
      <c r="C21" s="23"/>
      <c r="D21" s="23"/>
      <c r="E21" s="23"/>
      <c r="F21" s="23"/>
      <c r="G21" s="28" t="n">
        <f aca="false">IF(D21&gt;0,F21/D21*100,0)</f>
        <v>0</v>
      </c>
      <c r="H21" s="23"/>
      <c r="I21" s="23"/>
      <c r="J21" s="23"/>
    </row>
    <row r="22" customFormat="false" ht="15" hidden="false" customHeight="false" outlineLevel="0" collapsed="false">
      <c r="A22" s="8" t="n">
        <v>19</v>
      </c>
      <c r="B22" s="22"/>
      <c r="C22" s="22"/>
      <c r="D22" s="22"/>
      <c r="E22" s="22"/>
      <c r="F22" s="22"/>
      <c r="G22" s="26" t="n">
        <f aca="false">IF(D22&gt;0,F22/D22*100,0)</f>
        <v>0</v>
      </c>
      <c r="H22" s="22"/>
      <c r="I22" s="22"/>
      <c r="J22" s="22"/>
    </row>
    <row r="23" customFormat="false" ht="15" hidden="false" customHeight="false" outlineLevel="0" collapsed="false">
      <c r="A23" s="4" t="n">
        <v>20</v>
      </c>
      <c r="B23" s="23"/>
      <c r="C23" s="23"/>
      <c r="D23" s="23"/>
      <c r="E23" s="23"/>
      <c r="F23" s="23"/>
      <c r="G23" s="28" t="n">
        <f aca="false">IF(D23&gt;0,F23/D23*100,0)</f>
        <v>0</v>
      </c>
      <c r="H23" s="23"/>
      <c r="I23" s="23"/>
      <c r="J23" s="23"/>
    </row>
    <row r="24" customFormat="false" ht="15" hidden="false" customHeight="false" outlineLevel="0" collapsed="false">
      <c r="A24" s="8" t="n">
        <v>21</v>
      </c>
      <c r="B24" s="22"/>
      <c r="C24" s="22"/>
      <c r="D24" s="22"/>
      <c r="E24" s="22"/>
      <c r="F24" s="22"/>
      <c r="G24" s="26" t="n">
        <f aca="false">IF(D24&gt;0,F24/D24*100,0)</f>
        <v>0</v>
      </c>
      <c r="H24" s="22"/>
      <c r="I24" s="22"/>
      <c r="J24" s="22"/>
    </row>
    <row r="25" customFormat="false" ht="15" hidden="false" customHeight="false" outlineLevel="0" collapsed="false">
      <c r="A25" s="4" t="n">
        <v>22</v>
      </c>
      <c r="B25" s="23"/>
      <c r="C25" s="23"/>
      <c r="D25" s="23"/>
      <c r="E25" s="23"/>
      <c r="F25" s="23"/>
      <c r="G25" s="28" t="n">
        <f aca="false">IF(D25&gt;0,F25/D25*100,0)</f>
        <v>0</v>
      </c>
      <c r="H25" s="23"/>
      <c r="I25" s="23"/>
      <c r="J25" s="23"/>
    </row>
    <row r="26" customFormat="false" ht="15" hidden="false" customHeight="false" outlineLevel="0" collapsed="false">
      <c r="A26" s="8" t="n">
        <v>23</v>
      </c>
      <c r="B26" s="22"/>
      <c r="C26" s="22"/>
      <c r="D26" s="22"/>
      <c r="E26" s="22"/>
      <c r="F26" s="22"/>
      <c r="G26" s="26" t="n">
        <f aca="false">IF(D26&gt;0,F26/D26*100,0)</f>
        <v>0</v>
      </c>
      <c r="H26" s="22"/>
      <c r="I26" s="22"/>
      <c r="J26" s="22"/>
    </row>
    <row r="27" customFormat="false" ht="15" hidden="false" customHeight="false" outlineLevel="0" collapsed="false">
      <c r="A27" s="4" t="n">
        <v>24</v>
      </c>
      <c r="B27" s="23"/>
      <c r="C27" s="23"/>
      <c r="D27" s="23"/>
      <c r="E27" s="23"/>
      <c r="F27" s="23"/>
      <c r="G27" s="28" t="n">
        <f aca="false">IF(D27&gt;0,F27/D27*100,0)</f>
        <v>0</v>
      </c>
      <c r="H27" s="23"/>
      <c r="I27" s="23"/>
      <c r="J27" s="23"/>
    </row>
    <row r="28" customFormat="false" ht="15" hidden="false" customHeight="false" outlineLevel="0" collapsed="false">
      <c r="A28" s="8" t="n">
        <v>25</v>
      </c>
      <c r="B28" s="22"/>
      <c r="C28" s="22"/>
      <c r="D28" s="22"/>
      <c r="E28" s="22"/>
      <c r="F28" s="22"/>
      <c r="G28" s="26" t="n">
        <f aca="false">IF(D28&gt;0,F28/D28*100,0)</f>
        <v>0</v>
      </c>
      <c r="H28" s="22"/>
      <c r="I28" s="22"/>
      <c r="J28" s="22"/>
    </row>
    <row r="29" customFormat="false" ht="15" hidden="false" customHeight="false" outlineLevel="0" collapsed="false">
      <c r="A29" s="4" t="n">
        <v>26</v>
      </c>
      <c r="B29" s="23"/>
      <c r="C29" s="23"/>
      <c r="D29" s="23"/>
      <c r="E29" s="23"/>
      <c r="F29" s="23"/>
      <c r="G29" s="28" t="n">
        <f aca="false">IF(D29&gt;0,F29/D29*100,0)</f>
        <v>0</v>
      </c>
      <c r="H29" s="23"/>
      <c r="I29" s="23"/>
      <c r="J29" s="23"/>
    </row>
    <row r="30" customFormat="false" ht="15" hidden="false" customHeight="false" outlineLevel="0" collapsed="false">
      <c r="A30" s="8" t="n">
        <v>27</v>
      </c>
      <c r="B30" s="22"/>
      <c r="C30" s="22"/>
      <c r="D30" s="22"/>
      <c r="E30" s="22"/>
      <c r="F30" s="22"/>
      <c r="G30" s="26" t="n">
        <f aca="false">IF(D30&gt;0,F30/D30*100,0)</f>
        <v>0</v>
      </c>
      <c r="H30" s="22"/>
      <c r="I30" s="22"/>
      <c r="J30" s="22"/>
    </row>
    <row r="31" customFormat="false" ht="15" hidden="false" customHeight="false" outlineLevel="0" collapsed="false">
      <c r="A31" s="4" t="n">
        <v>28</v>
      </c>
      <c r="B31" s="23"/>
      <c r="C31" s="23"/>
      <c r="D31" s="23"/>
      <c r="E31" s="23"/>
      <c r="F31" s="23"/>
      <c r="G31" s="28" t="n">
        <f aca="false">IF(D31&gt;0,F31/D31*100,0)</f>
        <v>0</v>
      </c>
      <c r="H31" s="23"/>
      <c r="I31" s="23"/>
      <c r="J31" s="23"/>
    </row>
    <row r="32" customFormat="false" ht="15" hidden="false" customHeight="false" outlineLevel="0" collapsed="false">
      <c r="A32" s="8" t="n">
        <v>29</v>
      </c>
      <c r="B32" s="22"/>
      <c r="C32" s="22"/>
      <c r="D32" s="22"/>
      <c r="E32" s="22"/>
      <c r="F32" s="22"/>
      <c r="G32" s="26" t="n">
        <f aca="false">IF(D32&gt;0,F32/D32*100,0)</f>
        <v>0</v>
      </c>
      <c r="H32" s="22"/>
      <c r="I32" s="22"/>
      <c r="J32" s="22"/>
    </row>
    <row r="33" customFormat="false" ht="15" hidden="false" customHeight="false" outlineLevel="0" collapsed="false">
      <c r="A33" s="4" t="n">
        <v>30</v>
      </c>
      <c r="B33" s="23"/>
      <c r="C33" s="23"/>
      <c r="D33" s="23"/>
      <c r="E33" s="23"/>
      <c r="F33" s="23"/>
      <c r="G33" s="28" t="n">
        <f aca="false">IF(D33&gt;0,F33/D33*100,0)</f>
        <v>0</v>
      </c>
      <c r="H33" s="23"/>
      <c r="I33" s="23"/>
      <c r="J33" s="2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18"/>
    <col collapsed="false" customWidth="true" hidden="false" outlineLevel="0" max="9" min="7" style="0" width="16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customFormat="false" ht="25.5" hidden="false" customHeight="true" outlineLevel="0" collapsed="false">
      <c r="A2" s="44" t="s">
        <v>181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customFormat="false" ht="23.85" hidden="false" customHeight="false" outlineLevel="0" collapsed="false">
      <c r="A3" s="45" t="s">
        <v>123</v>
      </c>
      <c r="B3" s="45" t="s">
        <v>124</v>
      </c>
      <c r="C3" s="45" t="s">
        <v>125</v>
      </c>
      <c r="D3" s="45" t="s">
        <v>182</v>
      </c>
      <c r="E3" s="45" t="s">
        <v>183</v>
      </c>
      <c r="F3" s="45" t="s">
        <v>184</v>
      </c>
      <c r="G3" s="45" t="s">
        <v>185</v>
      </c>
      <c r="H3" s="45" t="s">
        <v>186</v>
      </c>
      <c r="I3" s="45" t="s">
        <v>187</v>
      </c>
      <c r="J3" s="45" t="s">
        <v>188</v>
      </c>
      <c r="K3" s="45" t="s">
        <v>134</v>
      </c>
    </row>
    <row r="4" customFormat="false" ht="15" hidden="false" customHeight="false" outlineLevel="0" collapsed="false">
      <c r="A4" s="8" t="n">
        <v>1</v>
      </c>
      <c r="B4" s="22"/>
      <c r="C4" s="22"/>
      <c r="D4" s="22"/>
      <c r="E4" s="22"/>
      <c r="F4" s="22"/>
      <c r="G4" s="26" t="n">
        <f aca="false">IF(D4&gt;0,F4/D4*100,0)</f>
        <v>0</v>
      </c>
      <c r="H4" s="22"/>
      <c r="I4" s="22"/>
      <c r="J4" s="22"/>
      <c r="K4" s="22"/>
    </row>
    <row r="5" customFormat="false" ht="15" hidden="false" customHeight="false" outlineLevel="0" collapsed="false">
      <c r="A5" s="4" t="n">
        <v>2</v>
      </c>
      <c r="B5" s="23"/>
      <c r="C5" s="23"/>
      <c r="D5" s="23"/>
      <c r="E5" s="23"/>
      <c r="F5" s="23"/>
      <c r="G5" s="28" t="n">
        <f aca="false">IF(D5&gt;0,F5/D5*100,0)</f>
        <v>0</v>
      </c>
      <c r="H5" s="23"/>
      <c r="I5" s="23"/>
      <c r="J5" s="23"/>
      <c r="K5" s="23"/>
    </row>
    <row r="6" customFormat="false" ht="15" hidden="false" customHeight="false" outlineLevel="0" collapsed="false">
      <c r="A6" s="8" t="n">
        <v>3</v>
      </c>
      <c r="B6" s="22"/>
      <c r="C6" s="22"/>
      <c r="D6" s="22"/>
      <c r="E6" s="22"/>
      <c r="F6" s="22"/>
      <c r="G6" s="26" t="n">
        <f aca="false">IF(D6&gt;0,F6/D6*100,0)</f>
        <v>0</v>
      </c>
      <c r="H6" s="22"/>
      <c r="I6" s="22"/>
      <c r="J6" s="22"/>
      <c r="K6" s="22"/>
    </row>
    <row r="7" customFormat="false" ht="15" hidden="false" customHeight="false" outlineLevel="0" collapsed="false">
      <c r="A7" s="4" t="n">
        <v>4</v>
      </c>
      <c r="B7" s="23"/>
      <c r="C7" s="23"/>
      <c r="D7" s="23"/>
      <c r="E7" s="23"/>
      <c r="F7" s="23"/>
      <c r="G7" s="28" t="n">
        <f aca="false">IF(D7&gt;0,F7/D7*100,0)</f>
        <v>0</v>
      </c>
      <c r="H7" s="23"/>
      <c r="I7" s="23"/>
      <c r="J7" s="23"/>
      <c r="K7" s="23"/>
    </row>
    <row r="8" customFormat="false" ht="15" hidden="false" customHeight="false" outlineLevel="0" collapsed="false">
      <c r="A8" s="8" t="n">
        <v>5</v>
      </c>
      <c r="B8" s="22"/>
      <c r="C8" s="22"/>
      <c r="D8" s="22"/>
      <c r="E8" s="22"/>
      <c r="F8" s="22"/>
      <c r="G8" s="26" t="n">
        <f aca="false">IF(D8&gt;0,F8/D8*100,0)</f>
        <v>0</v>
      </c>
      <c r="H8" s="22"/>
      <c r="I8" s="22"/>
      <c r="J8" s="22"/>
      <c r="K8" s="22"/>
    </row>
    <row r="9" customFormat="false" ht="15" hidden="false" customHeight="false" outlineLevel="0" collapsed="false">
      <c r="A9" s="4" t="n">
        <v>6</v>
      </c>
      <c r="B9" s="23"/>
      <c r="C9" s="23"/>
      <c r="D9" s="23"/>
      <c r="E9" s="23"/>
      <c r="F9" s="23"/>
      <c r="G9" s="28" t="n">
        <f aca="false">IF(D9&gt;0,F9/D9*100,0)</f>
        <v>0</v>
      </c>
      <c r="H9" s="23"/>
      <c r="I9" s="23"/>
      <c r="J9" s="23"/>
      <c r="K9" s="23"/>
    </row>
    <row r="10" customFormat="false" ht="15" hidden="false" customHeight="false" outlineLevel="0" collapsed="false">
      <c r="A10" s="8" t="n">
        <v>7</v>
      </c>
      <c r="B10" s="22"/>
      <c r="C10" s="22"/>
      <c r="D10" s="22"/>
      <c r="E10" s="22"/>
      <c r="F10" s="22"/>
      <c r="G10" s="26" t="n">
        <f aca="false">IF(D10&gt;0,F10/D10*100,0)</f>
        <v>0</v>
      </c>
      <c r="H10" s="22"/>
      <c r="I10" s="22"/>
      <c r="J10" s="22"/>
      <c r="K10" s="22"/>
    </row>
    <row r="11" customFormat="false" ht="15" hidden="false" customHeight="false" outlineLevel="0" collapsed="false">
      <c r="A11" s="4" t="n">
        <v>8</v>
      </c>
      <c r="B11" s="23"/>
      <c r="C11" s="23"/>
      <c r="D11" s="23"/>
      <c r="E11" s="23"/>
      <c r="F11" s="23"/>
      <c r="G11" s="28" t="n">
        <f aca="false">IF(D11&gt;0,F11/D11*100,0)</f>
        <v>0</v>
      </c>
      <c r="H11" s="23"/>
      <c r="I11" s="23"/>
      <c r="J11" s="23"/>
      <c r="K11" s="23"/>
    </row>
    <row r="12" customFormat="false" ht="15" hidden="false" customHeight="false" outlineLevel="0" collapsed="false">
      <c r="A12" s="8" t="n">
        <v>9</v>
      </c>
      <c r="B12" s="22"/>
      <c r="C12" s="22"/>
      <c r="D12" s="22"/>
      <c r="E12" s="22"/>
      <c r="F12" s="22"/>
      <c r="G12" s="26" t="n">
        <f aca="false">IF(D12&gt;0,F12/D12*100,0)</f>
        <v>0</v>
      </c>
      <c r="H12" s="22"/>
      <c r="I12" s="22"/>
      <c r="J12" s="22"/>
      <c r="K12" s="22"/>
    </row>
    <row r="13" customFormat="false" ht="15" hidden="false" customHeight="false" outlineLevel="0" collapsed="false">
      <c r="A13" s="4" t="n">
        <v>10</v>
      </c>
      <c r="B13" s="23"/>
      <c r="C13" s="23"/>
      <c r="D13" s="23"/>
      <c r="E13" s="23"/>
      <c r="F13" s="23"/>
      <c r="G13" s="28" t="n">
        <f aca="false">IF(D13&gt;0,F13/D13*100,0)</f>
        <v>0</v>
      </c>
      <c r="H13" s="23"/>
      <c r="I13" s="23"/>
      <c r="J13" s="23"/>
      <c r="K13" s="23"/>
    </row>
    <row r="14" customFormat="false" ht="15" hidden="false" customHeight="false" outlineLevel="0" collapsed="false">
      <c r="A14" s="8" t="n">
        <v>11</v>
      </c>
      <c r="B14" s="22"/>
      <c r="C14" s="22"/>
      <c r="D14" s="22"/>
      <c r="E14" s="22"/>
      <c r="F14" s="22"/>
      <c r="G14" s="26" t="n">
        <f aca="false">IF(D14&gt;0,F14/D14*100,0)</f>
        <v>0</v>
      </c>
      <c r="H14" s="22"/>
      <c r="I14" s="22"/>
      <c r="J14" s="22"/>
      <c r="K14" s="22"/>
    </row>
    <row r="15" customFormat="false" ht="15" hidden="false" customHeight="false" outlineLevel="0" collapsed="false">
      <c r="A15" s="4" t="n">
        <v>12</v>
      </c>
      <c r="B15" s="23"/>
      <c r="C15" s="23"/>
      <c r="D15" s="23"/>
      <c r="E15" s="23"/>
      <c r="F15" s="23"/>
      <c r="G15" s="28" t="n">
        <f aca="false">IF(D15&gt;0,F15/D15*100,0)</f>
        <v>0</v>
      </c>
      <c r="H15" s="23"/>
      <c r="I15" s="23"/>
      <c r="J15" s="23"/>
      <c r="K15" s="23"/>
    </row>
    <row r="16" customFormat="false" ht="15" hidden="false" customHeight="false" outlineLevel="0" collapsed="false">
      <c r="A16" s="8" t="n">
        <v>13</v>
      </c>
      <c r="B16" s="22"/>
      <c r="C16" s="22"/>
      <c r="D16" s="22"/>
      <c r="E16" s="22"/>
      <c r="F16" s="22"/>
      <c r="G16" s="26" t="n">
        <f aca="false">IF(D16&gt;0,F16/D16*100,0)</f>
        <v>0</v>
      </c>
      <c r="H16" s="22"/>
      <c r="I16" s="22"/>
      <c r="J16" s="22"/>
      <c r="K16" s="22"/>
    </row>
    <row r="17" customFormat="false" ht="15" hidden="false" customHeight="false" outlineLevel="0" collapsed="false">
      <c r="A17" s="4" t="n">
        <v>14</v>
      </c>
      <c r="B17" s="23"/>
      <c r="C17" s="23"/>
      <c r="D17" s="23"/>
      <c r="E17" s="23"/>
      <c r="F17" s="23"/>
      <c r="G17" s="28" t="n">
        <f aca="false">IF(D17&gt;0,F17/D17*100,0)</f>
        <v>0</v>
      </c>
      <c r="H17" s="23"/>
      <c r="I17" s="23"/>
      <c r="J17" s="23"/>
      <c r="K17" s="23"/>
    </row>
    <row r="18" customFormat="false" ht="15" hidden="false" customHeight="false" outlineLevel="0" collapsed="false">
      <c r="A18" s="8" t="n">
        <v>15</v>
      </c>
      <c r="B18" s="22"/>
      <c r="C18" s="22"/>
      <c r="D18" s="22"/>
      <c r="E18" s="22"/>
      <c r="F18" s="22"/>
      <c r="G18" s="26" t="n">
        <f aca="false">IF(D18&gt;0,F18/D18*100,0)</f>
        <v>0</v>
      </c>
      <c r="H18" s="22"/>
      <c r="I18" s="22"/>
      <c r="J18" s="22"/>
      <c r="K18" s="22"/>
    </row>
    <row r="19" customFormat="false" ht="15" hidden="false" customHeight="false" outlineLevel="0" collapsed="false">
      <c r="A19" s="4" t="n">
        <v>16</v>
      </c>
      <c r="B19" s="23"/>
      <c r="C19" s="23"/>
      <c r="D19" s="23"/>
      <c r="E19" s="23"/>
      <c r="F19" s="23"/>
      <c r="G19" s="28" t="n">
        <f aca="false">IF(D19&gt;0,F19/D19*100,0)</f>
        <v>0</v>
      </c>
      <c r="H19" s="23"/>
      <c r="I19" s="23"/>
      <c r="J19" s="23"/>
      <c r="K19" s="23"/>
    </row>
    <row r="20" customFormat="false" ht="15" hidden="false" customHeight="false" outlineLevel="0" collapsed="false">
      <c r="A20" s="8" t="n">
        <v>17</v>
      </c>
      <c r="B20" s="22"/>
      <c r="C20" s="22"/>
      <c r="D20" s="22"/>
      <c r="E20" s="22"/>
      <c r="F20" s="22"/>
      <c r="G20" s="26" t="n">
        <f aca="false">IF(D20&gt;0,F20/D20*100,0)</f>
        <v>0</v>
      </c>
      <c r="H20" s="22"/>
      <c r="I20" s="22"/>
      <c r="J20" s="22"/>
      <c r="K20" s="22"/>
    </row>
    <row r="21" customFormat="false" ht="15" hidden="false" customHeight="false" outlineLevel="0" collapsed="false">
      <c r="A21" s="4" t="n">
        <v>18</v>
      </c>
      <c r="B21" s="23"/>
      <c r="C21" s="23"/>
      <c r="D21" s="23"/>
      <c r="E21" s="23"/>
      <c r="F21" s="23"/>
      <c r="G21" s="28" t="n">
        <f aca="false">IF(D21&gt;0,F21/D21*100,0)</f>
        <v>0</v>
      </c>
      <c r="H21" s="23"/>
      <c r="I21" s="23"/>
      <c r="J21" s="23"/>
      <c r="K21" s="23"/>
    </row>
    <row r="22" customFormat="false" ht="15" hidden="false" customHeight="false" outlineLevel="0" collapsed="false">
      <c r="A22" s="8" t="n">
        <v>19</v>
      </c>
      <c r="B22" s="22"/>
      <c r="C22" s="22"/>
      <c r="D22" s="22"/>
      <c r="E22" s="22"/>
      <c r="F22" s="22"/>
      <c r="G22" s="26" t="n">
        <f aca="false">IF(D22&gt;0,F22/D22*100,0)</f>
        <v>0</v>
      </c>
      <c r="H22" s="22"/>
      <c r="I22" s="22"/>
      <c r="J22" s="22"/>
      <c r="K22" s="22"/>
    </row>
    <row r="23" customFormat="false" ht="15" hidden="false" customHeight="false" outlineLevel="0" collapsed="false">
      <c r="A23" s="4" t="n">
        <v>20</v>
      </c>
      <c r="B23" s="23"/>
      <c r="C23" s="23"/>
      <c r="D23" s="23"/>
      <c r="E23" s="23"/>
      <c r="F23" s="23"/>
      <c r="G23" s="28" t="n">
        <f aca="false">IF(D23&gt;0,F23/D23*100,0)</f>
        <v>0</v>
      </c>
      <c r="H23" s="23"/>
      <c r="I23" s="23"/>
      <c r="J23" s="23"/>
      <c r="K23" s="23"/>
    </row>
    <row r="24" customFormat="false" ht="15" hidden="false" customHeight="false" outlineLevel="0" collapsed="false">
      <c r="A24" s="8" t="n">
        <v>21</v>
      </c>
      <c r="B24" s="22"/>
      <c r="C24" s="22"/>
      <c r="D24" s="22"/>
      <c r="E24" s="22"/>
      <c r="F24" s="22"/>
      <c r="G24" s="26" t="n">
        <f aca="false">IF(D24&gt;0,F24/D24*100,0)</f>
        <v>0</v>
      </c>
      <c r="H24" s="22"/>
      <c r="I24" s="22"/>
      <c r="J24" s="22"/>
      <c r="K24" s="22"/>
    </row>
    <row r="25" customFormat="false" ht="15" hidden="false" customHeight="false" outlineLevel="0" collapsed="false">
      <c r="A25" s="4" t="n">
        <v>22</v>
      </c>
      <c r="B25" s="23"/>
      <c r="C25" s="23"/>
      <c r="D25" s="23"/>
      <c r="E25" s="23"/>
      <c r="F25" s="23"/>
      <c r="G25" s="28" t="n">
        <f aca="false">IF(D25&gt;0,F25/D25*100,0)</f>
        <v>0</v>
      </c>
      <c r="H25" s="23"/>
      <c r="I25" s="23"/>
      <c r="J25" s="23"/>
      <c r="K25" s="23"/>
    </row>
    <row r="26" customFormat="false" ht="15" hidden="false" customHeight="false" outlineLevel="0" collapsed="false">
      <c r="A26" s="8" t="n">
        <v>23</v>
      </c>
      <c r="B26" s="22"/>
      <c r="C26" s="22"/>
      <c r="D26" s="22"/>
      <c r="E26" s="22"/>
      <c r="F26" s="22"/>
      <c r="G26" s="26" t="n">
        <f aca="false">IF(D26&gt;0,F26/D26*100,0)</f>
        <v>0</v>
      </c>
      <c r="H26" s="22"/>
      <c r="I26" s="22"/>
      <c r="J26" s="22"/>
      <c r="K26" s="22"/>
    </row>
    <row r="27" customFormat="false" ht="15" hidden="false" customHeight="false" outlineLevel="0" collapsed="false">
      <c r="A27" s="4" t="n">
        <v>24</v>
      </c>
      <c r="B27" s="23"/>
      <c r="C27" s="23"/>
      <c r="D27" s="23"/>
      <c r="E27" s="23"/>
      <c r="F27" s="23"/>
      <c r="G27" s="28" t="n">
        <f aca="false">IF(D27&gt;0,F27/D27*100,0)</f>
        <v>0</v>
      </c>
      <c r="H27" s="23"/>
      <c r="I27" s="23"/>
      <c r="J27" s="23"/>
      <c r="K27" s="23"/>
    </row>
    <row r="28" customFormat="false" ht="15" hidden="false" customHeight="false" outlineLevel="0" collapsed="false">
      <c r="A28" s="8" t="n">
        <v>25</v>
      </c>
      <c r="B28" s="22"/>
      <c r="C28" s="22"/>
      <c r="D28" s="22"/>
      <c r="E28" s="22"/>
      <c r="F28" s="22"/>
      <c r="G28" s="26" t="n">
        <f aca="false">IF(D28&gt;0,F28/D28*100,0)</f>
        <v>0</v>
      </c>
      <c r="H28" s="22"/>
      <c r="I28" s="22"/>
      <c r="J28" s="22"/>
      <c r="K28" s="22"/>
    </row>
    <row r="29" customFormat="false" ht="15" hidden="false" customHeight="false" outlineLevel="0" collapsed="false">
      <c r="A29" s="4" t="n">
        <v>26</v>
      </c>
      <c r="B29" s="23"/>
      <c r="C29" s="23"/>
      <c r="D29" s="23"/>
      <c r="E29" s="23"/>
      <c r="F29" s="23"/>
      <c r="G29" s="28" t="n">
        <f aca="false">IF(D29&gt;0,F29/D29*100,0)</f>
        <v>0</v>
      </c>
      <c r="H29" s="23"/>
      <c r="I29" s="23"/>
      <c r="J29" s="23"/>
      <c r="K29" s="23"/>
    </row>
    <row r="30" customFormat="false" ht="15" hidden="false" customHeight="false" outlineLevel="0" collapsed="false">
      <c r="A30" s="8" t="n">
        <v>27</v>
      </c>
      <c r="B30" s="22"/>
      <c r="C30" s="22"/>
      <c r="D30" s="22"/>
      <c r="E30" s="22"/>
      <c r="F30" s="22"/>
      <c r="G30" s="26" t="n">
        <f aca="false">IF(D30&gt;0,F30/D30*100,0)</f>
        <v>0</v>
      </c>
      <c r="H30" s="22"/>
      <c r="I30" s="22"/>
      <c r="J30" s="22"/>
      <c r="K30" s="22"/>
    </row>
    <row r="31" customFormat="false" ht="15" hidden="false" customHeight="false" outlineLevel="0" collapsed="false">
      <c r="A31" s="4" t="n">
        <v>28</v>
      </c>
      <c r="B31" s="23"/>
      <c r="C31" s="23"/>
      <c r="D31" s="23"/>
      <c r="E31" s="23"/>
      <c r="F31" s="23"/>
      <c r="G31" s="28" t="n">
        <f aca="false">IF(D31&gt;0,F31/D31*100,0)</f>
        <v>0</v>
      </c>
      <c r="H31" s="23"/>
      <c r="I31" s="23"/>
      <c r="J31" s="23"/>
      <c r="K31" s="23"/>
    </row>
    <row r="32" customFormat="false" ht="15" hidden="false" customHeight="false" outlineLevel="0" collapsed="false">
      <c r="A32" s="8" t="n">
        <v>29</v>
      </c>
      <c r="B32" s="22"/>
      <c r="C32" s="22"/>
      <c r="D32" s="22"/>
      <c r="E32" s="22"/>
      <c r="F32" s="22"/>
      <c r="G32" s="26" t="n">
        <f aca="false">IF(D32&gt;0,F32/D32*100,0)</f>
        <v>0</v>
      </c>
      <c r="H32" s="22"/>
      <c r="I32" s="22"/>
      <c r="J32" s="22"/>
      <c r="K32" s="22"/>
    </row>
    <row r="33" customFormat="false" ht="15" hidden="false" customHeight="false" outlineLevel="0" collapsed="false">
      <c r="A33" s="4" t="n">
        <v>30</v>
      </c>
      <c r="B33" s="23"/>
      <c r="C33" s="23"/>
      <c r="D33" s="23"/>
      <c r="E33" s="23"/>
      <c r="F33" s="23"/>
      <c r="G33" s="28" t="n">
        <f aca="false">IF(D33&gt;0,F33/D33*100,0)</f>
        <v>0</v>
      </c>
      <c r="H33" s="23"/>
      <c r="I33" s="23"/>
      <c r="J33" s="23"/>
      <c r="K33" s="23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9" min="5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6" t="s">
        <v>17</v>
      </c>
      <c r="B1" s="46"/>
      <c r="C1" s="46"/>
      <c r="D1" s="46"/>
      <c r="E1" s="46"/>
      <c r="F1" s="46"/>
      <c r="G1" s="46"/>
      <c r="H1" s="46"/>
      <c r="I1" s="46"/>
      <c r="J1" s="46"/>
    </row>
    <row r="2" customFormat="false" ht="25.5" hidden="false" customHeight="true" outlineLevel="0" collapsed="false">
      <c r="A2" s="47" t="s">
        <v>189</v>
      </c>
      <c r="B2" s="47"/>
      <c r="C2" s="47"/>
      <c r="D2" s="47"/>
      <c r="E2" s="47"/>
      <c r="F2" s="47"/>
      <c r="G2" s="47"/>
      <c r="H2" s="47"/>
      <c r="I2" s="47"/>
      <c r="J2" s="47"/>
    </row>
    <row r="3" customFormat="false" ht="35.05" hidden="false" customHeight="false" outlineLevel="0" collapsed="false">
      <c r="A3" s="48" t="s">
        <v>123</v>
      </c>
      <c r="B3" s="48" t="s">
        <v>124</v>
      </c>
      <c r="C3" s="48" t="s">
        <v>125</v>
      </c>
      <c r="D3" s="48" t="s">
        <v>190</v>
      </c>
      <c r="E3" s="48" t="s">
        <v>191</v>
      </c>
      <c r="F3" s="48" t="s">
        <v>192</v>
      </c>
      <c r="G3" s="48" t="s">
        <v>193</v>
      </c>
      <c r="H3" s="48" t="s">
        <v>194</v>
      </c>
      <c r="I3" s="48" t="s">
        <v>195</v>
      </c>
      <c r="J3" s="48" t="s">
        <v>134</v>
      </c>
    </row>
    <row r="4" customFormat="false" ht="15" hidden="false" customHeight="false" outlineLevel="0" collapsed="false">
      <c r="A4" s="8" t="n">
        <v>1</v>
      </c>
      <c r="B4" s="22"/>
      <c r="C4" s="22"/>
      <c r="D4" s="22"/>
      <c r="E4" s="22"/>
      <c r="F4" s="22"/>
      <c r="G4" s="22"/>
      <c r="H4" s="49"/>
      <c r="I4" s="22"/>
      <c r="J4" s="22"/>
    </row>
    <row r="5" customFormat="false" ht="15" hidden="false" customHeight="false" outlineLevel="0" collapsed="false">
      <c r="A5" s="4" t="n">
        <v>2</v>
      </c>
      <c r="B5" s="23"/>
      <c r="C5" s="23"/>
      <c r="D5" s="23"/>
      <c r="E5" s="23"/>
      <c r="F5" s="23"/>
      <c r="G5" s="23"/>
      <c r="H5" s="50"/>
      <c r="I5" s="23"/>
      <c r="J5" s="23"/>
    </row>
    <row r="6" customFormat="false" ht="15" hidden="false" customHeight="false" outlineLevel="0" collapsed="false">
      <c r="A6" s="8" t="n">
        <v>3</v>
      </c>
      <c r="B6" s="22"/>
      <c r="C6" s="22"/>
      <c r="D6" s="22"/>
      <c r="E6" s="22"/>
      <c r="F6" s="22"/>
      <c r="G6" s="22"/>
      <c r="H6" s="49"/>
      <c r="I6" s="22"/>
      <c r="J6" s="22"/>
    </row>
    <row r="7" customFormat="false" ht="15" hidden="false" customHeight="false" outlineLevel="0" collapsed="false">
      <c r="A7" s="4" t="n">
        <v>4</v>
      </c>
      <c r="B7" s="23"/>
      <c r="C7" s="23"/>
      <c r="D7" s="23"/>
      <c r="E7" s="23"/>
      <c r="F7" s="23"/>
      <c r="G7" s="23"/>
      <c r="H7" s="50"/>
      <c r="I7" s="23"/>
      <c r="J7" s="23"/>
    </row>
    <row r="8" customFormat="false" ht="15" hidden="false" customHeight="false" outlineLevel="0" collapsed="false">
      <c r="A8" s="8" t="n">
        <v>5</v>
      </c>
      <c r="B8" s="22"/>
      <c r="C8" s="22"/>
      <c r="D8" s="22"/>
      <c r="E8" s="22"/>
      <c r="F8" s="22"/>
      <c r="G8" s="22"/>
      <c r="H8" s="49"/>
      <c r="I8" s="22"/>
      <c r="J8" s="22"/>
    </row>
    <row r="9" customFormat="false" ht="15" hidden="false" customHeight="false" outlineLevel="0" collapsed="false">
      <c r="A9" s="4" t="n">
        <v>6</v>
      </c>
      <c r="B9" s="23"/>
      <c r="C9" s="23"/>
      <c r="D9" s="23"/>
      <c r="E9" s="23"/>
      <c r="F9" s="23"/>
      <c r="G9" s="23"/>
      <c r="H9" s="50"/>
      <c r="I9" s="23"/>
      <c r="J9" s="23"/>
    </row>
    <row r="10" customFormat="false" ht="15" hidden="false" customHeight="false" outlineLevel="0" collapsed="false">
      <c r="A10" s="8" t="n">
        <v>7</v>
      </c>
      <c r="B10" s="22"/>
      <c r="C10" s="22"/>
      <c r="D10" s="22"/>
      <c r="E10" s="22"/>
      <c r="F10" s="22"/>
      <c r="G10" s="22"/>
      <c r="H10" s="49"/>
      <c r="I10" s="22"/>
      <c r="J10" s="22"/>
    </row>
    <row r="11" customFormat="false" ht="15" hidden="false" customHeight="false" outlineLevel="0" collapsed="false">
      <c r="A11" s="4" t="n">
        <v>8</v>
      </c>
      <c r="B11" s="23"/>
      <c r="C11" s="23"/>
      <c r="D11" s="23"/>
      <c r="E11" s="23"/>
      <c r="F11" s="23"/>
      <c r="G11" s="23"/>
      <c r="H11" s="50"/>
      <c r="I11" s="23"/>
      <c r="J11" s="23"/>
    </row>
    <row r="12" customFormat="false" ht="15" hidden="false" customHeight="false" outlineLevel="0" collapsed="false">
      <c r="A12" s="8" t="n">
        <v>9</v>
      </c>
      <c r="B12" s="22"/>
      <c r="C12" s="22"/>
      <c r="D12" s="22"/>
      <c r="E12" s="22"/>
      <c r="F12" s="22"/>
      <c r="G12" s="22"/>
      <c r="H12" s="49"/>
      <c r="I12" s="22"/>
      <c r="J12" s="22"/>
    </row>
    <row r="13" customFormat="false" ht="15" hidden="false" customHeight="false" outlineLevel="0" collapsed="false">
      <c r="A13" s="4" t="n">
        <v>10</v>
      </c>
      <c r="B13" s="23"/>
      <c r="C13" s="23"/>
      <c r="D13" s="23"/>
      <c r="E13" s="23"/>
      <c r="F13" s="23"/>
      <c r="G13" s="23"/>
      <c r="H13" s="50"/>
      <c r="I13" s="23"/>
      <c r="J13" s="23"/>
    </row>
    <row r="14" customFormat="false" ht="15" hidden="false" customHeight="false" outlineLevel="0" collapsed="false">
      <c r="A14" s="8" t="n">
        <v>11</v>
      </c>
      <c r="B14" s="22"/>
      <c r="C14" s="22"/>
      <c r="D14" s="22"/>
      <c r="E14" s="22"/>
      <c r="F14" s="22"/>
      <c r="G14" s="22"/>
      <c r="H14" s="49"/>
      <c r="I14" s="22"/>
      <c r="J14" s="22"/>
    </row>
    <row r="15" customFormat="false" ht="15" hidden="false" customHeight="false" outlineLevel="0" collapsed="false">
      <c r="A15" s="4" t="n">
        <v>12</v>
      </c>
      <c r="B15" s="23"/>
      <c r="C15" s="23"/>
      <c r="D15" s="23"/>
      <c r="E15" s="23"/>
      <c r="F15" s="23"/>
      <c r="G15" s="23"/>
      <c r="H15" s="50"/>
      <c r="I15" s="23"/>
      <c r="J15" s="23"/>
    </row>
    <row r="16" customFormat="false" ht="15" hidden="false" customHeight="false" outlineLevel="0" collapsed="false">
      <c r="A16" s="8" t="n">
        <v>13</v>
      </c>
      <c r="B16" s="22"/>
      <c r="C16" s="22"/>
      <c r="D16" s="22"/>
      <c r="E16" s="22"/>
      <c r="F16" s="22"/>
      <c r="G16" s="22"/>
      <c r="H16" s="49"/>
      <c r="I16" s="22"/>
      <c r="J16" s="22"/>
    </row>
    <row r="17" customFormat="false" ht="15" hidden="false" customHeight="false" outlineLevel="0" collapsed="false">
      <c r="A17" s="4" t="n">
        <v>14</v>
      </c>
      <c r="B17" s="23"/>
      <c r="C17" s="23"/>
      <c r="D17" s="23"/>
      <c r="E17" s="23"/>
      <c r="F17" s="23"/>
      <c r="G17" s="23"/>
      <c r="H17" s="50"/>
      <c r="I17" s="23"/>
      <c r="J17" s="23"/>
    </row>
    <row r="18" customFormat="false" ht="15" hidden="false" customHeight="false" outlineLevel="0" collapsed="false">
      <c r="A18" s="8" t="n">
        <v>15</v>
      </c>
      <c r="B18" s="22"/>
      <c r="C18" s="22"/>
      <c r="D18" s="22"/>
      <c r="E18" s="22"/>
      <c r="F18" s="22"/>
      <c r="G18" s="22"/>
      <c r="H18" s="49"/>
      <c r="I18" s="22"/>
      <c r="J18" s="22"/>
    </row>
    <row r="19" customFormat="false" ht="15" hidden="false" customHeight="false" outlineLevel="0" collapsed="false">
      <c r="A19" s="4" t="n">
        <v>16</v>
      </c>
      <c r="B19" s="23"/>
      <c r="C19" s="23"/>
      <c r="D19" s="23"/>
      <c r="E19" s="23"/>
      <c r="F19" s="23"/>
      <c r="G19" s="23"/>
      <c r="H19" s="50"/>
      <c r="I19" s="23"/>
      <c r="J19" s="23"/>
    </row>
    <row r="20" customFormat="false" ht="15" hidden="false" customHeight="false" outlineLevel="0" collapsed="false">
      <c r="A20" s="8" t="n">
        <v>17</v>
      </c>
      <c r="B20" s="22"/>
      <c r="C20" s="22"/>
      <c r="D20" s="22"/>
      <c r="E20" s="22"/>
      <c r="F20" s="22"/>
      <c r="G20" s="22"/>
      <c r="H20" s="49"/>
      <c r="I20" s="22"/>
      <c r="J20" s="22"/>
    </row>
    <row r="21" customFormat="false" ht="15" hidden="false" customHeight="false" outlineLevel="0" collapsed="false">
      <c r="A21" s="4" t="n">
        <v>18</v>
      </c>
      <c r="B21" s="23"/>
      <c r="C21" s="23"/>
      <c r="D21" s="23"/>
      <c r="E21" s="23"/>
      <c r="F21" s="23"/>
      <c r="G21" s="23"/>
      <c r="H21" s="50"/>
      <c r="I21" s="23"/>
      <c r="J21" s="23"/>
    </row>
    <row r="22" customFormat="false" ht="15" hidden="false" customHeight="false" outlineLevel="0" collapsed="false">
      <c r="A22" s="8" t="n">
        <v>19</v>
      </c>
      <c r="B22" s="22"/>
      <c r="C22" s="22"/>
      <c r="D22" s="22"/>
      <c r="E22" s="22"/>
      <c r="F22" s="22"/>
      <c r="G22" s="22"/>
      <c r="H22" s="49"/>
      <c r="I22" s="22"/>
      <c r="J22" s="22"/>
    </row>
    <row r="23" customFormat="false" ht="15" hidden="false" customHeight="false" outlineLevel="0" collapsed="false">
      <c r="A23" s="4" t="n">
        <v>20</v>
      </c>
      <c r="B23" s="23"/>
      <c r="C23" s="23"/>
      <c r="D23" s="23"/>
      <c r="E23" s="23"/>
      <c r="F23" s="23"/>
      <c r="G23" s="23"/>
      <c r="H23" s="50"/>
      <c r="I23" s="23"/>
      <c r="J23" s="23"/>
    </row>
    <row r="24" customFormat="false" ht="15" hidden="false" customHeight="false" outlineLevel="0" collapsed="false">
      <c r="A24" s="8" t="n">
        <v>21</v>
      </c>
      <c r="B24" s="22"/>
      <c r="C24" s="22"/>
      <c r="D24" s="22"/>
      <c r="E24" s="22"/>
      <c r="F24" s="22"/>
      <c r="G24" s="22"/>
      <c r="H24" s="49"/>
      <c r="I24" s="22"/>
      <c r="J24" s="22"/>
    </row>
    <row r="25" customFormat="false" ht="15" hidden="false" customHeight="false" outlineLevel="0" collapsed="false">
      <c r="A25" s="4" t="n">
        <v>22</v>
      </c>
      <c r="B25" s="23"/>
      <c r="C25" s="23"/>
      <c r="D25" s="23"/>
      <c r="E25" s="23"/>
      <c r="F25" s="23"/>
      <c r="G25" s="23"/>
      <c r="H25" s="50"/>
      <c r="I25" s="23"/>
      <c r="J25" s="23"/>
    </row>
    <row r="26" customFormat="false" ht="15" hidden="false" customHeight="false" outlineLevel="0" collapsed="false">
      <c r="A26" s="8" t="n">
        <v>23</v>
      </c>
      <c r="B26" s="22"/>
      <c r="C26" s="22"/>
      <c r="D26" s="22"/>
      <c r="E26" s="22"/>
      <c r="F26" s="22"/>
      <c r="G26" s="22"/>
      <c r="H26" s="49"/>
      <c r="I26" s="22"/>
      <c r="J26" s="22"/>
    </row>
    <row r="27" customFormat="false" ht="15" hidden="false" customHeight="false" outlineLevel="0" collapsed="false">
      <c r="A27" s="4" t="n">
        <v>24</v>
      </c>
      <c r="B27" s="23"/>
      <c r="C27" s="23"/>
      <c r="D27" s="23"/>
      <c r="E27" s="23"/>
      <c r="F27" s="23"/>
      <c r="G27" s="23"/>
      <c r="H27" s="50"/>
      <c r="I27" s="23"/>
      <c r="J27" s="23"/>
    </row>
    <row r="28" customFormat="false" ht="15" hidden="false" customHeight="false" outlineLevel="0" collapsed="false">
      <c r="A28" s="8" t="n">
        <v>25</v>
      </c>
      <c r="B28" s="22"/>
      <c r="C28" s="22"/>
      <c r="D28" s="22"/>
      <c r="E28" s="22"/>
      <c r="F28" s="22"/>
      <c r="G28" s="22"/>
      <c r="H28" s="49"/>
      <c r="I28" s="22"/>
      <c r="J28" s="22"/>
    </row>
    <row r="29" customFormat="false" ht="15" hidden="false" customHeight="false" outlineLevel="0" collapsed="false">
      <c r="A29" s="4" t="n">
        <v>26</v>
      </c>
      <c r="B29" s="23"/>
      <c r="C29" s="23"/>
      <c r="D29" s="23"/>
      <c r="E29" s="23"/>
      <c r="F29" s="23"/>
      <c r="G29" s="23"/>
      <c r="H29" s="50"/>
      <c r="I29" s="23"/>
      <c r="J29" s="23"/>
    </row>
    <row r="30" customFormat="false" ht="15" hidden="false" customHeight="false" outlineLevel="0" collapsed="false">
      <c r="A30" s="8" t="n">
        <v>27</v>
      </c>
      <c r="B30" s="22"/>
      <c r="C30" s="22"/>
      <c r="D30" s="22"/>
      <c r="E30" s="22"/>
      <c r="F30" s="22"/>
      <c r="G30" s="22"/>
      <c r="H30" s="49"/>
      <c r="I30" s="22"/>
      <c r="J30" s="22"/>
    </row>
    <row r="31" customFormat="false" ht="15" hidden="false" customHeight="false" outlineLevel="0" collapsed="false">
      <c r="A31" s="4" t="n">
        <v>28</v>
      </c>
      <c r="B31" s="23"/>
      <c r="C31" s="23"/>
      <c r="D31" s="23"/>
      <c r="E31" s="23"/>
      <c r="F31" s="23"/>
      <c r="G31" s="23"/>
      <c r="H31" s="50"/>
      <c r="I31" s="23"/>
      <c r="J31" s="23"/>
    </row>
    <row r="32" customFormat="false" ht="15" hidden="false" customHeight="false" outlineLevel="0" collapsed="false">
      <c r="A32" s="8" t="n">
        <v>29</v>
      </c>
      <c r="B32" s="22"/>
      <c r="C32" s="22"/>
      <c r="D32" s="22"/>
      <c r="E32" s="22"/>
      <c r="F32" s="22"/>
      <c r="G32" s="22"/>
      <c r="H32" s="49"/>
      <c r="I32" s="22"/>
      <c r="J32" s="22"/>
    </row>
    <row r="33" customFormat="false" ht="15" hidden="false" customHeight="false" outlineLevel="0" collapsed="false">
      <c r="A33" s="4" t="n">
        <v>30</v>
      </c>
      <c r="B33" s="23"/>
      <c r="C33" s="23"/>
      <c r="D33" s="23"/>
      <c r="E33" s="23"/>
      <c r="F33" s="23"/>
      <c r="G33" s="23"/>
      <c r="H33" s="50"/>
      <c r="I33" s="23"/>
      <c r="J33" s="2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A64"/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22"/>
  </cols>
  <sheetData>
    <row r="1" customFormat="false" ht="33.75" hidden="false" customHeight="true" outlineLevel="0" collapsed="false">
      <c r="A1" s="51" t="s">
        <v>196</v>
      </c>
      <c r="B1" s="51"/>
      <c r="C1" s="51"/>
      <c r="D1" s="51"/>
    </row>
    <row r="2" customFormat="false" ht="25.5" hidden="false" customHeight="true" outlineLevel="0" collapsed="false">
      <c r="A2" s="52" t="s">
        <v>197</v>
      </c>
      <c r="B2" s="52"/>
      <c r="C2" s="52"/>
      <c r="D2" s="52"/>
    </row>
    <row r="3" customFormat="false" ht="15" hidden="false" customHeight="false" outlineLevel="0" collapsed="false">
      <c r="A3" s="53" t="s">
        <v>2</v>
      </c>
      <c r="B3" s="53" t="s">
        <v>198</v>
      </c>
      <c r="C3" s="53" t="s">
        <v>199</v>
      </c>
      <c r="D3" s="53" t="s">
        <v>200</v>
      </c>
    </row>
    <row r="4" customFormat="false" ht="36" hidden="false" customHeight="true" outlineLevel="0" collapsed="false">
      <c r="A4" s="8" t="n">
        <v>1</v>
      </c>
      <c r="B4" s="9" t="s">
        <v>201</v>
      </c>
      <c r="C4" s="10" t="s">
        <v>202</v>
      </c>
      <c r="D4" s="10" t="s">
        <v>203</v>
      </c>
    </row>
    <row r="5" customFormat="false" ht="36" hidden="false" customHeight="true" outlineLevel="0" collapsed="false">
      <c r="A5" s="4" t="n">
        <v>2</v>
      </c>
      <c r="B5" s="5" t="s">
        <v>204</v>
      </c>
      <c r="C5" s="6" t="s">
        <v>205</v>
      </c>
      <c r="D5" s="6" t="s">
        <v>206</v>
      </c>
    </row>
    <row r="6" customFormat="false" ht="36" hidden="false" customHeight="true" outlineLevel="0" collapsed="false">
      <c r="A6" s="8" t="n">
        <v>3</v>
      </c>
      <c r="B6" s="9" t="s">
        <v>207</v>
      </c>
      <c r="C6" s="10" t="s">
        <v>208</v>
      </c>
      <c r="D6" s="10" t="s">
        <v>209</v>
      </c>
    </row>
    <row r="7" customFormat="false" ht="36" hidden="false" customHeight="true" outlineLevel="0" collapsed="false">
      <c r="A7" s="4" t="n">
        <v>4</v>
      </c>
      <c r="B7" s="5" t="s">
        <v>210</v>
      </c>
      <c r="C7" s="6" t="s">
        <v>211</v>
      </c>
      <c r="D7" s="6" t="s">
        <v>212</v>
      </c>
    </row>
    <row r="8" customFormat="false" ht="36" hidden="false" customHeight="true" outlineLevel="0" collapsed="false">
      <c r="A8" s="8" t="n">
        <v>5</v>
      </c>
      <c r="B8" s="9" t="s">
        <v>213</v>
      </c>
      <c r="C8" s="10" t="s">
        <v>214</v>
      </c>
      <c r="D8" s="10" t="s">
        <v>215</v>
      </c>
    </row>
    <row r="9" customFormat="false" ht="36" hidden="false" customHeight="true" outlineLevel="0" collapsed="false">
      <c r="A9" s="4" t="n">
        <v>6</v>
      </c>
      <c r="B9" s="5" t="s">
        <v>216</v>
      </c>
      <c r="C9" s="6" t="s">
        <v>217</v>
      </c>
      <c r="D9" s="6" t="s">
        <v>218</v>
      </c>
    </row>
    <row r="10" customFormat="false" ht="36" hidden="false" customHeight="true" outlineLevel="0" collapsed="false">
      <c r="A10" s="8" t="n">
        <v>7</v>
      </c>
      <c r="B10" s="9" t="s">
        <v>219</v>
      </c>
      <c r="C10" s="10" t="s">
        <v>220</v>
      </c>
      <c r="D10" s="10" t="s">
        <v>221</v>
      </c>
    </row>
    <row r="11" customFormat="false" ht="36" hidden="false" customHeight="true" outlineLevel="0" collapsed="false">
      <c r="A11" s="4" t="n">
        <v>8</v>
      </c>
      <c r="B11" s="5" t="s">
        <v>222</v>
      </c>
      <c r="C11" s="6" t="s">
        <v>223</v>
      </c>
      <c r="D11" s="6" t="s">
        <v>224</v>
      </c>
    </row>
    <row r="12" customFormat="false" ht="36" hidden="false" customHeight="true" outlineLevel="0" collapsed="false">
      <c r="A12" s="8" t="n">
        <v>9</v>
      </c>
      <c r="B12" s="9" t="s">
        <v>225</v>
      </c>
      <c r="C12" s="10" t="s">
        <v>226</v>
      </c>
      <c r="D12" s="10" t="s">
        <v>227</v>
      </c>
    </row>
    <row r="13" customFormat="false" ht="36" hidden="false" customHeight="true" outlineLevel="0" collapsed="false">
      <c r="A13" s="4" t="n">
        <v>10</v>
      </c>
      <c r="B13" s="5" t="s">
        <v>228</v>
      </c>
      <c r="C13" s="6" t="s">
        <v>229</v>
      </c>
      <c r="D13" s="6" t="s">
        <v>230</v>
      </c>
    </row>
    <row r="14" customFormat="false" ht="36" hidden="false" customHeight="true" outlineLevel="0" collapsed="false">
      <c r="A14" s="8" t="n">
        <v>11</v>
      </c>
      <c r="B14" s="9" t="s">
        <v>231</v>
      </c>
      <c r="C14" s="10" t="s">
        <v>232</v>
      </c>
      <c r="D14" s="10" t="s">
        <v>233</v>
      </c>
    </row>
    <row r="15" customFormat="false" ht="36" hidden="false" customHeight="true" outlineLevel="0" collapsed="false">
      <c r="A15" s="4" t="n">
        <v>12</v>
      </c>
      <c r="B15" s="5" t="s">
        <v>234</v>
      </c>
      <c r="C15" s="6" t="s">
        <v>235</v>
      </c>
      <c r="D15" s="6" t="s">
        <v>236</v>
      </c>
    </row>
    <row r="16" customFormat="false" ht="36" hidden="false" customHeight="true" outlineLevel="0" collapsed="false">
      <c r="A16" s="8" t="n">
        <v>13</v>
      </c>
      <c r="B16" s="9" t="s">
        <v>237</v>
      </c>
      <c r="C16" s="10" t="s">
        <v>238</v>
      </c>
      <c r="D16" s="10" t="s">
        <v>239</v>
      </c>
    </row>
    <row r="17" customFormat="false" ht="36" hidden="false" customHeight="true" outlineLevel="0" collapsed="false">
      <c r="A17" s="4" t="n">
        <v>14</v>
      </c>
      <c r="B17" s="5" t="s">
        <v>240</v>
      </c>
      <c r="C17" s="6" t="s">
        <v>241</v>
      </c>
      <c r="D17" s="6" t="s">
        <v>242</v>
      </c>
    </row>
    <row r="18" customFormat="false" ht="36" hidden="false" customHeight="true" outlineLevel="0" collapsed="false">
      <c r="A18" s="8" t="n">
        <v>15</v>
      </c>
      <c r="B18" s="9" t="s">
        <v>243</v>
      </c>
      <c r="C18" s="10" t="s">
        <v>244</v>
      </c>
      <c r="D18" s="10" t="s">
        <v>245</v>
      </c>
    </row>
    <row r="19" customFormat="false" ht="36" hidden="false" customHeight="true" outlineLevel="0" collapsed="false">
      <c r="A19" s="4" t="n">
        <v>16</v>
      </c>
      <c r="B19" s="5" t="s">
        <v>246</v>
      </c>
      <c r="C19" s="6" t="s">
        <v>247</v>
      </c>
      <c r="D19" s="6" t="s">
        <v>248</v>
      </c>
    </row>
    <row r="20" customFormat="false" ht="36" hidden="false" customHeight="true" outlineLevel="0" collapsed="false">
      <c r="A20" s="8" t="n">
        <v>17</v>
      </c>
      <c r="B20" s="9" t="s">
        <v>249</v>
      </c>
      <c r="C20" s="10" t="s">
        <v>250</v>
      </c>
      <c r="D20" s="10" t="s">
        <v>251</v>
      </c>
    </row>
    <row r="21" customFormat="false" ht="36" hidden="false" customHeight="true" outlineLevel="0" collapsed="false">
      <c r="A21" s="4" t="n">
        <v>18</v>
      </c>
      <c r="B21" s="5" t="s">
        <v>252</v>
      </c>
      <c r="C21" s="6" t="s">
        <v>253</v>
      </c>
      <c r="D21" s="6" t="s">
        <v>254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8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54" t="s">
        <v>255</v>
      </c>
      <c r="B1" s="54"/>
      <c r="C1" s="54"/>
      <c r="D1" s="54"/>
      <c r="E1" s="54"/>
      <c r="F1" s="54"/>
      <c r="G1" s="54"/>
      <c r="H1" s="54"/>
      <c r="I1" s="54"/>
    </row>
    <row r="2" customFormat="false" ht="25.5" hidden="false" customHeight="true" outlineLevel="0" collapsed="false">
      <c r="A2" s="17" t="s">
        <v>256</v>
      </c>
      <c r="B2" s="17"/>
      <c r="C2" s="17"/>
      <c r="D2" s="17"/>
      <c r="E2" s="17"/>
      <c r="F2" s="17"/>
      <c r="G2" s="17"/>
      <c r="H2" s="17"/>
      <c r="I2" s="17"/>
    </row>
    <row r="3" customFormat="false" ht="23.85" hidden="false" customHeight="false" outlineLevel="0" collapsed="false">
      <c r="A3" s="13" t="s">
        <v>123</v>
      </c>
      <c r="B3" s="13" t="s">
        <v>124</v>
      </c>
      <c r="C3" s="13" t="s">
        <v>257</v>
      </c>
      <c r="D3" s="13" t="s">
        <v>258</v>
      </c>
      <c r="E3" s="13" t="s">
        <v>259</v>
      </c>
      <c r="F3" s="13" t="s">
        <v>260</v>
      </c>
      <c r="G3" s="13" t="s">
        <v>261</v>
      </c>
      <c r="H3" s="13" t="s">
        <v>262</v>
      </c>
      <c r="I3" s="13" t="s">
        <v>263</v>
      </c>
    </row>
    <row r="4" customFormat="false" ht="15" hidden="false" customHeight="false" outlineLevel="0" collapsed="false">
      <c r="B4" s="55" t="s">
        <v>264</v>
      </c>
      <c r="C4" s="56" t="n">
        <v>0.3</v>
      </c>
      <c r="D4" s="56" t="n">
        <v>0.2</v>
      </c>
      <c r="E4" s="56" t="n">
        <v>0.2</v>
      </c>
      <c r="F4" s="56" t="n">
        <v>0.175</v>
      </c>
      <c r="G4" s="56" t="n">
        <v>0.125</v>
      </c>
    </row>
    <row r="5" customFormat="false" ht="15" hidden="false" customHeight="false" outlineLevel="0" collapsed="false">
      <c r="A5" s="4" t="n">
        <v>1</v>
      </c>
      <c r="B5" s="23"/>
      <c r="C5" s="50"/>
      <c r="D5" s="50"/>
      <c r="E5" s="50"/>
      <c r="F5" s="50"/>
      <c r="G5" s="50"/>
      <c r="H5" s="57" t="n">
        <f aca="false">C5*$C$4+D5*$D$4+E5*$E$4+F5*$F$4+G5*$G$4</f>
        <v>0</v>
      </c>
      <c r="I5" s="7" t="n">
        <f aca="false">IFERROR(RANK(H5,$H$5:$H$34,0),"")</f>
        <v>1</v>
      </c>
    </row>
    <row r="6" customFormat="false" ht="15" hidden="false" customHeight="false" outlineLevel="0" collapsed="false">
      <c r="A6" s="8" t="n">
        <v>2</v>
      </c>
      <c r="B6" s="22"/>
      <c r="C6" s="49"/>
      <c r="D6" s="49"/>
      <c r="E6" s="49"/>
      <c r="F6" s="49"/>
      <c r="G6" s="49"/>
      <c r="H6" s="58" t="n">
        <f aca="false">C6*$C$4+D6*$D$4+E6*$E$4+F6*$F$4+G6*$G$4</f>
        <v>0</v>
      </c>
      <c r="I6" s="11" t="n">
        <f aca="false">IFERROR(RANK(H6,$H$5:$H$34,0),"")</f>
        <v>1</v>
      </c>
    </row>
    <row r="7" customFormat="false" ht="15" hidden="false" customHeight="false" outlineLevel="0" collapsed="false">
      <c r="A7" s="4" t="n">
        <v>3</v>
      </c>
      <c r="B7" s="23"/>
      <c r="C7" s="50"/>
      <c r="D7" s="50"/>
      <c r="E7" s="50"/>
      <c r="F7" s="50"/>
      <c r="G7" s="50"/>
      <c r="H7" s="57" t="n">
        <f aca="false">C7*$C$4+D7*$D$4+E7*$E$4+F7*$F$4+G7*$G$4</f>
        <v>0</v>
      </c>
      <c r="I7" s="7" t="n">
        <f aca="false">IFERROR(RANK(H7,$H$5:$H$34,0),"")</f>
        <v>1</v>
      </c>
    </row>
    <row r="8" customFormat="false" ht="15" hidden="false" customHeight="false" outlineLevel="0" collapsed="false">
      <c r="A8" s="8" t="n">
        <v>4</v>
      </c>
      <c r="B8" s="22"/>
      <c r="C8" s="49"/>
      <c r="D8" s="49"/>
      <c r="E8" s="49"/>
      <c r="F8" s="49"/>
      <c r="G8" s="49"/>
      <c r="H8" s="58" t="n">
        <f aca="false">C8*$C$4+D8*$D$4+E8*$E$4+F8*$F$4+G8*$G$4</f>
        <v>0</v>
      </c>
      <c r="I8" s="11" t="n">
        <f aca="false">IFERROR(RANK(H8,$H$5:$H$34,0),"")</f>
        <v>1</v>
      </c>
    </row>
    <row r="9" customFormat="false" ht="15" hidden="false" customHeight="false" outlineLevel="0" collapsed="false">
      <c r="A9" s="4" t="n">
        <v>5</v>
      </c>
      <c r="B9" s="23"/>
      <c r="C9" s="50"/>
      <c r="D9" s="50"/>
      <c r="E9" s="50"/>
      <c r="F9" s="50"/>
      <c r="G9" s="50"/>
      <c r="H9" s="57" t="n">
        <f aca="false">C9*$C$4+D9*$D$4+E9*$E$4+F9*$F$4+G9*$G$4</f>
        <v>0</v>
      </c>
      <c r="I9" s="7" t="n">
        <f aca="false">IFERROR(RANK(H9,$H$5:$H$34,0),"")</f>
        <v>1</v>
      </c>
    </row>
    <row r="10" customFormat="false" ht="15" hidden="false" customHeight="false" outlineLevel="0" collapsed="false">
      <c r="A10" s="8" t="n">
        <v>6</v>
      </c>
      <c r="B10" s="22"/>
      <c r="C10" s="49"/>
      <c r="D10" s="49"/>
      <c r="E10" s="49"/>
      <c r="F10" s="49"/>
      <c r="G10" s="49"/>
      <c r="H10" s="58" t="n">
        <f aca="false">C10*$C$4+D10*$D$4+E10*$E$4+F10*$F$4+G10*$G$4</f>
        <v>0</v>
      </c>
      <c r="I10" s="11" t="n">
        <f aca="false">IFERROR(RANK(H10,$H$5:$H$34,0),"")</f>
        <v>1</v>
      </c>
    </row>
    <row r="11" customFormat="false" ht="15" hidden="false" customHeight="false" outlineLevel="0" collapsed="false">
      <c r="A11" s="4" t="n">
        <v>7</v>
      </c>
      <c r="B11" s="23"/>
      <c r="C11" s="50"/>
      <c r="D11" s="50"/>
      <c r="E11" s="50"/>
      <c r="F11" s="50"/>
      <c r="G11" s="50"/>
      <c r="H11" s="57" t="n">
        <f aca="false">C11*$C$4+D11*$D$4+E11*$E$4+F11*$F$4+G11*$G$4</f>
        <v>0</v>
      </c>
      <c r="I11" s="7" t="n">
        <f aca="false">IFERROR(RANK(H11,$H$5:$H$34,0),"")</f>
        <v>1</v>
      </c>
    </row>
    <row r="12" customFormat="false" ht="15" hidden="false" customHeight="false" outlineLevel="0" collapsed="false">
      <c r="A12" s="8" t="n">
        <v>8</v>
      </c>
      <c r="B12" s="22"/>
      <c r="C12" s="49"/>
      <c r="D12" s="49"/>
      <c r="E12" s="49"/>
      <c r="F12" s="49"/>
      <c r="G12" s="49"/>
      <c r="H12" s="58" t="n">
        <f aca="false">C12*$C$4+D12*$D$4+E12*$E$4+F12*$F$4+G12*$G$4</f>
        <v>0</v>
      </c>
      <c r="I12" s="11" t="n">
        <f aca="false">IFERROR(RANK(H12,$H$5:$H$34,0),"")</f>
        <v>1</v>
      </c>
    </row>
    <row r="13" customFormat="false" ht="15" hidden="false" customHeight="false" outlineLevel="0" collapsed="false">
      <c r="A13" s="4" t="n">
        <v>9</v>
      </c>
      <c r="B13" s="23"/>
      <c r="C13" s="50"/>
      <c r="D13" s="50"/>
      <c r="E13" s="50"/>
      <c r="F13" s="50"/>
      <c r="G13" s="50"/>
      <c r="H13" s="57" t="n">
        <f aca="false">C13*$C$4+D13*$D$4+E13*$E$4+F13*$F$4+G13*$G$4</f>
        <v>0</v>
      </c>
      <c r="I13" s="7" t="n">
        <f aca="false">IFERROR(RANK(H13,$H$5:$H$34,0),"")</f>
        <v>1</v>
      </c>
    </row>
    <row r="14" customFormat="false" ht="15" hidden="false" customHeight="false" outlineLevel="0" collapsed="false">
      <c r="A14" s="8" t="n">
        <v>10</v>
      </c>
      <c r="B14" s="22"/>
      <c r="C14" s="49"/>
      <c r="D14" s="49"/>
      <c r="E14" s="49"/>
      <c r="F14" s="49"/>
      <c r="G14" s="49"/>
      <c r="H14" s="58" t="n">
        <f aca="false">C14*$C$4+D14*$D$4+E14*$E$4+F14*$F$4+G14*$G$4</f>
        <v>0</v>
      </c>
      <c r="I14" s="11" t="n">
        <f aca="false">IFERROR(RANK(H14,$H$5:$H$34,0),"")</f>
        <v>1</v>
      </c>
    </row>
    <row r="15" customFormat="false" ht="15" hidden="false" customHeight="false" outlineLevel="0" collapsed="false">
      <c r="A15" s="4" t="n">
        <v>11</v>
      </c>
      <c r="B15" s="23"/>
      <c r="C15" s="50"/>
      <c r="D15" s="50"/>
      <c r="E15" s="50"/>
      <c r="F15" s="50"/>
      <c r="G15" s="50"/>
      <c r="H15" s="57" t="n">
        <f aca="false">C15*$C$4+D15*$D$4+E15*$E$4+F15*$F$4+G15*$G$4</f>
        <v>0</v>
      </c>
      <c r="I15" s="7" t="n">
        <f aca="false">IFERROR(RANK(H15,$H$5:$H$34,0),"")</f>
        <v>1</v>
      </c>
    </row>
    <row r="16" customFormat="false" ht="15" hidden="false" customHeight="false" outlineLevel="0" collapsed="false">
      <c r="A16" s="8" t="n">
        <v>12</v>
      </c>
      <c r="B16" s="22"/>
      <c r="C16" s="49"/>
      <c r="D16" s="49"/>
      <c r="E16" s="49"/>
      <c r="F16" s="49"/>
      <c r="G16" s="49"/>
      <c r="H16" s="58" t="n">
        <f aca="false">C16*$C$4+D16*$D$4+E16*$E$4+F16*$F$4+G16*$G$4</f>
        <v>0</v>
      </c>
      <c r="I16" s="11" t="n">
        <f aca="false">IFERROR(RANK(H16,$H$5:$H$34,0),"")</f>
        <v>1</v>
      </c>
    </row>
    <row r="17" customFormat="false" ht="15" hidden="false" customHeight="false" outlineLevel="0" collapsed="false">
      <c r="A17" s="4" t="n">
        <v>13</v>
      </c>
      <c r="B17" s="23"/>
      <c r="C17" s="50"/>
      <c r="D17" s="50"/>
      <c r="E17" s="50"/>
      <c r="F17" s="50"/>
      <c r="G17" s="50"/>
      <c r="H17" s="57" t="n">
        <f aca="false">C17*$C$4+D17*$D$4+E17*$E$4+F17*$F$4+G17*$G$4</f>
        <v>0</v>
      </c>
      <c r="I17" s="7" t="n">
        <f aca="false">IFERROR(RANK(H17,$H$5:$H$34,0),"")</f>
        <v>1</v>
      </c>
    </row>
    <row r="18" customFormat="false" ht="15" hidden="false" customHeight="false" outlineLevel="0" collapsed="false">
      <c r="A18" s="8" t="n">
        <v>14</v>
      </c>
      <c r="B18" s="22"/>
      <c r="C18" s="49"/>
      <c r="D18" s="49"/>
      <c r="E18" s="49"/>
      <c r="F18" s="49"/>
      <c r="G18" s="49"/>
      <c r="H18" s="58" t="n">
        <f aca="false">C18*$C$4+D18*$D$4+E18*$E$4+F18*$F$4+G18*$G$4</f>
        <v>0</v>
      </c>
      <c r="I18" s="11" t="n">
        <f aca="false">IFERROR(RANK(H18,$H$5:$H$34,0),"")</f>
        <v>1</v>
      </c>
    </row>
    <row r="19" customFormat="false" ht="15" hidden="false" customHeight="false" outlineLevel="0" collapsed="false">
      <c r="A19" s="4" t="n">
        <v>15</v>
      </c>
      <c r="B19" s="23"/>
      <c r="C19" s="50"/>
      <c r="D19" s="50"/>
      <c r="E19" s="50"/>
      <c r="F19" s="50"/>
      <c r="G19" s="50"/>
      <c r="H19" s="57" t="n">
        <f aca="false">C19*$C$4+D19*$D$4+E19*$E$4+F19*$F$4+G19*$G$4</f>
        <v>0</v>
      </c>
      <c r="I19" s="7" t="n">
        <f aca="false">IFERROR(RANK(H19,$H$5:$H$34,0),"")</f>
        <v>1</v>
      </c>
    </row>
    <row r="20" customFormat="false" ht="15" hidden="false" customHeight="false" outlineLevel="0" collapsed="false">
      <c r="A20" s="8" t="n">
        <v>16</v>
      </c>
      <c r="B20" s="22"/>
      <c r="C20" s="49"/>
      <c r="D20" s="49"/>
      <c r="E20" s="49"/>
      <c r="F20" s="49"/>
      <c r="G20" s="49"/>
      <c r="H20" s="58" t="n">
        <f aca="false">C20*$C$4+D20*$D$4+E20*$E$4+F20*$F$4+G20*$G$4</f>
        <v>0</v>
      </c>
      <c r="I20" s="11" t="n">
        <f aca="false">IFERROR(RANK(H20,$H$5:$H$34,0),"")</f>
        <v>1</v>
      </c>
    </row>
    <row r="21" customFormat="false" ht="15" hidden="false" customHeight="false" outlineLevel="0" collapsed="false">
      <c r="A21" s="4" t="n">
        <v>17</v>
      </c>
      <c r="B21" s="23"/>
      <c r="C21" s="50"/>
      <c r="D21" s="50"/>
      <c r="E21" s="50"/>
      <c r="F21" s="50"/>
      <c r="G21" s="50"/>
      <c r="H21" s="57" t="n">
        <f aca="false">C21*$C$4+D21*$D$4+E21*$E$4+F21*$F$4+G21*$G$4</f>
        <v>0</v>
      </c>
      <c r="I21" s="7" t="n">
        <f aca="false">IFERROR(RANK(H21,$H$5:$H$34,0),"")</f>
        <v>1</v>
      </c>
    </row>
    <row r="22" customFormat="false" ht="15" hidden="false" customHeight="false" outlineLevel="0" collapsed="false">
      <c r="A22" s="8" t="n">
        <v>18</v>
      </c>
      <c r="B22" s="22"/>
      <c r="C22" s="49"/>
      <c r="D22" s="49"/>
      <c r="E22" s="49"/>
      <c r="F22" s="49"/>
      <c r="G22" s="49"/>
      <c r="H22" s="58" t="n">
        <f aca="false">C22*$C$4+D22*$D$4+E22*$E$4+F22*$F$4+G22*$G$4</f>
        <v>0</v>
      </c>
      <c r="I22" s="11" t="n">
        <f aca="false">IFERROR(RANK(H22,$H$5:$H$34,0),"")</f>
        <v>1</v>
      </c>
    </row>
    <row r="23" customFormat="false" ht="15" hidden="false" customHeight="false" outlineLevel="0" collapsed="false">
      <c r="A23" s="4" t="n">
        <v>19</v>
      </c>
      <c r="B23" s="23"/>
      <c r="C23" s="50"/>
      <c r="D23" s="50"/>
      <c r="E23" s="50"/>
      <c r="F23" s="50"/>
      <c r="G23" s="50"/>
      <c r="H23" s="57" t="n">
        <f aca="false">C23*$C$4+D23*$D$4+E23*$E$4+F23*$F$4+G23*$G$4</f>
        <v>0</v>
      </c>
      <c r="I23" s="7" t="n">
        <f aca="false">IFERROR(RANK(H23,$H$5:$H$34,0),"")</f>
        <v>1</v>
      </c>
    </row>
    <row r="24" customFormat="false" ht="15" hidden="false" customHeight="false" outlineLevel="0" collapsed="false">
      <c r="A24" s="8" t="n">
        <v>20</v>
      </c>
      <c r="B24" s="22"/>
      <c r="C24" s="49"/>
      <c r="D24" s="49"/>
      <c r="E24" s="49"/>
      <c r="F24" s="49"/>
      <c r="G24" s="49"/>
      <c r="H24" s="58" t="n">
        <f aca="false">C24*$C$4+D24*$D$4+E24*$E$4+F24*$F$4+G24*$G$4</f>
        <v>0</v>
      </c>
      <c r="I24" s="11" t="n">
        <f aca="false">IFERROR(RANK(H24,$H$5:$H$34,0),"")</f>
        <v>1</v>
      </c>
    </row>
    <row r="25" customFormat="false" ht="15" hidden="false" customHeight="false" outlineLevel="0" collapsed="false">
      <c r="A25" s="4" t="n">
        <v>21</v>
      </c>
      <c r="B25" s="23"/>
      <c r="C25" s="50"/>
      <c r="D25" s="50"/>
      <c r="E25" s="50"/>
      <c r="F25" s="50"/>
      <c r="G25" s="50"/>
      <c r="H25" s="57" t="n">
        <f aca="false">C25*$C$4+D25*$D$4+E25*$E$4+F25*$F$4+G25*$G$4</f>
        <v>0</v>
      </c>
      <c r="I25" s="7" t="n">
        <f aca="false">IFERROR(RANK(H25,$H$5:$H$34,0),"")</f>
        <v>1</v>
      </c>
    </row>
    <row r="26" customFormat="false" ht="15" hidden="false" customHeight="false" outlineLevel="0" collapsed="false">
      <c r="A26" s="8" t="n">
        <v>22</v>
      </c>
      <c r="B26" s="22"/>
      <c r="C26" s="49"/>
      <c r="D26" s="49"/>
      <c r="E26" s="49"/>
      <c r="F26" s="49"/>
      <c r="G26" s="49"/>
      <c r="H26" s="58" t="n">
        <f aca="false">C26*$C$4+D26*$D$4+E26*$E$4+F26*$F$4+G26*$G$4</f>
        <v>0</v>
      </c>
      <c r="I26" s="11" t="n">
        <f aca="false">IFERROR(RANK(H26,$H$5:$H$34,0),"")</f>
        <v>1</v>
      </c>
    </row>
    <row r="27" customFormat="false" ht="15" hidden="false" customHeight="false" outlineLevel="0" collapsed="false">
      <c r="A27" s="4" t="n">
        <v>23</v>
      </c>
      <c r="B27" s="23"/>
      <c r="C27" s="50"/>
      <c r="D27" s="50"/>
      <c r="E27" s="50"/>
      <c r="F27" s="50"/>
      <c r="G27" s="50"/>
      <c r="H27" s="57" t="n">
        <f aca="false">C27*$C$4+D27*$D$4+E27*$E$4+F27*$F$4+G27*$G$4</f>
        <v>0</v>
      </c>
      <c r="I27" s="7" t="n">
        <f aca="false">IFERROR(RANK(H27,$H$5:$H$34,0),"")</f>
        <v>1</v>
      </c>
    </row>
    <row r="28" customFormat="false" ht="15" hidden="false" customHeight="false" outlineLevel="0" collapsed="false">
      <c r="A28" s="8" t="n">
        <v>24</v>
      </c>
      <c r="B28" s="22"/>
      <c r="C28" s="49"/>
      <c r="D28" s="49"/>
      <c r="E28" s="49"/>
      <c r="F28" s="49"/>
      <c r="G28" s="49"/>
      <c r="H28" s="58" t="n">
        <f aca="false">C28*$C$4+D28*$D$4+E28*$E$4+F28*$F$4+G28*$G$4</f>
        <v>0</v>
      </c>
      <c r="I28" s="11" t="n">
        <f aca="false">IFERROR(RANK(H28,$H$5:$H$34,0),"")</f>
        <v>1</v>
      </c>
    </row>
    <row r="29" customFormat="false" ht="15" hidden="false" customHeight="false" outlineLevel="0" collapsed="false">
      <c r="A29" s="4" t="n">
        <v>25</v>
      </c>
      <c r="B29" s="23"/>
      <c r="C29" s="50"/>
      <c r="D29" s="50"/>
      <c r="E29" s="50"/>
      <c r="F29" s="50"/>
      <c r="G29" s="50"/>
      <c r="H29" s="57" t="n">
        <f aca="false">C29*$C$4+D29*$D$4+E29*$E$4+F29*$F$4+G29*$G$4</f>
        <v>0</v>
      </c>
      <c r="I29" s="7" t="n">
        <f aca="false">IFERROR(RANK(H29,$H$5:$H$34,0),"")</f>
        <v>1</v>
      </c>
    </row>
    <row r="30" customFormat="false" ht="15" hidden="false" customHeight="false" outlineLevel="0" collapsed="false">
      <c r="A30" s="8" t="n">
        <v>26</v>
      </c>
      <c r="B30" s="22"/>
      <c r="C30" s="49"/>
      <c r="D30" s="49"/>
      <c r="E30" s="49"/>
      <c r="F30" s="49"/>
      <c r="G30" s="49"/>
      <c r="H30" s="58" t="n">
        <f aca="false">C30*$C$4+D30*$D$4+E30*$E$4+F30*$F$4+G30*$G$4</f>
        <v>0</v>
      </c>
      <c r="I30" s="11" t="n">
        <f aca="false">IFERROR(RANK(H30,$H$5:$H$34,0),"")</f>
        <v>1</v>
      </c>
    </row>
    <row r="31" customFormat="false" ht="15" hidden="false" customHeight="false" outlineLevel="0" collapsed="false">
      <c r="A31" s="4" t="n">
        <v>27</v>
      </c>
      <c r="B31" s="23"/>
      <c r="C31" s="50"/>
      <c r="D31" s="50"/>
      <c r="E31" s="50"/>
      <c r="F31" s="50"/>
      <c r="G31" s="50"/>
      <c r="H31" s="57" t="n">
        <f aca="false">C31*$C$4+D31*$D$4+E31*$E$4+F31*$F$4+G31*$G$4</f>
        <v>0</v>
      </c>
      <c r="I31" s="7" t="n">
        <f aca="false">IFERROR(RANK(H31,$H$5:$H$34,0),"")</f>
        <v>1</v>
      </c>
    </row>
    <row r="32" customFormat="false" ht="15" hidden="false" customHeight="false" outlineLevel="0" collapsed="false">
      <c r="A32" s="8" t="n">
        <v>28</v>
      </c>
      <c r="B32" s="22"/>
      <c r="C32" s="49"/>
      <c r="D32" s="49"/>
      <c r="E32" s="49"/>
      <c r="F32" s="49"/>
      <c r="G32" s="49"/>
      <c r="H32" s="58" t="n">
        <f aca="false">C32*$C$4+D32*$D$4+E32*$E$4+F32*$F$4+G32*$G$4</f>
        <v>0</v>
      </c>
      <c r="I32" s="11" t="n">
        <f aca="false">IFERROR(RANK(H32,$H$5:$H$34,0),"")</f>
        <v>1</v>
      </c>
    </row>
    <row r="33" customFormat="false" ht="15" hidden="false" customHeight="false" outlineLevel="0" collapsed="false">
      <c r="A33" s="4" t="n">
        <v>29</v>
      </c>
      <c r="B33" s="23"/>
      <c r="C33" s="50"/>
      <c r="D33" s="50"/>
      <c r="E33" s="50"/>
      <c r="F33" s="50"/>
      <c r="G33" s="50"/>
      <c r="H33" s="57" t="n">
        <f aca="false">C33*$C$4+D33*$D$4+E33*$E$4+F33*$F$4+G33*$G$4</f>
        <v>0</v>
      </c>
      <c r="I33" s="7" t="n">
        <f aca="false">IFERROR(RANK(H33,$H$5:$H$34,0),"")</f>
        <v>1</v>
      </c>
    </row>
    <row r="34" customFormat="false" ht="15" hidden="false" customHeight="false" outlineLevel="0" collapsed="false">
      <c r="A34" s="8" t="n">
        <v>30</v>
      </c>
      <c r="B34" s="22"/>
      <c r="C34" s="49"/>
      <c r="D34" s="49"/>
      <c r="E34" s="49"/>
      <c r="F34" s="49"/>
      <c r="G34" s="49"/>
      <c r="H34" s="58" t="n">
        <f aca="false">C34*$C$4+D34*$D$4+E34*$E$4+F34*$F$4+G34*$G$4</f>
        <v>0</v>
      </c>
      <c r="I34" s="11" t="n">
        <f aca="false">IFERROR(RANK(H34,$H$5:$H$34,0),"")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36" t="s">
        <v>265</v>
      </c>
      <c r="B1" s="36"/>
      <c r="C1" s="36"/>
      <c r="D1" s="36"/>
      <c r="E1" s="36"/>
      <c r="F1" s="36"/>
      <c r="G1" s="36"/>
      <c r="H1" s="36"/>
      <c r="I1" s="36"/>
    </row>
    <row r="2" customFormat="false" ht="25.5" hidden="false" customHeight="true" outlineLevel="0" collapsed="false">
      <c r="A2" s="37" t="s">
        <v>266</v>
      </c>
      <c r="B2" s="37"/>
      <c r="C2" s="37"/>
      <c r="D2" s="37"/>
      <c r="E2" s="37"/>
      <c r="F2" s="37"/>
      <c r="G2" s="37"/>
      <c r="H2" s="37"/>
      <c r="I2" s="37"/>
    </row>
    <row r="3" customFormat="false" ht="15" hidden="false" customHeight="false" outlineLevel="0" collapsed="false">
      <c r="A3" s="38" t="s">
        <v>123</v>
      </c>
      <c r="B3" s="38" t="s">
        <v>267</v>
      </c>
      <c r="C3" s="38" t="s">
        <v>268</v>
      </c>
      <c r="D3" s="38" t="s">
        <v>269</v>
      </c>
      <c r="E3" s="38" t="s">
        <v>270</v>
      </c>
      <c r="F3" s="38" t="s">
        <v>271</v>
      </c>
      <c r="G3" s="38" t="s">
        <v>272</v>
      </c>
      <c r="H3" s="38" t="s">
        <v>273</v>
      </c>
      <c r="I3" s="38" t="s">
        <v>274</v>
      </c>
    </row>
    <row r="4" customFormat="false" ht="15" hidden="false" customHeight="false" outlineLevel="0" collapsed="false">
      <c r="A4" s="59" t="n">
        <v>1</v>
      </c>
      <c r="B4" s="14" t="s">
        <v>275</v>
      </c>
      <c r="C4" s="60"/>
      <c r="D4" s="60"/>
      <c r="E4" s="60"/>
      <c r="F4" s="60"/>
      <c r="G4" s="60"/>
      <c r="H4" s="60"/>
      <c r="I4" s="59" t="s">
        <v>276</v>
      </c>
    </row>
    <row r="5" customFormat="false" ht="15" hidden="false" customHeight="false" outlineLevel="0" collapsed="false">
      <c r="A5" s="4" t="n">
        <v>2</v>
      </c>
      <c r="B5" s="5" t="s">
        <v>277</v>
      </c>
      <c r="C5" s="23"/>
      <c r="D5" s="23"/>
      <c r="E5" s="23"/>
      <c r="F5" s="23"/>
      <c r="G5" s="23"/>
      <c r="H5" s="23"/>
      <c r="I5" s="4" t="s">
        <v>278</v>
      </c>
    </row>
    <row r="6" customFormat="false" ht="15" hidden="false" customHeight="false" outlineLevel="0" collapsed="false">
      <c r="A6" s="8" t="n">
        <v>3</v>
      </c>
      <c r="B6" s="9" t="s">
        <v>279</v>
      </c>
      <c r="C6" s="22"/>
      <c r="D6" s="22"/>
      <c r="E6" s="22"/>
      <c r="F6" s="22"/>
      <c r="G6" s="22"/>
      <c r="H6" s="22"/>
      <c r="I6" s="8" t="s">
        <v>280</v>
      </c>
    </row>
    <row r="7" customFormat="false" ht="15" hidden="false" customHeight="false" outlineLevel="0" collapsed="false">
      <c r="A7" s="4" t="n">
        <v>4</v>
      </c>
      <c r="B7" s="5" t="s">
        <v>281</v>
      </c>
      <c r="C7" s="23"/>
      <c r="D7" s="23"/>
      <c r="E7" s="23"/>
      <c r="F7" s="23"/>
      <c r="G7" s="23"/>
      <c r="H7" s="23"/>
      <c r="I7" s="4" t="s">
        <v>282</v>
      </c>
    </row>
    <row r="8" customFormat="false" ht="15" hidden="false" customHeight="false" outlineLevel="0" collapsed="false">
      <c r="A8" s="8" t="n">
        <v>5</v>
      </c>
      <c r="B8" s="9" t="s">
        <v>283</v>
      </c>
      <c r="C8" s="22"/>
      <c r="D8" s="22"/>
      <c r="E8" s="22"/>
      <c r="F8" s="22"/>
      <c r="G8" s="22"/>
      <c r="H8" s="22"/>
      <c r="I8" s="8" t="s">
        <v>284</v>
      </c>
    </row>
    <row r="9" customFormat="false" ht="15" hidden="false" customHeight="false" outlineLevel="0" collapsed="false">
      <c r="A9" s="4" t="n">
        <v>1</v>
      </c>
      <c r="B9" s="23"/>
      <c r="C9" s="23"/>
      <c r="D9" s="23"/>
      <c r="E9" s="23"/>
      <c r="F9" s="23"/>
      <c r="G9" s="23"/>
      <c r="H9" s="23"/>
      <c r="I9" s="23"/>
    </row>
    <row r="10" customFormat="false" ht="15" hidden="false" customHeight="false" outlineLevel="0" collapsed="false">
      <c r="A10" s="8" t="n">
        <v>2</v>
      </c>
      <c r="B10" s="22"/>
      <c r="C10" s="22"/>
      <c r="D10" s="22"/>
      <c r="E10" s="22"/>
      <c r="F10" s="22"/>
      <c r="G10" s="22"/>
      <c r="H10" s="22"/>
      <c r="I10" s="22"/>
    </row>
    <row r="11" customFormat="false" ht="15" hidden="false" customHeight="false" outlineLevel="0" collapsed="false">
      <c r="A11" s="4" t="n">
        <v>3</v>
      </c>
      <c r="B11" s="23"/>
      <c r="C11" s="23"/>
      <c r="D11" s="23"/>
      <c r="E11" s="23"/>
      <c r="F11" s="23"/>
      <c r="G11" s="23"/>
      <c r="H11" s="23"/>
      <c r="I11" s="23"/>
    </row>
    <row r="12" customFormat="false" ht="15" hidden="false" customHeight="false" outlineLevel="0" collapsed="false">
      <c r="A12" s="8" t="n">
        <v>4</v>
      </c>
      <c r="B12" s="22"/>
      <c r="C12" s="22"/>
      <c r="D12" s="22"/>
      <c r="E12" s="22"/>
      <c r="F12" s="22"/>
      <c r="G12" s="22"/>
      <c r="H12" s="22"/>
      <c r="I12" s="22"/>
    </row>
    <row r="13" customFormat="false" ht="15" hidden="false" customHeight="false" outlineLevel="0" collapsed="false">
      <c r="A13" s="4" t="n">
        <v>5</v>
      </c>
      <c r="B13" s="23"/>
      <c r="C13" s="23"/>
      <c r="D13" s="23"/>
      <c r="E13" s="23"/>
      <c r="F13" s="23"/>
      <c r="G13" s="23"/>
      <c r="H13" s="23"/>
      <c r="I13" s="23"/>
    </row>
    <row r="14" customFormat="false" ht="15" hidden="false" customHeight="false" outlineLevel="0" collapsed="false">
      <c r="A14" s="8" t="n">
        <v>6</v>
      </c>
      <c r="B14" s="22"/>
      <c r="C14" s="22"/>
      <c r="D14" s="22"/>
      <c r="E14" s="22"/>
      <c r="F14" s="22"/>
      <c r="G14" s="22"/>
      <c r="H14" s="22"/>
      <c r="I14" s="22"/>
    </row>
    <row r="15" customFormat="false" ht="15" hidden="false" customHeight="false" outlineLevel="0" collapsed="false">
      <c r="A15" s="4" t="n">
        <v>7</v>
      </c>
      <c r="B15" s="23"/>
      <c r="C15" s="23"/>
      <c r="D15" s="23"/>
      <c r="E15" s="23"/>
      <c r="F15" s="23"/>
      <c r="G15" s="23"/>
      <c r="H15" s="23"/>
      <c r="I15" s="23"/>
    </row>
    <row r="16" customFormat="false" ht="15" hidden="false" customHeight="false" outlineLevel="0" collapsed="false">
      <c r="A16" s="8" t="n">
        <v>8</v>
      </c>
      <c r="B16" s="22"/>
      <c r="C16" s="22"/>
      <c r="D16" s="22"/>
      <c r="E16" s="22"/>
      <c r="F16" s="22"/>
      <c r="G16" s="22"/>
      <c r="H16" s="22"/>
      <c r="I16" s="22"/>
    </row>
    <row r="17" customFormat="false" ht="15" hidden="false" customHeight="false" outlineLevel="0" collapsed="false">
      <c r="A17" s="4" t="n">
        <v>9</v>
      </c>
      <c r="B17" s="23"/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A18" s="8" t="n">
        <v>10</v>
      </c>
      <c r="B18" s="22"/>
      <c r="C18" s="22"/>
      <c r="D18" s="22"/>
      <c r="E18" s="22"/>
      <c r="F18" s="22"/>
      <c r="G18" s="22"/>
      <c r="H18" s="22"/>
      <c r="I18" s="22"/>
    </row>
    <row r="19" customFormat="false" ht="15" hidden="false" customHeight="false" outlineLevel="0" collapsed="false">
      <c r="A19" s="4" t="n">
        <v>11</v>
      </c>
      <c r="B19" s="23"/>
      <c r="C19" s="23"/>
      <c r="D19" s="23"/>
      <c r="E19" s="23"/>
      <c r="F19" s="23"/>
      <c r="G19" s="23"/>
      <c r="H19" s="23"/>
      <c r="I19" s="23"/>
    </row>
    <row r="20" customFormat="false" ht="15" hidden="false" customHeight="false" outlineLevel="0" collapsed="false">
      <c r="A20" s="8" t="n">
        <v>12</v>
      </c>
      <c r="B20" s="22"/>
      <c r="C20" s="22"/>
      <c r="D20" s="22"/>
      <c r="E20" s="22"/>
      <c r="F20" s="22"/>
      <c r="G20" s="22"/>
      <c r="H20" s="22"/>
      <c r="I20" s="22"/>
    </row>
    <row r="21" customFormat="false" ht="15" hidden="false" customHeight="false" outlineLevel="0" collapsed="false">
      <c r="A21" s="4" t="n">
        <v>13</v>
      </c>
      <c r="B21" s="23"/>
      <c r="C21" s="23"/>
      <c r="D21" s="23"/>
      <c r="E21" s="23"/>
      <c r="F21" s="23"/>
      <c r="G21" s="23"/>
      <c r="H21" s="23"/>
      <c r="I21" s="23"/>
    </row>
    <row r="22" customFormat="false" ht="15" hidden="false" customHeight="false" outlineLevel="0" collapsed="false">
      <c r="A22" s="8" t="n">
        <v>14</v>
      </c>
      <c r="B22" s="22"/>
      <c r="C22" s="22"/>
      <c r="D22" s="22"/>
      <c r="E22" s="22"/>
      <c r="F22" s="22"/>
      <c r="G22" s="22"/>
      <c r="H22" s="22"/>
      <c r="I22" s="22"/>
    </row>
    <row r="23" customFormat="false" ht="15" hidden="false" customHeight="false" outlineLevel="0" collapsed="false">
      <c r="A23" s="4" t="n">
        <v>15</v>
      </c>
      <c r="B23" s="23"/>
      <c r="C23" s="23"/>
      <c r="D23" s="23"/>
      <c r="E23" s="23"/>
      <c r="F23" s="23"/>
      <c r="G23" s="23"/>
      <c r="H23" s="23"/>
      <c r="I23" s="23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24" t="s">
        <v>285</v>
      </c>
      <c r="B1" s="24"/>
      <c r="C1" s="24"/>
      <c r="D1" s="24"/>
      <c r="E1" s="24"/>
      <c r="F1" s="24"/>
    </row>
    <row r="2" customFormat="false" ht="25.5" hidden="false" customHeight="true" outlineLevel="0" collapsed="false">
      <c r="A2" s="61" t="s">
        <v>286</v>
      </c>
      <c r="B2" s="61"/>
      <c r="C2" s="61"/>
      <c r="D2" s="61"/>
      <c r="E2" s="61"/>
      <c r="F2" s="61"/>
    </row>
    <row r="3" customFormat="false" ht="15" hidden="false" customHeight="false" outlineLevel="0" collapsed="false">
      <c r="A3" s="25" t="s">
        <v>2</v>
      </c>
      <c r="B3" s="25" t="s">
        <v>287</v>
      </c>
      <c r="C3" s="25" t="s">
        <v>288</v>
      </c>
      <c r="D3" s="25" t="s">
        <v>289</v>
      </c>
      <c r="E3" s="25" t="s">
        <v>290</v>
      </c>
      <c r="F3" s="25" t="s">
        <v>291</v>
      </c>
    </row>
    <row r="4" customFormat="false" ht="31.5" hidden="false" customHeight="true" outlineLevel="0" collapsed="false">
      <c r="A4" s="8" t="n">
        <v>1</v>
      </c>
      <c r="B4" s="9" t="s">
        <v>292</v>
      </c>
      <c r="C4" s="10" t="s">
        <v>293</v>
      </c>
      <c r="D4" s="22"/>
      <c r="E4" s="22"/>
      <c r="F4" s="22"/>
    </row>
    <row r="5" customFormat="false" ht="31.5" hidden="false" customHeight="true" outlineLevel="0" collapsed="false">
      <c r="A5" s="4" t="n">
        <v>2</v>
      </c>
      <c r="B5" s="5" t="s">
        <v>294</v>
      </c>
      <c r="C5" s="6" t="s">
        <v>295</v>
      </c>
      <c r="D5" s="23"/>
      <c r="E5" s="23"/>
      <c r="F5" s="23"/>
    </row>
    <row r="6" customFormat="false" ht="31.5" hidden="false" customHeight="true" outlineLevel="0" collapsed="false">
      <c r="A6" s="8" t="n">
        <v>3</v>
      </c>
      <c r="B6" s="9" t="s">
        <v>296</v>
      </c>
      <c r="C6" s="10" t="s">
        <v>297</v>
      </c>
      <c r="D6" s="22"/>
      <c r="E6" s="22"/>
      <c r="F6" s="22"/>
    </row>
    <row r="7" customFormat="false" ht="31.5" hidden="false" customHeight="true" outlineLevel="0" collapsed="false">
      <c r="A7" s="4" t="n">
        <v>4</v>
      </c>
      <c r="B7" s="5" t="s">
        <v>298</v>
      </c>
      <c r="C7" s="6" t="s">
        <v>299</v>
      </c>
      <c r="D7" s="23"/>
      <c r="E7" s="23"/>
      <c r="F7" s="23"/>
    </row>
    <row r="8" customFormat="false" ht="31.5" hidden="false" customHeight="true" outlineLevel="0" collapsed="false">
      <c r="A8" s="8" t="n">
        <v>5</v>
      </c>
      <c r="B8" s="9" t="s">
        <v>300</v>
      </c>
      <c r="C8" s="10" t="s">
        <v>301</v>
      </c>
      <c r="D8" s="22"/>
      <c r="E8" s="22"/>
      <c r="F8" s="22"/>
    </row>
    <row r="9" customFormat="false" ht="31.5" hidden="false" customHeight="true" outlineLevel="0" collapsed="false">
      <c r="A9" s="4" t="n">
        <v>6</v>
      </c>
      <c r="B9" s="5" t="s">
        <v>302</v>
      </c>
      <c r="C9" s="6" t="s">
        <v>303</v>
      </c>
      <c r="D9" s="23"/>
      <c r="E9" s="23"/>
      <c r="F9" s="23"/>
    </row>
    <row r="10" customFormat="false" ht="31.5" hidden="false" customHeight="true" outlineLevel="0" collapsed="false">
      <c r="A10" s="8" t="n">
        <v>7</v>
      </c>
      <c r="B10" s="9" t="s">
        <v>304</v>
      </c>
      <c r="C10" s="10" t="s">
        <v>305</v>
      </c>
      <c r="D10" s="22"/>
      <c r="E10" s="22"/>
      <c r="F10" s="22"/>
    </row>
    <row r="11" customFormat="false" ht="31.5" hidden="false" customHeight="true" outlineLevel="0" collapsed="false">
      <c r="A11" s="4" t="n">
        <v>8</v>
      </c>
      <c r="B11" s="5" t="s">
        <v>306</v>
      </c>
      <c r="C11" s="6" t="s">
        <v>307</v>
      </c>
      <c r="D11" s="23"/>
      <c r="E11" s="23"/>
      <c r="F11" s="23"/>
    </row>
    <row r="12" customFormat="false" ht="31.5" hidden="false" customHeight="true" outlineLevel="0" collapsed="false">
      <c r="A12" s="8" t="n">
        <v>9</v>
      </c>
      <c r="B12" s="9" t="s">
        <v>308</v>
      </c>
      <c r="C12" s="10" t="s">
        <v>309</v>
      </c>
      <c r="D12" s="22"/>
      <c r="E12" s="22"/>
      <c r="F12" s="22"/>
    </row>
    <row r="13" customFormat="false" ht="31.5" hidden="false" customHeight="true" outlineLevel="0" collapsed="false">
      <c r="A13" s="4" t="n">
        <v>10</v>
      </c>
      <c r="B13" s="5" t="s">
        <v>310</v>
      </c>
      <c r="C13" s="6" t="s">
        <v>311</v>
      </c>
      <c r="D13" s="23"/>
      <c r="E13" s="23"/>
      <c r="F13" s="23"/>
    </row>
    <row r="14" customFormat="false" ht="31.5" hidden="false" customHeight="true" outlineLevel="0" collapsed="false">
      <c r="A14" s="8" t="n">
        <v>11</v>
      </c>
      <c r="B14" s="9" t="s">
        <v>312</v>
      </c>
      <c r="C14" s="10" t="s">
        <v>313</v>
      </c>
      <c r="D14" s="22"/>
      <c r="E14" s="22"/>
      <c r="F14" s="22"/>
    </row>
    <row r="15" customFormat="false" ht="31.5" hidden="false" customHeight="true" outlineLevel="0" collapsed="false">
      <c r="A15" s="4" t="n">
        <v>12</v>
      </c>
      <c r="B15" s="5" t="s">
        <v>314</v>
      </c>
      <c r="C15" s="6" t="s">
        <v>315</v>
      </c>
      <c r="D15" s="23"/>
      <c r="E15" s="23"/>
      <c r="F15" s="23"/>
    </row>
    <row r="16" customFormat="false" ht="31.5" hidden="false" customHeight="true" outlineLevel="0" collapsed="false">
      <c r="A16" s="8" t="n">
        <v>13</v>
      </c>
      <c r="B16" s="9" t="s">
        <v>316</v>
      </c>
      <c r="C16" s="10" t="s">
        <v>317</v>
      </c>
      <c r="D16" s="22"/>
      <c r="E16" s="22"/>
      <c r="F16" s="22"/>
    </row>
    <row r="17" customFormat="false" ht="31.5" hidden="false" customHeight="true" outlineLevel="0" collapsed="false">
      <c r="A17" s="4" t="n">
        <v>14</v>
      </c>
      <c r="B17" s="5" t="s">
        <v>318</v>
      </c>
      <c r="C17" s="6" t="s">
        <v>319</v>
      </c>
      <c r="D17" s="23"/>
      <c r="E17" s="23"/>
      <c r="F17" s="23"/>
    </row>
    <row r="18" customFormat="false" ht="31.5" hidden="false" customHeight="true" outlineLevel="0" collapsed="false">
      <c r="A18" s="8" t="n">
        <v>15</v>
      </c>
      <c r="B18" s="9" t="s">
        <v>320</v>
      </c>
      <c r="C18" s="10" t="s">
        <v>321</v>
      </c>
      <c r="D18" s="22"/>
      <c r="E18" s="22"/>
      <c r="F18" s="22"/>
    </row>
    <row r="19" customFormat="false" ht="31.5" hidden="false" customHeight="true" outlineLevel="0" collapsed="false">
      <c r="A19" s="4" t="n">
        <v>16</v>
      </c>
      <c r="B19" s="5" t="s">
        <v>322</v>
      </c>
      <c r="C19" s="6" t="s">
        <v>323</v>
      </c>
      <c r="D19" s="23"/>
      <c r="E19" s="23"/>
      <c r="F19" s="23"/>
    </row>
    <row r="20" customFormat="false" ht="31.5" hidden="false" customHeight="true" outlineLevel="0" collapsed="false">
      <c r="A20" s="8" t="n">
        <v>17</v>
      </c>
      <c r="B20" s="9" t="s">
        <v>324</v>
      </c>
      <c r="C20" s="10" t="s">
        <v>325</v>
      </c>
      <c r="D20" s="22"/>
      <c r="E20" s="22"/>
      <c r="F20" s="22"/>
    </row>
    <row r="21" customFormat="false" ht="31.5" hidden="false" customHeight="true" outlineLevel="0" collapsed="false">
      <c r="A21" s="4" t="n">
        <v>18</v>
      </c>
      <c r="B21" s="5" t="s">
        <v>326</v>
      </c>
      <c r="C21" s="6" t="s">
        <v>327</v>
      </c>
      <c r="D21" s="23"/>
      <c r="E21" s="23"/>
      <c r="F21" s="23"/>
    </row>
    <row r="22" customFormat="false" ht="31.5" hidden="false" customHeight="true" outlineLevel="0" collapsed="false">
      <c r="A22" s="8" t="n">
        <v>19</v>
      </c>
      <c r="B22" s="9" t="s">
        <v>328</v>
      </c>
      <c r="C22" s="10" t="s">
        <v>329</v>
      </c>
      <c r="D22" s="22"/>
      <c r="E22" s="22"/>
      <c r="F22" s="22"/>
    </row>
    <row r="23" customFormat="false" ht="31.5" hidden="false" customHeight="true" outlineLevel="0" collapsed="false">
      <c r="A23" s="4" t="n">
        <v>20</v>
      </c>
      <c r="B23" s="5" t="s">
        <v>330</v>
      </c>
      <c r="C23" s="6" t="s">
        <v>331</v>
      </c>
      <c r="D23" s="23"/>
      <c r="E23" s="23"/>
      <c r="F23" s="23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2026-05-08T03:40:13Z</dcterms:created>
  <dc:creator>openpyxl</dc:creator>
  <dc:description/>
  <dc:language>en-US</dc:language>
  <cp:lastModifiedBy/>
  <dcterms:modified xsi:type="dcterms:W3CDTF">2026-05-08T03:40:13Z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