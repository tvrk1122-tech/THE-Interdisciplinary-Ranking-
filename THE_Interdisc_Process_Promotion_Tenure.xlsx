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P&amp;T Policy Analysis" sheetId="2" state="visible" r:id="rId4"/>
    <sheet name="2. Promotion Outcomes" sheetId="3" state="visible" r:id="rId5"/>
    <sheet name="3. Joint Appointments" sheetId="4" state="visible" r:id="rId6"/>
    <sheet name="4. Faculty Perception" sheetId="5" state="visible" r:id="rId7"/>
    <sheet name="5. Annual Review KPIs" sheetId="6" state="visible" r:id="rId8"/>
    <sheet name="6. UGC-CAS Alignment" sheetId="7" state="visible" r:id="rId9"/>
    <sheet name="7. Composite PT Score" sheetId="8" state="visible" r:id="rId10"/>
    <sheet name="8. Benchmarking" sheetId="9" state="visible" r:id="rId11"/>
    <sheet name="9. Data Quality Audi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<sst xmlns="http://schemas.openxmlformats.org/spreadsheetml/2006/main" count="273" uniqueCount="248">
  <si>
    <t xml:space="preserve">THE Interdisciplinary Rankings — Process Pillar (16%) → Promotion &amp; Tenure (4%)</t>
  </si>
  <si>
    <t xml:space="preserve">Evaluates Whether Career Incentive Systems Recognize &amp; Reward Cross-Disciplinary Contributions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</si>
  <si>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</si>
  <si>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</si>
  <si>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</si>
  <si>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</si>
  <si>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Interdisciplinary Criteria in Promotion &amp; Tenure Policy</t>
  </si>
  <si>
    <t xml:space="preserve">Existence and specificity of formally documented criteria that credit cross-disciplinary contributions in promotion / tenure / CAS (Career Advancement Scheme) decisions. Assessed via: explicit mention of interdisciplinary research, co-authored cross-domain publications, joint supervision, team-teaching, cross-department service, and industry-engaged cross-domain work in the institution's P&amp;T / CAS regulations.</t>
  </si>
  <si>
    <t xml:space="preserve">~1.2%</t>
  </si>
  <si>
    <t xml:space="preserve">Promotion Outcomes — Interdisc. Contributions Recognized</t>
  </si>
  <si>
    <t xml:space="preserve">Proportion of recent promotions (5-year window) where interdisciplinary contributions were explicitly cited as a factor. Tracks: promotions to Associate Professor and Professor levels where the dossier included cross-domain research, joint publications, interdisciplinary teaching, or cross-department service as credited evidence.</t>
  </si>
  <si>
    <t xml:space="preserve">~1%</t>
  </si>
  <si>
    <t xml:space="preserve">Joint / Dual Appointment &amp; Tenure-Track Pathway</t>
  </si>
  <si>
    <t xml:space="preserve">Existence and utilization of formal joint-appointment or dual-affiliation tenure tracks that allow faculty to hold positions in 2+ departments. Measures: number of joint appointments, proportion of faculty on dual tracks, tenure decisions involving joint-department committees, and pathway clarity.</t>
  </si>
  <si>
    <t xml:space="preserve">~0.8%</t>
  </si>
  <si>
    <t xml:space="preserve">Faculty Perception of Interdisciplinary Career Incentives</t>
  </si>
  <si>
    <t xml:space="preserve">Faculty survey scores on whether the institution's career advancement system adequately recognizes and rewards cross-disciplinary work. Captures perceived fairness, clarity of criteria, workload equity for team-taught courses, and confidence that cross-domain work 'counts' in promotion.</t>
  </si>
  <si>
    <t xml:space="preserve">~0.5%</t>
  </si>
  <si>
    <t xml:space="preserve">Annual Review &amp; Feedback on Interdisciplinary Performance</t>
  </si>
  <si>
    <t xml:space="preserve">Whether annual faculty performance reviews explicitly include interdisciplinary KPIs: cross-domain publications, co-supervision, cross-department service, industry collaboration, and mentoring of cross-disciplinary students. Assessed via review form content analysis and faculty feedback.</t>
  </si>
  <si>
    <t xml:space="preserve">Key Reference Notes</t>
  </si>
  <si>
    <t xml:space="preserve">• Promotion &amp; Tenure contributes 4% to total ranking — a key 'hidden lever' in the Process pillar (16%).</t>
  </si>
  <si>
    <t xml:space="preserve">• This sub-pillar captures INCENTIVE ALIGNMENT — whether career structures encourage or penalize cross-disciplinary work.</t>
  </si>
  <si>
    <t xml:space="preserve">• Faculty worldwide report that traditional P&amp;T systems undervalue interdisciplinary contributions; this indicator addresses that gap.</t>
  </si>
  <si>
    <t xml:space="preserve">• India context: UGC-CAS (Career Advancement Scheme) and AICTE promotion criteria assessed for interdisciplinary recognition.</t>
  </si>
  <si>
    <t xml:space="preserve">• Data sources: P&amp;T policy documents, promotion dossiers (anonymized), HR records, faculty surveys, annual review templates.</t>
  </si>
  <si>
    <t xml:space="preserve">• Joint appointments must be formally documented in university establishment records (not informal collaborations).</t>
  </si>
  <si>
    <t xml:space="preserve">• Faculty perception surveys use validated instruments with anonymity; minimum 30% response rate required.</t>
  </si>
  <si>
    <t xml:space="preserve">• Scoring: each sub-indicator normalized 0–100; composite weighted average produces final P&amp;T score.</t>
  </si>
  <si>
    <t xml:space="preserve">Interdisciplinary Criteria in Promotion &amp; Tenure / CAS Policy</t>
  </si>
  <si>
    <t xml:space="preserve">Checklist of specific interdisciplinary criteria in formal P&amp;T / CAS regulations</t>
  </si>
  <si>
    <t xml:space="preserve">University Name</t>
  </si>
  <si>
    <t xml:space="preserve">P&amp;T / CAS Criterion for Interdisciplinary Work</t>
  </si>
  <si>
    <t xml:space="preserve">Exists in Policy (Y/N)</t>
  </si>
  <si>
    <t xml:space="preserve">Policy Document Reference</t>
  </si>
  <si>
    <t xml:space="preserve">Year Adopted / Last Revised</t>
  </si>
  <si>
    <t xml:space="preserve">Remarks</t>
  </si>
  <si>
    <t xml:space="preserve">Cross-disciplinary research publications explicitly credited (not just 'publications' generically)</t>
  </si>
  <si>
    <t xml:space="preserve">Co-authored papers with faculty from other departments counted at full value (not discounted for co-authorship)</t>
  </si>
  <si>
    <t xml:space="preserve">Interdisciplinary journal publications recognized alongside discipline-specific journals</t>
  </si>
  <si>
    <t xml:space="preserve">Joint / co-supervision of cross-department PhD students credited in supervision load</t>
  </si>
  <si>
    <t xml:space="preserve">Team-teaching across departments credited in teaching load calculation</t>
  </si>
  <si>
    <t xml:space="preserve">Cross-department service (on interdisc. committees, shared facility governance) counted in service criteria</t>
  </si>
  <si>
    <t xml:space="preserve">Industry-engaged cross-domain R&amp;D (consultancy, joint patents) credited in professional practice</t>
  </si>
  <si>
    <t xml:space="preserve">Cross-domain grant acquisition (multi-PI, multi-dept) credited in research funding criteria</t>
  </si>
  <si>
    <t xml:space="preserve">Interdisciplinary patents (2+ IPC classes) explicitly recognized in innovation criteria</t>
  </si>
  <si>
    <t xml:space="preserve">Community outreach involving multi-domain expertise credited in extension/societal impact</t>
  </si>
  <si>
    <t xml:space="preserve">Interdisciplinary curriculum development (designing cross-dept courses) credited in teaching innovation</t>
  </si>
  <si>
    <t xml:space="preserve">Mentoring cross-disciplinary students (capstone, hackathon, design projects) counted in supervision</t>
  </si>
  <si>
    <t xml:space="preserve">Cross-domain conference organization / keynotes credited in academic leadership</t>
  </si>
  <si>
    <t xml:space="preserve">SDG-linked interdisciplinary contributions explicitly mentioned in P&amp;T criteria</t>
  </si>
  <si>
    <t xml:space="preserve">Joint appointment / dual affiliation service years counted at full value in tenure clock</t>
  </si>
  <si>
    <t xml:space="preserve">Interdisciplinary book / monograph chapters credited in publication criteria</t>
  </si>
  <si>
    <t xml:space="preserve">Cross-department start-up / spin-off involvement credited in entrepreneurship criteria</t>
  </si>
  <si>
    <t xml:space="preserve">International cross-disciplinary collaboration (co-authored, co-funded) explicitly credited</t>
  </si>
  <si>
    <t xml:space="preserve">Policy Inclusion Summary</t>
  </si>
  <si>
    <t xml:space="preserve">Total Criteria Present in Policy</t>
  </si>
  <si>
    <t xml:space="preserve">Policy Inclusion Rate (%)</t>
  </si>
  <si>
    <t xml:space="preserve">Policy Maturity Level</t>
  </si>
  <si>
    <t xml:space="preserve">Promotion Outcomes — Recognition of Interdisciplinary Contributions (5-Year Window)</t>
  </si>
  <si>
    <t xml:space="preserve">Tracks promotions where cross-domain work was explicitly cited | Associate Professor &amp; Professor levels</t>
  </si>
  <si>
    <t xml:space="preserve">S.No.</t>
  </si>
  <si>
    <t xml:space="preserve">Country</t>
  </si>
  <si>
    <t xml:space="preserve">Total Promotions (5yr)</t>
  </si>
  <si>
    <t xml:space="preserve">Promotions Citing Interdisc. Work</t>
  </si>
  <si>
    <t xml:space="preserve">% Citing Interdisc.</t>
  </si>
  <si>
    <t xml:space="preserve">Promotions to Assoc. Prof (Total)</t>
  </si>
  <si>
    <t xml:space="preserve">Assoc. Prof Citing Interdisc.</t>
  </si>
  <si>
    <t xml:space="preserve">Promotions to Professor (Total)</t>
  </si>
  <si>
    <t xml:space="preserve">Professor Citing Interdisc.</t>
  </si>
  <si>
    <t xml:space="preserve">Anonymized Promotion Dossier Analysis (Sample)</t>
  </si>
  <si>
    <t xml:space="preserve">Candidate ID (Anonymized)</t>
  </si>
  <si>
    <t xml:space="preserve">Primary Department</t>
  </si>
  <si>
    <t xml:space="preserve">Promotion Level (Asst→Assoc / Assoc→Prof)</t>
  </si>
  <si>
    <t xml:space="preserve">Interdisc. Pubs Cited (Count)</t>
  </si>
  <si>
    <t xml:space="preserve">Cross-Dept Service Cited (Y/N)</t>
  </si>
  <si>
    <t xml:space="preserve">Joint Supervision Cited (Y/N)</t>
  </si>
  <si>
    <t xml:space="preserve">Team-Teaching Cited (Y/N)</t>
  </si>
  <si>
    <t xml:space="preserve">Interdisc. Explicitly a Factor (Y/N)</t>
  </si>
  <si>
    <t xml:space="preserve">Year of Promotion</t>
  </si>
  <si>
    <t xml:space="preserve">Joint / Dual Appointment &amp; Tenure-Track Pathways</t>
  </si>
  <si>
    <t xml:space="preserve">Formal dual-affiliation positions across 2+ departments | Pathway clarity, tenure decisions, utilization</t>
  </si>
  <si>
    <t xml:space="preserve">Total Faculty (FTE)</t>
  </si>
  <si>
    <t xml:space="preserve">Faculty with Joint Appointments</t>
  </si>
  <si>
    <t xml:space="preserve">% Joint Appointments</t>
  </si>
  <si>
    <t xml:space="preserve">Joint Appointment Policy Exists (Y/N)</t>
  </si>
  <si>
    <t xml:space="preserve">Joint Tenure Committee Exists (Y/N)</t>
  </si>
  <si>
    <t xml:space="preserve">Joint Appointments Tenured (5yr)</t>
  </si>
  <si>
    <t xml:space="preserve">Reporting Year</t>
  </si>
  <si>
    <t xml:space="preserve">Individual Joint Appointment Log</t>
  </si>
  <si>
    <t xml:space="preserve">Faculty ID (Anonymized)</t>
  </si>
  <si>
    <t xml:space="preserve">Secondary / Joint Department</t>
  </si>
  <si>
    <t xml:space="preserve">Appointment Type (Joint/Dual/Affiliate/Adjunct)</t>
  </si>
  <si>
    <t xml:space="preserve">% Time in Primary</t>
  </si>
  <si>
    <t xml:space="preserve">% Time in Secondary</t>
  </si>
  <si>
    <t xml:space="preserve">Year of Joint Appointment</t>
  </si>
  <si>
    <t xml:space="preserve">Tenure Status (Tenured/Track/Contract)</t>
  </si>
  <si>
    <t xml:space="preserve">Anonymous survey | Fairness, clarity, workload equity, confidence that cross-domain work 'counts'</t>
  </si>
  <si>
    <t xml:space="preserve">Faculty Surveyed</t>
  </si>
  <si>
    <t xml:space="preserve">Response Rate (%)</t>
  </si>
  <si>
    <t xml:space="preserve">Avg Satisfaction (1–5)</t>
  </si>
  <si>
    <t xml:space="preserve">% Satisfied (4-5)</t>
  </si>
  <si>
    <t xml:space="preserve">% Dissatisfied (1-2)</t>
  </si>
  <si>
    <t xml:space="preserve">Detailed Survey Question Scores (Per University, Scale 1–5)</t>
  </si>
  <si>
    <t xml:space="preserve">Survey Question</t>
  </si>
  <si>
    <t xml:space="preserve">Avg Score (1–5)</t>
  </si>
  <si>
    <t xml:space="preserve">Std Dev</t>
  </si>
  <si>
    <t xml:space="preserve">N (Respondents)</t>
  </si>
  <si>
    <t xml:space="preserve">% Agree (4-5)</t>
  </si>
  <si>
    <t xml:space="preserve">% Disagree (1-2)</t>
  </si>
  <si>
    <t xml:space="preserve">Benchmark (Top 10 Avg)</t>
  </si>
  <si>
    <t xml:space="preserve">University</t>
  </si>
  <si>
    <t xml:space="preserve">P&amp;T criteria clearly specify how interdisciplinary work is evaluated</t>
  </si>
  <si>
    <t xml:space="preserve">Cross-disciplinary publications are valued equally to single-discipline publications</t>
  </si>
  <si>
    <t xml:space="preserve">Co-authorship with other departments is not penalized in promotion reviews</t>
  </si>
  <si>
    <t xml:space="preserve">Team-teaching across departments is fairly credited in workload/teaching evaluations</t>
  </si>
  <si>
    <t xml:space="preserve">Joint / co-supervision of cross-dept PhDs is adequately recognized</t>
  </si>
  <si>
    <t xml:space="preserve">Service on interdisciplinary committees counts meaningfully in promotion</t>
  </si>
  <si>
    <t xml:space="preserve">Cross-domain industry R&amp;D / consultancy is valued in professional practice criteria</t>
  </si>
  <si>
    <t xml:space="preserve">I feel confident that my interdisciplinary work will 'count' in my next promotion review</t>
  </si>
  <si>
    <t xml:space="preserve">The tenure clock fairly accounts for the extra time required for cross-dept collaboration</t>
  </si>
  <si>
    <t xml:space="preserve">Colleagues who do interdisciplinary work are promoted at rates comparable to single-discipline faculty</t>
  </si>
  <si>
    <t xml:space="preserve">Annual performance reviews include specific questions about cross-disciplinary contributions</t>
  </si>
  <si>
    <t xml:space="preserve">I have received clear guidance on how to document interdisciplinary work in my promotion dossier</t>
  </si>
  <si>
    <t xml:space="preserve">The institution actively encourages cross-department collaboration without career penalty</t>
  </si>
  <si>
    <t xml:space="preserve">Joint-appointed faculty are evaluated fairly by both departments</t>
  </si>
  <si>
    <t xml:space="preserve">Overall, I believe the career incentive system supports interdisciplinary work</t>
  </si>
  <si>
    <t xml:space="preserve">Annual Performance Review — Interdisciplinary KPIs in Faculty Evaluation</t>
  </si>
  <si>
    <t xml:space="preserve">Content analysis of annual review forms | Which interdisc. KPIs appear in formal evaluation templates</t>
  </si>
  <si>
    <t xml:space="preserve">Annual Review KPI / Question</t>
  </si>
  <si>
    <t xml:space="preserve">Included in Review Form (Y/N)</t>
  </si>
  <si>
    <t xml:space="preserve">Weight in Overall Evaluation (%)</t>
  </si>
  <si>
    <t xml:space="preserve">Year Introduced</t>
  </si>
  <si>
    <t xml:space="preserve">Cross-disciplinary publications produced (number and quality)</t>
  </si>
  <si>
    <t xml:space="preserve">Co-supervision of cross-department PhD / PG students</t>
  </si>
  <si>
    <t xml:space="preserve">Team-teaching or co-designed courses across departments</t>
  </si>
  <si>
    <t xml:space="preserve">Membership / service on interdisciplinary committees</t>
  </si>
  <si>
    <t xml:space="preserve">Cross-domain grants acquired (multi-PI, multi-department)</t>
  </si>
  <si>
    <t xml:space="preserve">Industry collaboration involving multi-domain expertise</t>
  </si>
  <si>
    <t xml:space="preserve">Cross-department patents filed / granted</t>
  </si>
  <si>
    <t xml:space="preserve">Community outreach requiring multi-domain knowledge</t>
  </si>
  <si>
    <t xml:space="preserve">Mentoring students in interdisciplinary projects (capstone, hackathon, etc.)</t>
  </si>
  <si>
    <t xml:space="preserve">Participation in cross-department research clusters / centres</t>
  </si>
  <si>
    <t xml:space="preserve">Cross-domain conference organization / invited talks / keynotes</t>
  </si>
  <si>
    <t xml:space="preserve">International cross-disciplinary collaboration activities</t>
  </si>
  <si>
    <t xml:space="preserve">SDG-linked interdisciplinary research contributions</t>
  </si>
  <si>
    <t xml:space="preserve">Start-up / spin-off activity from cross-domain research</t>
  </si>
  <si>
    <t xml:space="preserve">Contribution to interdisciplinary curriculum development</t>
  </si>
  <si>
    <t xml:space="preserve">Review KPI Summary</t>
  </si>
  <si>
    <t xml:space="preserve">KPIs Included in Review Form</t>
  </si>
  <si>
    <t xml:space="preserve">KPI Inclusion Rate (%)</t>
  </si>
  <si>
    <t xml:space="preserve">Avg Weight of Interdisc. KPIs (%)</t>
  </si>
  <si>
    <t xml:space="preserve">UGC-CAS / AICTE Promotion Criteria — Interdisciplinary Alignment (India Context)</t>
  </si>
  <si>
    <t xml:space="preserve">Maps existing CAS/AICTE criteria to interdisciplinary recognition | Identifies gaps &amp; reform needs</t>
  </si>
  <si>
    <t xml:space="preserve">CAS / AICTE Criterion</t>
  </si>
  <si>
    <t xml:space="preserve">Recognizes Interdisc. (Explicitly/Implicitly/No)</t>
  </si>
  <si>
    <t xml:space="preserve">Gap Identified</t>
  </si>
  <si>
    <t xml:space="preserve">Reform Recommended</t>
  </si>
  <si>
    <t xml:space="preserve">Status</t>
  </si>
  <si>
    <t xml:space="preserve">API Score for Research Publications — does scoring differentiate cross-domain journals?</t>
  </si>
  <si>
    <t xml:space="preserve">API Score for Research Projects — does scoring credit multi-PI / multi-dept grants?</t>
  </si>
  <si>
    <t xml:space="preserve">API Score for Research Guidance — does co-supervision across depts count at full value?</t>
  </si>
  <si>
    <t xml:space="preserve">API Score for Teaching — does team-teaching across departments receive adequate credit?</t>
  </si>
  <si>
    <t xml:space="preserve">API Score for Extension/Outreach — is multi-domain community engagement credited?</t>
  </si>
  <si>
    <t xml:space="preserve">Category III (Research &amp; Academic Contributions) — is interdisciplinary work a named criterion?</t>
  </si>
  <si>
    <t xml:space="preserve">Screening/Selection Committee composition — includes cross-department representation?</t>
  </si>
  <si>
    <t xml:space="preserve">Expert Committee for promotion — includes interdisciplinary expertise?</t>
  </si>
  <si>
    <t xml:space="preserve">Minimum eligibility criteria — accept cross-domain publication equivalences?</t>
  </si>
  <si>
    <t xml:space="preserve">CAS Stage 1→2→3→4→5 progression — do any stages explicitly require interdisc. evidence?</t>
  </si>
  <si>
    <t xml:space="preserve">AICTE faculty performance indicators — interdisciplinary contributions listed?</t>
  </si>
  <si>
    <t xml:space="preserve">NBA accreditation criteria — do they incentivize interdisciplinary programme delivery?</t>
  </si>
  <si>
    <t xml:space="preserve">NAAC metrics — do any criteria reward cross-department collaboration in teaching/research?</t>
  </si>
  <si>
    <t xml:space="preserve">NIRF parameters — any parameters capturing interdisciplinary output or collaboration?</t>
  </si>
  <si>
    <t xml:space="preserve">Composite Promotion &amp; Tenure Score (0–100) — 4% of Total Ranking</t>
  </si>
  <si>
    <t xml:space="preserve">Weighted composite of 5 sub-indicators | Weights editable in Row 4</t>
  </si>
  <si>
    <t xml:space="preserve">Policy Inclusion (A)</t>
  </si>
  <si>
    <t xml:space="preserve">Promo Outcomes (B)</t>
  </si>
  <si>
    <t xml:space="preserve">Joint Appointments (C)</t>
  </si>
  <si>
    <t xml:space="preserve">Faculty Perception (D)</t>
  </si>
  <si>
    <t xml:space="preserve">Annual Review KPIs (E)</t>
  </si>
  <si>
    <t xml:space="preserve">Composite P&amp;T Score (0–100)</t>
  </si>
  <si>
    <t xml:space="preserve">Global Rank</t>
  </si>
  <si>
    <t xml:space="preserve">Weights →</t>
  </si>
  <si>
    <t xml:space="preserve">Benchmarking &amp; Peer Comparison — Promotion &amp; Tenure</t>
  </si>
  <si>
    <t xml:space="preserve">Compare against peers, aspirational targets, and global top performers</t>
  </si>
  <si>
    <t xml:space="preserve">University / Benchmark</t>
  </si>
  <si>
    <t xml:space="preserve">Policy</t>
  </si>
  <si>
    <t xml:space="preserve">Outcomes</t>
  </si>
  <si>
    <t xml:space="preserve">Joint Appts</t>
  </si>
  <si>
    <t xml:space="preserve">Perception</t>
  </si>
  <si>
    <t xml:space="preserve">Review KPIs</t>
  </si>
  <si>
    <t xml:space="preserve">Composite P&amp;T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</si>
  <si>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</si>
  <si>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</si>
  <si>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</si>
  <si>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</si>
  <si>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</si>
  <si>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</si>
  <si>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</si>
  <si>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</si>
  <si>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</si>
  <si>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Promotion &amp; Tenure — Data Quality &amp; Audit Checklist</t>
  </si>
  <si>
    <t xml:space="preserve">Validation checks for the P&amp;T component (4%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</si>
  <si>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</si>
  <si>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</si>
  <si>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</si>
  <si>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</si>
  <si>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</si>
  <si>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Policy document verification</t>
  </si>
  <si>
    <t xml:space="preserve">P&amp;T / CAS policy document is the current, Board-approved version (not draft or superseded)</t>
  </si>
  <si>
    <t xml:space="preserve">Criterion explicitness</t>
  </si>
  <si>
    <t xml:space="preserve">Each criterion marked 'Y' uses explicit language (not implied) about interdisciplinary work in the policy text</t>
  </si>
  <si>
    <t xml:space="preserve">Promotion dossier anonymization</t>
  </si>
  <si>
    <t xml:space="preserve">All dossier data anonymized before analysis; no identifiable faculty information in this workbook</t>
  </si>
  <si>
    <t xml:space="preserve">Promotion data 5-year consistency</t>
  </si>
  <si>
    <t xml:space="preserve">Promotion outcomes cover a consistent 5-year window matching the ranking cycle</t>
  </si>
  <si>
    <t xml:space="preserve">Interdisc. citation verification</t>
  </si>
  <si>
    <t xml:space="preserve">'Interdisc. explicitly cited' means the promotion committee's evaluation letter or scorecard names cross-domain work</t>
  </si>
  <si>
    <t xml:space="preserve">Joint appointment formal status</t>
  </si>
  <si>
    <t xml:space="preserve">Joint appointments verified via official university establishment / HR records (not informal collaborations)</t>
  </si>
  <si>
    <t xml:space="preserve">Joint tenure committee documentation</t>
  </si>
  <si>
    <t xml:space="preserve">Joint tenure committee existence verified via Academic Council / Board resolution</t>
  </si>
  <si>
    <t xml:space="preserve">Survey instrument validation</t>
  </si>
  <si>
    <t xml:space="preserve">Faculty perception survey uses psychometrically validated instrument with documented reliability</t>
  </si>
  <si>
    <t xml:space="preserve">Survey anonymity assurance</t>
  </si>
  <si>
    <t xml:space="preserve">Survey responses collected anonymously via third-party platform; no identifiable data retained</t>
  </si>
  <si>
    <t xml:space="preserve">Survey response rate threshold</t>
  </si>
  <si>
    <t xml:space="preserve">Minimum 30% response rate achieved; sub-30% results flagged with caveat</t>
  </si>
  <si>
    <t xml:space="preserve">Annual review form content analysis</t>
  </si>
  <si>
    <t xml:space="preserve">Review form content analysis conducted by 2+ independent raters with inter-rater reliability documented</t>
  </si>
  <si>
    <t xml:space="preserve">KPI weight documentation</t>
  </si>
  <si>
    <t xml:space="preserve">If KPI weights in review are stated, they are drawn from official review guidelines (not self-reported)</t>
  </si>
  <si>
    <t xml:space="preserve">UGC-CAS mapping accuracy</t>
  </si>
  <si>
    <t xml:space="preserve">CAS criteria mapped against the latest UGC Gazette notification (currently 7th Pay Regulation 2018 or successor)</t>
  </si>
  <si>
    <t xml:space="preserve">AICTE criteria verification</t>
  </si>
  <si>
    <t xml:space="preserve">AICTE criteria mapped against current AICTE Approval Process Handbook (APH) edition</t>
  </si>
  <si>
    <t xml:space="preserve">Double-counting prevention</t>
  </si>
  <si>
    <t xml:space="preserve">Same promotion / appointment not counted across multiple sub-indicator categories</t>
  </si>
  <si>
    <t xml:space="preserve">Normalization method</t>
  </si>
  <si>
    <t xml:space="preserve">Z-scoring or min-max normalization applied consistently across all universities</t>
  </si>
  <si>
    <t xml:space="preserve">Weight validation</t>
  </si>
  <si>
    <t xml:space="preserve">Sub-indicator weights sum to 100% of the P&amp;T component (4% of total ranking)</t>
  </si>
  <si>
    <t xml:space="preserve">Sensitivity to institutional type</t>
  </si>
  <si>
    <t xml:space="preserve">Analysis accounts for institutional type differences (central vs. state vs. private; research vs. teaching-focused)</t>
  </si>
  <si>
    <t xml:space="preserve">Year-on-year trend check</t>
  </si>
  <si>
    <t xml:space="preserve">Compare current data with previous cycle; flag anomalous changes (&gt;25% shift)</t>
  </si>
  <si>
    <t xml:space="preserve">Reproducibility test</t>
  </si>
  <si>
    <t xml:space="preserve">All calculations reproducible by independent analyst using this workbook and institutional records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</si>
</sst>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6A1B38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3F51B5"/>
      </patternFill>
    </fill>
    <fill>
      <patternFill patternType="solid">
        <fgColor rgb="FF2F8F9D"/>
        <bgColor rgb="FF2E75B6"/>
      </patternFill>
    </fill>
    <fill>
      <patternFill patternType="solid">
        <fgColor rgb="FF3F51B5"/>
        <bgColor rgb="FF666699"/>
      </patternFill>
    </fill>
    <fill>
      <patternFill patternType="solid">
        <fgColor rgb="FF8B0000"/>
        <bgColor rgb="FF800000"/>
      </patternFill>
    </fill>
    <fill>
      <patternFill patternType="solid">
        <fgColor rgb="FFBF8F00"/>
        <bgColor rgb="FFED7D31"/>
      </patternFill>
    </fill>
    <fill>
      <patternFill patternType="solid">
        <fgColor rgb="FF6D4C41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A1B38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6D4C41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38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4.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4.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4.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94.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94.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17</v>
      </c>
    </row>
    <row r="11" customFormat="false" ht="25.5" hidden="false" customHeight="true" outlineLevel="0" collapsed="false">
      <c r="A11" s="12" t="s">
        <v>20</v>
      </c>
      <c r="B11" s="12"/>
      <c r="C11" s="12"/>
      <c r="D11" s="12"/>
    </row>
    <row r="12" customFormat="false" ht="15" hidden="false" customHeight="true" outlineLevel="0" collapsed="false">
      <c r="A12" s="13" t="s">
        <v>21</v>
      </c>
      <c r="B12" s="13"/>
      <c r="C12" s="13"/>
      <c r="D12" s="13"/>
    </row>
    <row r="13" customFormat="false" ht="15" hidden="false" customHeight="true" outlineLevel="0" collapsed="false">
      <c r="A13" s="13" t="s">
        <v>22</v>
      </c>
      <c r="B13" s="13"/>
      <c r="C13" s="13"/>
      <c r="D13" s="13"/>
    </row>
    <row r="14" customFormat="false" ht="15" hidden="false" customHeight="true" outlineLevel="0" collapsed="false">
      <c r="A14" s="13" t="s">
        <v>23</v>
      </c>
      <c r="B14" s="13"/>
      <c r="C14" s="13"/>
      <c r="D14" s="13"/>
    </row>
    <row r="15" customFormat="false" ht="15" hidden="false" customHeight="true" outlineLevel="0" collapsed="false">
      <c r="A15" s="13" t="s">
        <v>24</v>
      </c>
      <c r="B15" s="13"/>
      <c r="C15" s="13"/>
      <c r="D15" s="13"/>
    </row>
    <row r="16" customFormat="false" ht="15" hidden="false" customHeight="true" outlineLevel="0" collapsed="false">
      <c r="A16" s="13" t="s">
        <v>25</v>
      </c>
      <c r="B16" s="13"/>
      <c r="C16" s="13"/>
      <c r="D16" s="13"/>
    </row>
    <row r="17" customFormat="false" ht="15" hidden="false" customHeight="true" outlineLevel="0" collapsed="false">
      <c r="A17" s="13" t="s">
        <v>26</v>
      </c>
      <c r="B17" s="13"/>
      <c r="C17" s="13"/>
      <c r="D17" s="13"/>
    </row>
    <row r="18" customFormat="false" ht="15" hidden="false" customHeight="true" outlineLevel="0" collapsed="false">
      <c r="A18" s="13" t="s">
        <v>27</v>
      </c>
      <c r="B18" s="13"/>
      <c r="C18" s="13"/>
      <c r="D18" s="13"/>
    </row>
    <row r="19" customFormat="false" ht="15" hidden="false" customHeight="true" outlineLevel="0" collapsed="false">
      <c r="A19" s="13" t="s">
        <v>28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</row>
    <row r="2" customFormat="false" ht="25.5" hidden="false" customHeight="true" outlineLevel="0" collapsed="false">
      <c r="A2" s="15" t="s">
        <v>30</v>
      </c>
      <c r="B2" s="15"/>
      <c r="C2" s="15"/>
      <c r="D2" s="15"/>
      <c r="E2" s="15"/>
      <c r="F2" s="15"/>
      <c r="G2" s="15"/>
    </row>
    <row r="3" customFormat="false" ht="23.85" hidden="false" customHeight="false" outlineLevel="0" collapsed="false">
      <c r="A3" s="16" t="s">
        <v>2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</row>
    <row r="4" customFormat="false" ht="30" hidden="false" customHeight="true" outlineLevel="0" collapsed="false">
      <c r="A4" s="8" t="n">
        <v>1</v>
      </c>
      <c r="B4" s="17"/>
      <c r="C4" s="10" t="s">
        <v>37</v>
      </c>
      <c r="D4" s="17"/>
      <c r="E4" s="17"/>
      <c r="F4" s="17"/>
      <c r="G4" s="17"/>
    </row>
    <row r="5" customFormat="false" ht="30" hidden="false" customHeight="true" outlineLevel="0" collapsed="false">
      <c r="A5" s="4" t="n">
        <v>2</v>
      </c>
      <c r="B5" s="18"/>
      <c r="C5" s="6" t="s">
        <v>38</v>
      </c>
      <c r="D5" s="18"/>
      <c r="E5" s="18"/>
      <c r="F5" s="18"/>
      <c r="G5" s="18"/>
    </row>
    <row r="6" customFormat="false" ht="30" hidden="false" customHeight="true" outlineLevel="0" collapsed="false">
      <c r="A6" s="8" t="n">
        <v>3</v>
      </c>
      <c r="B6" s="17"/>
      <c r="C6" s="10" t="s">
        <v>39</v>
      </c>
      <c r="D6" s="17"/>
      <c r="E6" s="17"/>
      <c r="F6" s="17"/>
      <c r="G6" s="17"/>
    </row>
    <row r="7" customFormat="false" ht="30" hidden="false" customHeight="true" outlineLevel="0" collapsed="false">
      <c r="A7" s="4" t="n">
        <v>4</v>
      </c>
      <c r="B7" s="18"/>
      <c r="C7" s="6" t="s">
        <v>40</v>
      </c>
      <c r="D7" s="18"/>
      <c r="E7" s="18"/>
      <c r="F7" s="18"/>
      <c r="G7" s="18"/>
    </row>
    <row r="8" customFormat="false" ht="30" hidden="false" customHeight="true" outlineLevel="0" collapsed="false">
      <c r="A8" s="8" t="n">
        <v>5</v>
      </c>
      <c r="B8" s="17"/>
      <c r="C8" s="10" t="s">
        <v>41</v>
      </c>
      <c r="D8" s="17"/>
      <c r="E8" s="17"/>
      <c r="F8" s="17"/>
      <c r="G8" s="17"/>
    </row>
    <row r="9" customFormat="false" ht="30" hidden="false" customHeight="true" outlineLevel="0" collapsed="false">
      <c r="A9" s="4" t="n">
        <v>6</v>
      </c>
      <c r="B9" s="18"/>
      <c r="C9" s="6" t="s">
        <v>42</v>
      </c>
      <c r="D9" s="18"/>
      <c r="E9" s="18"/>
      <c r="F9" s="18"/>
      <c r="G9" s="18"/>
    </row>
    <row r="10" customFormat="false" ht="30" hidden="false" customHeight="true" outlineLevel="0" collapsed="false">
      <c r="A10" s="8" t="n">
        <v>7</v>
      </c>
      <c r="B10" s="17"/>
      <c r="C10" s="10" t="s">
        <v>43</v>
      </c>
      <c r="D10" s="17"/>
      <c r="E10" s="17"/>
      <c r="F10" s="17"/>
      <c r="G10" s="17"/>
    </row>
    <row r="11" customFormat="false" ht="30" hidden="false" customHeight="true" outlineLevel="0" collapsed="false">
      <c r="A11" s="4" t="n">
        <v>8</v>
      </c>
      <c r="B11" s="18"/>
      <c r="C11" s="6" t="s">
        <v>44</v>
      </c>
      <c r="D11" s="18"/>
      <c r="E11" s="18"/>
      <c r="F11" s="18"/>
      <c r="G11" s="18"/>
    </row>
    <row r="12" customFormat="false" ht="30" hidden="false" customHeight="true" outlineLevel="0" collapsed="false">
      <c r="A12" s="8" t="n">
        <v>9</v>
      </c>
      <c r="B12" s="17"/>
      <c r="C12" s="10" t="s">
        <v>45</v>
      </c>
      <c r="D12" s="17"/>
      <c r="E12" s="17"/>
      <c r="F12" s="17"/>
      <c r="G12" s="17"/>
    </row>
    <row r="13" customFormat="false" ht="30" hidden="false" customHeight="true" outlineLevel="0" collapsed="false">
      <c r="A13" s="4" t="n">
        <v>10</v>
      </c>
      <c r="B13" s="18"/>
      <c r="C13" s="6" t="s">
        <v>46</v>
      </c>
      <c r="D13" s="18"/>
      <c r="E13" s="18"/>
      <c r="F13" s="18"/>
      <c r="G13" s="18"/>
    </row>
    <row r="14" customFormat="false" ht="30" hidden="false" customHeight="true" outlineLevel="0" collapsed="false">
      <c r="A14" s="8" t="n">
        <v>11</v>
      </c>
      <c r="B14" s="17"/>
      <c r="C14" s="10" t="s">
        <v>47</v>
      </c>
      <c r="D14" s="17"/>
      <c r="E14" s="17"/>
      <c r="F14" s="17"/>
      <c r="G14" s="17"/>
    </row>
    <row r="15" customFormat="false" ht="30" hidden="false" customHeight="true" outlineLevel="0" collapsed="false">
      <c r="A15" s="4" t="n">
        <v>12</v>
      </c>
      <c r="B15" s="18"/>
      <c r="C15" s="6" t="s">
        <v>48</v>
      </c>
      <c r="D15" s="18"/>
      <c r="E15" s="18"/>
      <c r="F15" s="18"/>
      <c r="G15" s="18"/>
    </row>
    <row r="16" customFormat="false" ht="30" hidden="false" customHeight="true" outlineLevel="0" collapsed="false">
      <c r="A16" s="8" t="n">
        <v>13</v>
      </c>
      <c r="B16" s="17"/>
      <c r="C16" s="10" t="s">
        <v>49</v>
      </c>
      <c r="D16" s="17"/>
      <c r="E16" s="17"/>
      <c r="F16" s="17"/>
      <c r="G16" s="17"/>
    </row>
    <row r="17" customFormat="false" ht="30" hidden="false" customHeight="true" outlineLevel="0" collapsed="false">
      <c r="A17" s="4" t="n">
        <v>14</v>
      </c>
      <c r="B17" s="18"/>
      <c r="C17" s="6" t="s">
        <v>50</v>
      </c>
      <c r="D17" s="18"/>
      <c r="E17" s="18"/>
      <c r="F17" s="18"/>
      <c r="G17" s="18"/>
    </row>
    <row r="18" customFormat="false" ht="30" hidden="false" customHeight="true" outlineLevel="0" collapsed="false">
      <c r="A18" s="8" t="n">
        <v>15</v>
      </c>
      <c r="B18" s="17"/>
      <c r="C18" s="10" t="s">
        <v>51</v>
      </c>
      <c r="D18" s="17"/>
      <c r="E18" s="17"/>
      <c r="F18" s="17"/>
      <c r="G18" s="17"/>
    </row>
    <row r="19" customFormat="false" ht="30" hidden="false" customHeight="true" outlineLevel="0" collapsed="false">
      <c r="A19" s="4" t="n">
        <v>16</v>
      </c>
      <c r="B19" s="18"/>
      <c r="C19" s="6" t="s">
        <v>52</v>
      </c>
      <c r="D19" s="18"/>
      <c r="E19" s="18"/>
      <c r="F19" s="18"/>
      <c r="G19" s="18"/>
    </row>
    <row r="20" customFormat="false" ht="30" hidden="false" customHeight="true" outlineLevel="0" collapsed="false">
      <c r="A20" s="8" t="n">
        <v>17</v>
      </c>
      <c r="B20" s="17"/>
      <c r="C20" s="10" t="s">
        <v>53</v>
      </c>
      <c r="D20" s="17"/>
      <c r="E20" s="17"/>
      <c r="F20" s="17"/>
      <c r="G20" s="17"/>
    </row>
    <row r="21" customFormat="false" ht="30" hidden="false" customHeight="true" outlineLevel="0" collapsed="false">
      <c r="A21" s="4" t="n">
        <v>18</v>
      </c>
      <c r="B21" s="18"/>
      <c r="C21" s="6" t="s">
        <v>54</v>
      </c>
      <c r="D21" s="18"/>
      <c r="E21" s="18"/>
      <c r="F21" s="18"/>
      <c r="G21" s="18"/>
    </row>
    <row r="23" customFormat="false" ht="25.5" hidden="false" customHeight="true" outlineLevel="0" collapsed="false">
      <c r="A23" s="19" t="s">
        <v>55</v>
      </c>
      <c r="B23" s="19"/>
      <c r="C23" s="19"/>
      <c r="D23" s="19"/>
      <c r="E23" s="19"/>
      <c r="F23" s="19"/>
      <c r="G23" s="19"/>
    </row>
    <row r="24" customFormat="false" ht="15" hidden="false" customHeight="true" outlineLevel="0" collapsed="false">
      <c r="A24" s="20" t="s">
        <v>56</v>
      </c>
      <c r="B24" s="20"/>
      <c r="C24" s="20"/>
      <c r="D24" s="21" t="n">
        <f aca="false">COUNTIF(D4:D21,"Y")</f>
        <v>0</v>
      </c>
      <c r="E24" s="22"/>
      <c r="F24" s="22"/>
      <c r="G24" s="22"/>
    </row>
    <row r="25" customFormat="false" ht="15" hidden="false" customHeight="true" outlineLevel="0" collapsed="false">
      <c r="A25" s="20" t="s">
        <v>57</v>
      </c>
      <c r="B25" s="20"/>
      <c r="C25" s="20"/>
      <c r="D25" s="21" t="n">
        <f aca="false">IFERROR(COUNTIF(D4:D21,"Y")/18*100,0)</f>
        <v>0</v>
      </c>
      <c r="E25" s="22"/>
      <c r="F25" s="22"/>
      <c r="G25" s="22"/>
    </row>
    <row r="26" customFormat="false" ht="15" hidden="false" customHeight="true" outlineLevel="0" collapsed="false">
      <c r="A26" s="20" t="s">
        <v>58</v>
      </c>
      <c r="B26" s="20"/>
      <c r="C26" s="20"/>
      <c r="D26" s="21" t="str">
        <f aca="false">IF(COUNTIF(D4:D21,"Y")&gt;=14,"Exemplary",IF(COUNTIF(D4:D21,"Y")&gt;=10,"Advanced",IF(COUNTIF(D4:D21,"Y")&gt;=6,"Developing","Nascent")))</f>
        <v>Nascent</v>
      </c>
      <c r="E26" s="22"/>
      <c r="F26" s="22"/>
      <c r="G26" s="22"/>
    </row>
  </sheetData>
  <mergeCells count="6">
    <mergeCell ref="A1:G1"/>
    <mergeCell ref="A2:G2"/>
    <mergeCell ref="A23:G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3" t="s">
        <v>59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25.5" hidden="false" customHeight="true" outlineLevel="0" collapsed="false">
      <c r="A2" s="24" t="s">
        <v>60</v>
      </c>
      <c r="B2" s="24"/>
      <c r="C2" s="24"/>
      <c r="D2" s="24"/>
      <c r="E2" s="24"/>
      <c r="F2" s="24"/>
      <c r="G2" s="24"/>
      <c r="H2" s="24"/>
      <c r="I2" s="24"/>
      <c r="J2" s="24"/>
    </row>
    <row r="3" customFormat="false" ht="35.05" hidden="false" customHeight="false" outlineLevel="0" collapsed="false">
      <c r="A3" s="25" t="s">
        <v>61</v>
      </c>
      <c r="B3" s="25" t="s">
        <v>31</v>
      </c>
      <c r="C3" s="25" t="s">
        <v>62</v>
      </c>
      <c r="D3" s="25" t="s">
        <v>63</v>
      </c>
      <c r="E3" s="25" t="s">
        <v>64</v>
      </c>
      <c r="F3" s="25" t="s">
        <v>65</v>
      </c>
      <c r="G3" s="25" t="s">
        <v>66</v>
      </c>
      <c r="H3" s="25" t="s">
        <v>67</v>
      </c>
      <c r="I3" s="25" t="s">
        <v>68</v>
      </c>
      <c r="J3" s="25" t="s">
        <v>69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26" t="n">
        <f aca="false">IF(D4&gt;0,E4/D4*100,0)</f>
        <v>0</v>
      </c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27" t="n">
        <f aca="false">IF(D5&gt;0,E5/D5*100,0)</f>
        <v>0</v>
      </c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26" t="n">
        <f aca="false">IF(D6&gt;0,E6/D6*100,0)</f>
        <v>0</v>
      </c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27" t="n">
        <f aca="false">IF(D7&gt;0,E7/D7*100,0)</f>
        <v>0</v>
      </c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26" t="n">
        <f aca="false">IF(D8&gt;0,E8/D8*100,0)</f>
        <v>0</v>
      </c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27" t="n">
        <f aca="false">IF(D9&gt;0,E9/D9*100,0)</f>
        <v>0</v>
      </c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26" t="n">
        <f aca="false">IF(D10&gt;0,E10/D10*100,0)</f>
        <v>0</v>
      </c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27" t="n">
        <f aca="false">IF(D11&gt;0,E11/D11*100,0)</f>
        <v>0</v>
      </c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26" t="n">
        <f aca="false">IF(D12&gt;0,E12/D12*100,0)</f>
        <v>0</v>
      </c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27" t="n">
        <f aca="false">IF(D13&gt;0,E13/D13*100,0)</f>
        <v>0</v>
      </c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26" t="n">
        <f aca="false">IF(D14&gt;0,E14/D14*100,0)</f>
        <v>0</v>
      </c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27" t="n">
        <f aca="false">IF(D15&gt;0,E15/D15*100,0)</f>
        <v>0</v>
      </c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26" t="n">
        <f aca="false">IF(D16&gt;0,E16/D16*100,0)</f>
        <v>0</v>
      </c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27" t="n">
        <f aca="false">IF(D17&gt;0,E17/D17*100,0)</f>
        <v>0</v>
      </c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26" t="n">
        <f aca="false">IF(D18&gt;0,E18/D18*100,0)</f>
        <v>0</v>
      </c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27" t="n">
        <f aca="false">IF(D19&gt;0,E19/D19*100,0)</f>
        <v>0</v>
      </c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26" t="n">
        <f aca="false">IF(D20&gt;0,E20/D20*100,0)</f>
        <v>0</v>
      </c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27" t="n">
        <f aca="false">IF(D21&gt;0,E21/D21*100,0)</f>
        <v>0</v>
      </c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26" t="n">
        <f aca="false">IF(D22&gt;0,E22/D22*100,0)</f>
        <v>0</v>
      </c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27" t="n">
        <f aca="false">IF(D23&gt;0,E23/D23*100,0)</f>
        <v>0</v>
      </c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26" t="n">
        <f aca="false">IF(D24&gt;0,E24/D24*100,0)</f>
        <v>0</v>
      </c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27" t="n">
        <f aca="false">IF(D25&gt;0,E25/D25*100,0)</f>
        <v>0</v>
      </c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26" t="n">
        <f aca="false">IF(D26&gt;0,E26/D26*100,0)</f>
        <v>0</v>
      </c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27" t="n">
        <f aca="false">IF(D27&gt;0,E27/D27*100,0)</f>
        <v>0</v>
      </c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26" t="n">
        <f aca="false">IF(D28&gt;0,E28/D28*100,0)</f>
        <v>0</v>
      </c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27" t="n">
        <f aca="false">IF(D29&gt;0,E29/D29*100,0)</f>
        <v>0</v>
      </c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26" t="n">
        <f aca="false">IF(D30&gt;0,E30/D30*100,0)</f>
        <v>0</v>
      </c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27" t="n">
        <f aca="false">IF(D31&gt;0,E31/D31*100,0)</f>
        <v>0</v>
      </c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26" t="n">
        <f aca="false">IF(D32&gt;0,E32/D32*100,0)</f>
        <v>0</v>
      </c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27" t="n">
        <f aca="false">IF(D33&gt;0,E33/D33*100,0)</f>
        <v>0</v>
      </c>
      <c r="G33" s="18"/>
      <c r="H33" s="18"/>
      <c r="I33" s="18"/>
      <c r="J33" s="18"/>
    </row>
    <row r="35" customFormat="false" ht="25.5" hidden="false" customHeight="true" outlineLevel="0" collapsed="false">
      <c r="A35" s="28" t="s">
        <v>70</v>
      </c>
      <c r="B35" s="28"/>
      <c r="C35" s="28"/>
      <c r="D35" s="28"/>
      <c r="E35" s="28"/>
      <c r="F35" s="28"/>
      <c r="G35" s="28"/>
      <c r="H35" s="28"/>
      <c r="I35" s="28"/>
      <c r="J35" s="28"/>
    </row>
    <row r="36" customFormat="false" ht="35.05" hidden="false" customHeight="false" outlineLevel="0" collapsed="false">
      <c r="A36" s="29" t="s">
        <v>61</v>
      </c>
      <c r="B36" s="29" t="s">
        <v>71</v>
      </c>
      <c r="C36" s="29" t="s">
        <v>72</v>
      </c>
      <c r="D36" s="29" t="s">
        <v>73</v>
      </c>
      <c r="E36" s="29" t="s">
        <v>74</v>
      </c>
      <c r="F36" s="29" t="s">
        <v>75</v>
      </c>
      <c r="G36" s="29" t="s">
        <v>76</v>
      </c>
      <c r="H36" s="29" t="s">
        <v>77</v>
      </c>
      <c r="I36" s="29" t="s">
        <v>78</v>
      </c>
      <c r="J36" s="29" t="s">
        <v>79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0" t="s">
        <v>80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25.5" hidden="false" customHeight="true" outlineLevel="0" collapsed="false">
      <c r="A2" s="31" t="s">
        <v>81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35.05" hidden="false" customHeight="false" outlineLevel="0" collapsed="false">
      <c r="A3" s="32" t="s">
        <v>61</v>
      </c>
      <c r="B3" s="32" t="s">
        <v>31</v>
      </c>
      <c r="C3" s="32" t="s">
        <v>62</v>
      </c>
      <c r="D3" s="32" t="s">
        <v>82</v>
      </c>
      <c r="E3" s="32" t="s">
        <v>83</v>
      </c>
      <c r="F3" s="32" t="s">
        <v>84</v>
      </c>
      <c r="G3" s="32" t="s">
        <v>85</v>
      </c>
      <c r="H3" s="32" t="s">
        <v>86</v>
      </c>
      <c r="I3" s="32" t="s">
        <v>87</v>
      </c>
      <c r="J3" s="32" t="s">
        <v>88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26" t="n">
        <f aca="false">IF(D4&gt;0,E4/D4*100,0)</f>
        <v>0</v>
      </c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27" t="n">
        <f aca="false">IF(D5&gt;0,E5/D5*100,0)</f>
        <v>0</v>
      </c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26" t="n">
        <f aca="false">IF(D6&gt;0,E6/D6*100,0)</f>
        <v>0</v>
      </c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27" t="n">
        <f aca="false">IF(D7&gt;0,E7/D7*100,0)</f>
        <v>0</v>
      </c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26" t="n">
        <f aca="false">IF(D8&gt;0,E8/D8*100,0)</f>
        <v>0</v>
      </c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27" t="n">
        <f aca="false">IF(D9&gt;0,E9/D9*100,0)</f>
        <v>0</v>
      </c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26" t="n">
        <f aca="false">IF(D10&gt;0,E10/D10*100,0)</f>
        <v>0</v>
      </c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27" t="n">
        <f aca="false">IF(D11&gt;0,E11/D11*100,0)</f>
        <v>0</v>
      </c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26" t="n">
        <f aca="false">IF(D12&gt;0,E12/D12*100,0)</f>
        <v>0</v>
      </c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27" t="n">
        <f aca="false">IF(D13&gt;0,E13/D13*100,0)</f>
        <v>0</v>
      </c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26" t="n">
        <f aca="false">IF(D14&gt;0,E14/D14*100,0)</f>
        <v>0</v>
      </c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27" t="n">
        <f aca="false">IF(D15&gt;0,E15/D15*100,0)</f>
        <v>0</v>
      </c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26" t="n">
        <f aca="false">IF(D16&gt;0,E16/D16*100,0)</f>
        <v>0</v>
      </c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27" t="n">
        <f aca="false">IF(D17&gt;0,E17/D17*100,0)</f>
        <v>0</v>
      </c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26" t="n">
        <f aca="false">IF(D18&gt;0,E18/D18*100,0)</f>
        <v>0</v>
      </c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27" t="n">
        <f aca="false">IF(D19&gt;0,E19/D19*100,0)</f>
        <v>0</v>
      </c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26" t="n">
        <f aca="false">IF(D20&gt;0,E20/D20*100,0)</f>
        <v>0</v>
      </c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27" t="n">
        <f aca="false">IF(D21&gt;0,E21/D21*100,0)</f>
        <v>0</v>
      </c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26" t="n">
        <f aca="false">IF(D22&gt;0,E22/D22*100,0)</f>
        <v>0</v>
      </c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27" t="n">
        <f aca="false">IF(D23&gt;0,E23/D23*100,0)</f>
        <v>0</v>
      </c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26" t="n">
        <f aca="false">IF(D24&gt;0,E24/D24*100,0)</f>
        <v>0</v>
      </c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27" t="n">
        <f aca="false">IF(D25&gt;0,E25/D25*100,0)</f>
        <v>0</v>
      </c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26" t="n">
        <f aca="false">IF(D26&gt;0,E26/D26*100,0)</f>
        <v>0</v>
      </c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27" t="n">
        <f aca="false">IF(D27&gt;0,E27/D27*100,0)</f>
        <v>0</v>
      </c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26" t="n">
        <f aca="false">IF(D28&gt;0,E28/D28*100,0)</f>
        <v>0</v>
      </c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27" t="n">
        <f aca="false">IF(D29&gt;0,E29/D29*100,0)</f>
        <v>0</v>
      </c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26" t="n">
        <f aca="false">IF(D30&gt;0,E30/D30*100,0)</f>
        <v>0</v>
      </c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27" t="n">
        <f aca="false">IF(D31&gt;0,E31/D31*100,0)</f>
        <v>0</v>
      </c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26" t="n">
        <f aca="false">IF(D32&gt;0,E32/D32*100,0)</f>
        <v>0</v>
      </c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27" t="n">
        <f aca="false">IF(D33&gt;0,E33/D33*100,0)</f>
        <v>0</v>
      </c>
      <c r="G33" s="18"/>
      <c r="H33" s="18"/>
      <c r="I33" s="18"/>
      <c r="J33" s="18"/>
    </row>
    <row r="35" customFormat="false" ht="25.5" hidden="false" customHeight="true" outlineLevel="0" collapsed="false">
      <c r="A35" s="33" t="s">
        <v>89</v>
      </c>
      <c r="B35" s="33"/>
      <c r="C35" s="33"/>
      <c r="D35" s="33"/>
      <c r="E35" s="33"/>
      <c r="F35" s="33"/>
      <c r="G35" s="33"/>
      <c r="H35" s="33"/>
      <c r="I35" s="33"/>
      <c r="J35" s="33"/>
    </row>
    <row r="36" customFormat="false" ht="35.05" hidden="false" customHeight="false" outlineLevel="0" collapsed="false">
      <c r="A36" s="34" t="s">
        <v>61</v>
      </c>
      <c r="B36" s="34" t="s">
        <v>90</v>
      </c>
      <c r="C36" s="34" t="s">
        <v>72</v>
      </c>
      <c r="D36" s="34" t="s">
        <v>91</v>
      </c>
      <c r="E36" s="34" t="s">
        <v>92</v>
      </c>
      <c r="F36" s="34" t="s">
        <v>93</v>
      </c>
      <c r="G36" s="34" t="s">
        <v>94</v>
      </c>
      <c r="H36" s="34" t="s">
        <v>95</v>
      </c>
      <c r="I36" s="34" t="s">
        <v>96</v>
      </c>
      <c r="J36" s="34" t="s">
        <v>31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18"/>
      <c r="G63" s="18"/>
      <c r="H63" s="18"/>
      <c r="I63" s="18"/>
      <c r="J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18"/>
      <c r="G65" s="18"/>
      <c r="H65" s="18"/>
      <c r="I65" s="18"/>
      <c r="J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</row>
    <row r="67" customFormat="false" ht="15" hidden="false" customHeight="false" outlineLevel="0" collapsed="false">
      <c r="A67" s="4" t="n">
        <v>31</v>
      </c>
      <c r="B67" s="18"/>
      <c r="C67" s="18"/>
      <c r="D67" s="18"/>
      <c r="E67" s="18"/>
      <c r="F67" s="18"/>
      <c r="G67" s="18"/>
      <c r="H67" s="18"/>
      <c r="I67" s="18"/>
      <c r="J67" s="18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7"/>
    </row>
    <row r="69" customFormat="false" ht="15" hidden="false" customHeight="false" outlineLevel="0" collapsed="false">
      <c r="A69" s="4" t="n">
        <v>33</v>
      </c>
      <c r="B69" s="18"/>
      <c r="C69" s="18"/>
      <c r="D69" s="18"/>
      <c r="E69" s="18"/>
      <c r="F69" s="18"/>
      <c r="G69" s="18"/>
      <c r="H69" s="18"/>
      <c r="I69" s="18"/>
      <c r="J69" s="18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7"/>
    </row>
    <row r="71" customFormat="false" ht="15" hidden="false" customHeight="false" outlineLevel="0" collapsed="false">
      <c r="A71" s="4" t="n">
        <v>35</v>
      </c>
      <c r="B71" s="18"/>
      <c r="C71" s="18"/>
      <c r="D71" s="18"/>
      <c r="E71" s="18"/>
      <c r="F71" s="18"/>
      <c r="G71" s="18"/>
      <c r="H71" s="18"/>
      <c r="I71" s="18"/>
      <c r="J71" s="18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7"/>
    </row>
    <row r="73" customFormat="false" ht="15" hidden="false" customHeight="false" outlineLevel="0" collapsed="false">
      <c r="A73" s="4" t="n">
        <v>37</v>
      </c>
      <c r="B73" s="18"/>
      <c r="C73" s="18"/>
      <c r="D73" s="18"/>
      <c r="E73" s="18"/>
      <c r="F73" s="18"/>
      <c r="G73" s="18"/>
      <c r="H73" s="18"/>
      <c r="I73" s="18"/>
      <c r="J73" s="18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7"/>
    </row>
    <row r="75" customFormat="false" ht="15" hidden="false" customHeight="false" outlineLevel="0" collapsed="false">
      <c r="A75" s="4" t="n">
        <v>39</v>
      </c>
      <c r="B75" s="18"/>
      <c r="C75" s="18"/>
      <c r="D75" s="18"/>
      <c r="E75" s="18"/>
      <c r="F75" s="18"/>
      <c r="G75" s="18"/>
      <c r="H75" s="18"/>
      <c r="I75" s="18"/>
      <c r="J75" s="18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35" t="s">
        <v>15</v>
      </c>
      <c r="B1" s="35"/>
      <c r="C1" s="35"/>
      <c r="D1" s="35"/>
      <c r="E1" s="35"/>
      <c r="F1" s="35"/>
      <c r="G1" s="35"/>
      <c r="H1" s="35"/>
      <c r="I1" s="35"/>
    </row>
    <row r="2" customFormat="false" ht="25.5" hidden="false" customHeight="true" outlineLevel="0" collapsed="false">
      <c r="A2" s="28" t="s">
        <v>97</v>
      </c>
      <c r="B2" s="28"/>
      <c r="C2" s="28"/>
      <c r="D2" s="28"/>
      <c r="E2" s="28"/>
      <c r="F2" s="28"/>
      <c r="G2" s="28"/>
      <c r="H2" s="28"/>
      <c r="I2" s="28"/>
    </row>
    <row r="3" customFormat="false" ht="23.85" hidden="false" customHeight="false" outlineLevel="0" collapsed="false">
      <c r="A3" s="29" t="s">
        <v>61</v>
      </c>
      <c r="B3" s="29" t="s">
        <v>31</v>
      </c>
      <c r="C3" s="29" t="s">
        <v>62</v>
      </c>
      <c r="D3" s="29" t="s">
        <v>98</v>
      </c>
      <c r="E3" s="29" t="s">
        <v>99</v>
      </c>
      <c r="F3" s="29" t="s">
        <v>100</v>
      </c>
      <c r="G3" s="29" t="s">
        <v>101</v>
      </c>
      <c r="H3" s="29" t="s">
        <v>102</v>
      </c>
      <c r="I3" s="29" t="s">
        <v>88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</row>
    <row r="25" customFormat="false" ht="25.5" hidden="false" customHeight="true" outlineLevel="0" collapsed="false">
      <c r="A25" s="36" t="s">
        <v>103</v>
      </c>
      <c r="B25" s="36"/>
      <c r="C25" s="36"/>
      <c r="D25" s="36"/>
      <c r="E25" s="36"/>
      <c r="F25" s="36"/>
      <c r="G25" s="36"/>
      <c r="H25" s="36"/>
      <c r="I25" s="36"/>
    </row>
    <row r="26" customFormat="false" ht="23.85" hidden="false" customHeight="false" outlineLevel="0" collapsed="false">
      <c r="A26" s="37" t="s">
        <v>2</v>
      </c>
      <c r="B26" s="37" t="s">
        <v>104</v>
      </c>
      <c r="C26" s="37" t="s">
        <v>105</v>
      </c>
      <c r="D26" s="37" t="s">
        <v>106</v>
      </c>
      <c r="E26" s="37" t="s">
        <v>107</v>
      </c>
      <c r="F26" s="37" t="s">
        <v>108</v>
      </c>
      <c r="G26" s="37" t="s">
        <v>109</v>
      </c>
      <c r="H26" s="37" t="s">
        <v>110</v>
      </c>
      <c r="I26" s="37" t="s">
        <v>111</v>
      </c>
    </row>
    <row r="27" customFormat="false" ht="30" hidden="false" customHeight="true" outlineLevel="0" collapsed="false">
      <c r="A27" s="4" t="n">
        <v>1</v>
      </c>
      <c r="B27" s="6" t="s">
        <v>112</v>
      </c>
      <c r="C27" s="18"/>
      <c r="D27" s="18"/>
      <c r="E27" s="18"/>
      <c r="F27" s="18"/>
      <c r="G27" s="18"/>
      <c r="H27" s="18"/>
      <c r="I27" s="18"/>
    </row>
    <row r="28" customFormat="false" ht="30" hidden="false" customHeight="true" outlineLevel="0" collapsed="false">
      <c r="A28" s="8" t="n">
        <v>2</v>
      </c>
      <c r="B28" s="10" t="s">
        <v>113</v>
      </c>
      <c r="C28" s="17"/>
      <c r="D28" s="17"/>
      <c r="E28" s="17"/>
      <c r="F28" s="17"/>
      <c r="G28" s="17"/>
      <c r="H28" s="17"/>
      <c r="I28" s="17"/>
    </row>
    <row r="29" customFormat="false" ht="30" hidden="false" customHeight="true" outlineLevel="0" collapsed="false">
      <c r="A29" s="4" t="n">
        <v>3</v>
      </c>
      <c r="B29" s="6" t="s">
        <v>114</v>
      </c>
      <c r="C29" s="18"/>
      <c r="D29" s="18"/>
      <c r="E29" s="18"/>
      <c r="F29" s="18"/>
      <c r="G29" s="18"/>
      <c r="H29" s="18"/>
      <c r="I29" s="18"/>
    </row>
    <row r="30" customFormat="false" ht="30" hidden="false" customHeight="true" outlineLevel="0" collapsed="false">
      <c r="A30" s="8" t="n">
        <v>4</v>
      </c>
      <c r="B30" s="10" t="s">
        <v>115</v>
      </c>
      <c r="C30" s="17"/>
      <c r="D30" s="17"/>
      <c r="E30" s="17"/>
      <c r="F30" s="17"/>
      <c r="G30" s="17"/>
      <c r="H30" s="17"/>
      <c r="I30" s="17"/>
    </row>
    <row r="31" customFormat="false" ht="30" hidden="false" customHeight="true" outlineLevel="0" collapsed="false">
      <c r="A31" s="4" t="n">
        <v>5</v>
      </c>
      <c r="B31" s="6" t="s">
        <v>116</v>
      </c>
      <c r="C31" s="18"/>
      <c r="D31" s="18"/>
      <c r="E31" s="18"/>
      <c r="F31" s="18"/>
      <c r="G31" s="18"/>
      <c r="H31" s="18"/>
      <c r="I31" s="18"/>
    </row>
    <row r="32" customFormat="false" ht="30" hidden="false" customHeight="true" outlineLevel="0" collapsed="false">
      <c r="A32" s="8" t="n">
        <v>6</v>
      </c>
      <c r="B32" s="10" t="s">
        <v>117</v>
      </c>
      <c r="C32" s="17"/>
      <c r="D32" s="17"/>
      <c r="E32" s="17"/>
      <c r="F32" s="17"/>
      <c r="G32" s="17"/>
      <c r="H32" s="17"/>
      <c r="I32" s="17"/>
    </row>
    <row r="33" customFormat="false" ht="30" hidden="false" customHeight="true" outlineLevel="0" collapsed="false">
      <c r="A33" s="4" t="n">
        <v>7</v>
      </c>
      <c r="B33" s="6" t="s">
        <v>118</v>
      </c>
      <c r="C33" s="18"/>
      <c r="D33" s="18"/>
      <c r="E33" s="18"/>
      <c r="F33" s="18"/>
      <c r="G33" s="18"/>
      <c r="H33" s="18"/>
      <c r="I33" s="18"/>
    </row>
    <row r="34" customFormat="false" ht="30" hidden="false" customHeight="true" outlineLevel="0" collapsed="false">
      <c r="A34" s="8" t="n">
        <v>8</v>
      </c>
      <c r="B34" s="10" t="s">
        <v>119</v>
      </c>
      <c r="C34" s="17"/>
      <c r="D34" s="17"/>
      <c r="E34" s="17"/>
      <c r="F34" s="17"/>
      <c r="G34" s="17"/>
      <c r="H34" s="17"/>
      <c r="I34" s="17"/>
    </row>
    <row r="35" customFormat="false" ht="30" hidden="false" customHeight="true" outlineLevel="0" collapsed="false">
      <c r="A35" s="4" t="n">
        <v>9</v>
      </c>
      <c r="B35" s="6" t="s">
        <v>120</v>
      </c>
      <c r="C35" s="18"/>
      <c r="D35" s="18"/>
      <c r="E35" s="18"/>
      <c r="F35" s="18"/>
      <c r="G35" s="18"/>
      <c r="H35" s="18"/>
      <c r="I35" s="18"/>
    </row>
    <row r="36" customFormat="false" ht="30" hidden="false" customHeight="true" outlineLevel="0" collapsed="false">
      <c r="A36" s="8" t="n">
        <v>10</v>
      </c>
      <c r="B36" s="10" t="s">
        <v>121</v>
      </c>
      <c r="C36" s="17"/>
      <c r="D36" s="17"/>
      <c r="E36" s="17"/>
      <c r="F36" s="17"/>
      <c r="G36" s="17"/>
      <c r="H36" s="17"/>
      <c r="I36" s="17"/>
    </row>
    <row r="37" customFormat="false" ht="30" hidden="false" customHeight="true" outlineLevel="0" collapsed="false">
      <c r="A37" s="4" t="n">
        <v>11</v>
      </c>
      <c r="B37" s="6" t="s">
        <v>122</v>
      </c>
      <c r="C37" s="18"/>
      <c r="D37" s="18"/>
      <c r="E37" s="18"/>
      <c r="F37" s="18"/>
      <c r="G37" s="18"/>
      <c r="H37" s="18"/>
      <c r="I37" s="18"/>
    </row>
    <row r="38" customFormat="false" ht="30" hidden="false" customHeight="true" outlineLevel="0" collapsed="false">
      <c r="A38" s="8" t="n">
        <v>12</v>
      </c>
      <c r="B38" s="10" t="s">
        <v>123</v>
      </c>
      <c r="C38" s="17"/>
      <c r="D38" s="17"/>
      <c r="E38" s="17"/>
      <c r="F38" s="17"/>
      <c r="G38" s="17"/>
      <c r="H38" s="17"/>
      <c r="I38" s="17"/>
    </row>
    <row r="39" customFormat="false" ht="30" hidden="false" customHeight="true" outlineLevel="0" collapsed="false">
      <c r="A39" s="4" t="n">
        <v>13</v>
      </c>
      <c r="B39" s="6" t="s">
        <v>124</v>
      </c>
      <c r="C39" s="18"/>
      <c r="D39" s="18"/>
      <c r="E39" s="18"/>
      <c r="F39" s="18"/>
      <c r="G39" s="18"/>
      <c r="H39" s="18"/>
      <c r="I39" s="18"/>
    </row>
    <row r="40" customFormat="false" ht="30" hidden="false" customHeight="true" outlineLevel="0" collapsed="false">
      <c r="A40" s="8" t="n">
        <v>14</v>
      </c>
      <c r="B40" s="10" t="s">
        <v>125</v>
      </c>
      <c r="C40" s="17"/>
      <c r="D40" s="17"/>
      <c r="E40" s="17"/>
      <c r="F40" s="17"/>
      <c r="G40" s="17"/>
      <c r="H40" s="17"/>
      <c r="I40" s="17"/>
    </row>
    <row r="41" customFormat="false" ht="30" hidden="false" customHeight="true" outlineLevel="0" collapsed="false">
      <c r="A41" s="4" t="n">
        <v>15</v>
      </c>
      <c r="B41" s="6" t="s">
        <v>126</v>
      </c>
      <c r="C41" s="18"/>
      <c r="D41" s="18"/>
      <c r="E41" s="18"/>
      <c r="F41" s="18"/>
      <c r="G41" s="18"/>
      <c r="H41" s="18"/>
      <c r="I41" s="18"/>
    </row>
  </sheetData>
  <mergeCells count="3">
    <mergeCell ref="A1:I1"/>
    <mergeCell ref="A2:I2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8" t="s">
        <v>127</v>
      </c>
      <c r="B1" s="38"/>
      <c r="C1" s="38"/>
      <c r="D1" s="38"/>
      <c r="E1" s="38"/>
      <c r="F1" s="38"/>
      <c r="G1" s="38"/>
    </row>
    <row r="2" customFormat="false" ht="25.5" hidden="false" customHeight="true" outlineLevel="0" collapsed="false">
      <c r="A2" s="39" t="s">
        <v>128</v>
      </c>
      <c r="B2" s="39"/>
      <c r="C2" s="39"/>
      <c r="D2" s="39"/>
      <c r="E2" s="39"/>
      <c r="F2" s="39"/>
      <c r="G2" s="39"/>
    </row>
    <row r="3" customFormat="false" ht="23.85" hidden="false" customHeight="false" outlineLevel="0" collapsed="false">
      <c r="A3" s="40" t="s">
        <v>2</v>
      </c>
      <c r="B3" s="40" t="s">
        <v>31</v>
      </c>
      <c r="C3" s="40" t="s">
        <v>129</v>
      </c>
      <c r="D3" s="40" t="s">
        <v>130</v>
      </c>
      <c r="E3" s="40" t="s">
        <v>131</v>
      </c>
      <c r="F3" s="40" t="s">
        <v>132</v>
      </c>
      <c r="G3" s="40" t="s">
        <v>36</v>
      </c>
    </row>
    <row r="4" customFormat="false" ht="27.75" hidden="false" customHeight="true" outlineLevel="0" collapsed="false">
      <c r="A4" s="8" t="n">
        <v>1</v>
      </c>
      <c r="B4" s="17"/>
      <c r="C4" s="10" t="s">
        <v>133</v>
      </c>
      <c r="D4" s="17"/>
      <c r="E4" s="17"/>
      <c r="F4" s="17"/>
      <c r="G4" s="17"/>
    </row>
    <row r="5" customFormat="false" ht="27.75" hidden="false" customHeight="true" outlineLevel="0" collapsed="false">
      <c r="A5" s="4" t="n">
        <v>2</v>
      </c>
      <c r="B5" s="18"/>
      <c r="C5" s="6" t="s">
        <v>134</v>
      </c>
      <c r="D5" s="18"/>
      <c r="E5" s="18"/>
      <c r="F5" s="18"/>
      <c r="G5" s="18"/>
    </row>
    <row r="6" customFormat="false" ht="27.75" hidden="false" customHeight="true" outlineLevel="0" collapsed="false">
      <c r="A6" s="8" t="n">
        <v>3</v>
      </c>
      <c r="B6" s="17"/>
      <c r="C6" s="10" t="s">
        <v>135</v>
      </c>
      <c r="D6" s="17"/>
      <c r="E6" s="17"/>
      <c r="F6" s="17"/>
      <c r="G6" s="17"/>
    </row>
    <row r="7" customFormat="false" ht="27.75" hidden="false" customHeight="true" outlineLevel="0" collapsed="false">
      <c r="A7" s="4" t="n">
        <v>4</v>
      </c>
      <c r="B7" s="18"/>
      <c r="C7" s="6" t="s">
        <v>136</v>
      </c>
      <c r="D7" s="18"/>
      <c r="E7" s="18"/>
      <c r="F7" s="18"/>
      <c r="G7" s="18"/>
    </row>
    <row r="8" customFormat="false" ht="27.75" hidden="false" customHeight="true" outlineLevel="0" collapsed="false">
      <c r="A8" s="8" t="n">
        <v>5</v>
      </c>
      <c r="B8" s="17"/>
      <c r="C8" s="10" t="s">
        <v>137</v>
      </c>
      <c r="D8" s="17"/>
      <c r="E8" s="17"/>
      <c r="F8" s="17"/>
      <c r="G8" s="17"/>
    </row>
    <row r="9" customFormat="false" ht="27.75" hidden="false" customHeight="true" outlineLevel="0" collapsed="false">
      <c r="A9" s="4" t="n">
        <v>6</v>
      </c>
      <c r="B9" s="18"/>
      <c r="C9" s="6" t="s">
        <v>138</v>
      </c>
      <c r="D9" s="18"/>
      <c r="E9" s="18"/>
      <c r="F9" s="18"/>
      <c r="G9" s="18"/>
    </row>
    <row r="10" customFormat="false" ht="27.75" hidden="false" customHeight="true" outlineLevel="0" collapsed="false">
      <c r="A10" s="8" t="n">
        <v>7</v>
      </c>
      <c r="B10" s="17"/>
      <c r="C10" s="10" t="s">
        <v>139</v>
      </c>
      <c r="D10" s="17"/>
      <c r="E10" s="17"/>
      <c r="F10" s="17"/>
      <c r="G10" s="17"/>
    </row>
    <row r="11" customFormat="false" ht="27.75" hidden="false" customHeight="true" outlineLevel="0" collapsed="false">
      <c r="A11" s="4" t="n">
        <v>8</v>
      </c>
      <c r="B11" s="18"/>
      <c r="C11" s="6" t="s">
        <v>140</v>
      </c>
      <c r="D11" s="18"/>
      <c r="E11" s="18"/>
      <c r="F11" s="18"/>
      <c r="G11" s="18"/>
    </row>
    <row r="12" customFormat="false" ht="27.75" hidden="false" customHeight="true" outlineLevel="0" collapsed="false">
      <c r="A12" s="8" t="n">
        <v>9</v>
      </c>
      <c r="B12" s="17"/>
      <c r="C12" s="10" t="s">
        <v>141</v>
      </c>
      <c r="D12" s="17"/>
      <c r="E12" s="17"/>
      <c r="F12" s="17"/>
      <c r="G12" s="17"/>
    </row>
    <row r="13" customFormat="false" ht="27.75" hidden="false" customHeight="true" outlineLevel="0" collapsed="false">
      <c r="A13" s="4" t="n">
        <v>10</v>
      </c>
      <c r="B13" s="18"/>
      <c r="C13" s="6" t="s">
        <v>142</v>
      </c>
      <c r="D13" s="18"/>
      <c r="E13" s="18"/>
      <c r="F13" s="18"/>
      <c r="G13" s="18"/>
    </row>
    <row r="14" customFormat="false" ht="27.75" hidden="false" customHeight="true" outlineLevel="0" collapsed="false">
      <c r="A14" s="8" t="n">
        <v>11</v>
      </c>
      <c r="B14" s="17"/>
      <c r="C14" s="10" t="s">
        <v>143</v>
      </c>
      <c r="D14" s="17"/>
      <c r="E14" s="17"/>
      <c r="F14" s="17"/>
      <c r="G14" s="17"/>
    </row>
    <row r="15" customFormat="false" ht="27.75" hidden="false" customHeight="true" outlineLevel="0" collapsed="false">
      <c r="A15" s="4" t="n">
        <v>12</v>
      </c>
      <c r="B15" s="18"/>
      <c r="C15" s="6" t="s">
        <v>144</v>
      </c>
      <c r="D15" s="18"/>
      <c r="E15" s="18"/>
      <c r="F15" s="18"/>
      <c r="G15" s="18"/>
    </row>
    <row r="16" customFormat="false" ht="27.75" hidden="false" customHeight="true" outlineLevel="0" collapsed="false">
      <c r="A16" s="8" t="n">
        <v>13</v>
      </c>
      <c r="B16" s="17"/>
      <c r="C16" s="10" t="s">
        <v>145</v>
      </c>
      <c r="D16" s="17"/>
      <c r="E16" s="17"/>
      <c r="F16" s="17"/>
      <c r="G16" s="17"/>
    </row>
    <row r="17" customFormat="false" ht="27.75" hidden="false" customHeight="true" outlineLevel="0" collapsed="false">
      <c r="A17" s="4" t="n">
        <v>14</v>
      </c>
      <c r="B17" s="18"/>
      <c r="C17" s="6" t="s">
        <v>146</v>
      </c>
      <c r="D17" s="18"/>
      <c r="E17" s="18"/>
      <c r="F17" s="18"/>
      <c r="G17" s="18"/>
    </row>
    <row r="18" customFormat="false" ht="27.75" hidden="false" customHeight="true" outlineLevel="0" collapsed="false">
      <c r="A18" s="8" t="n">
        <v>15</v>
      </c>
      <c r="B18" s="17"/>
      <c r="C18" s="10" t="s">
        <v>147</v>
      </c>
      <c r="D18" s="17"/>
      <c r="E18" s="17"/>
      <c r="F18" s="17"/>
      <c r="G18" s="17"/>
    </row>
    <row r="20" customFormat="false" ht="25.5" hidden="false" customHeight="true" outlineLevel="0" collapsed="false">
      <c r="A20" s="19" t="s">
        <v>148</v>
      </c>
      <c r="B20" s="19"/>
      <c r="C20" s="19"/>
      <c r="D20" s="19"/>
      <c r="E20" s="19"/>
      <c r="F20" s="19"/>
      <c r="G20" s="19"/>
    </row>
    <row r="21" customFormat="false" ht="15" hidden="false" customHeight="true" outlineLevel="0" collapsed="false">
      <c r="A21" s="20" t="s">
        <v>149</v>
      </c>
      <c r="B21" s="20"/>
      <c r="C21" s="20"/>
      <c r="D21" s="21" t="n">
        <f aca="false">COUNTIF(D4:D18,"Y")</f>
        <v>0</v>
      </c>
      <c r="E21" s="22"/>
      <c r="F21" s="22"/>
      <c r="G21" s="22"/>
    </row>
    <row r="22" customFormat="false" ht="15" hidden="false" customHeight="true" outlineLevel="0" collapsed="false">
      <c r="A22" s="20" t="s">
        <v>150</v>
      </c>
      <c r="B22" s="20"/>
      <c r="C22" s="20"/>
      <c r="D22" s="21" t="n">
        <f aca="false">IFERROR(COUNTIF(D4:D18,"Y")/15*100,0)</f>
        <v>0</v>
      </c>
      <c r="E22" s="22"/>
      <c r="F22" s="22"/>
      <c r="G22" s="22"/>
    </row>
    <row r="23" customFormat="false" ht="15" hidden="false" customHeight="true" outlineLevel="0" collapsed="false">
      <c r="A23" s="20" t="s">
        <v>151</v>
      </c>
      <c r="B23" s="20"/>
      <c r="C23" s="20"/>
      <c r="D23" s="21" t="n">
        <f aca="false">IF(COUNTA(E4:E18)&gt;0,AVERAGE(E4:E18),0)</f>
        <v>0</v>
      </c>
      <c r="E23" s="22"/>
      <c r="F23" s="22"/>
      <c r="G23" s="22"/>
    </row>
  </sheetData>
  <mergeCells count="6">
    <mergeCell ref="A1:G1"/>
    <mergeCell ref="A2:G2"/>
    <mergeCell ref="A20:G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41" t="s">
        <v>152</v>
      </c>
      <c r="B1" s="41"/>
      <c r="C1" s="41"/>
      <c r="D1" s="41"/>
      <c r="E1" s="41"/>
      <c r="F1" s="41"/>
      <c r="G1" s="41"/>
    </row>
    <row r="2" customFormat="false" ht="25.5" hidden="false" customHeight="true" outlineLevel="0" collapsed="false">
      <c r="A2" s="42" t="s">
        <v>153</v>
      </c>
      <c r="B2" s="42"/>
      <c r="C2" s="42"/>
      <c r="D2" s="42"/>
      <c r="E2" s="42"/>
      <c r="F2" s="42"/>
      <c r="G2" s="42"/>
    </row>
    <row r="3" customFormat="false" ht="35.05" hidden="false" customHeight="false" outlineLevel="0" collapsed="false">
      <c r="A3" s="43" t="s">
        <v>2</v>
      </c>
      <c r="B3" s="43" t="s">
        <v>31</v>
      </c>
      <c r="C3" s="43" t="s">
        <v>154</v>
      </c>
      <c r="D3" s="43" t="s">
        <v>155</v>
      </c>
      <c r="E3" s="43" t="s">
        <v>156</v>
      </c>
      <c r="F3" s="43" t="s">
        <v>157</v>
      </c>
      <c r="G3" s="43" t="s">
        <v>158</v>
      </c>
    </row>
    <row r="4" customFormat="false" ht="31.5" hidden="false" customHeight="true" outlineLevel="0" collapsed="false">
      <c r="A4" s="8" t="n">
        <v>1</v>
      </c>
      <c r="B4" s="17"/>
      <c r="C4" s="10" t="s">
        <v>159</v>
      </c>
      <c r="D4" s="17"/>
      <c r="E4" s="17"/>
      <c r="F4" s="17"/>
      <c r="G4" s="17"/>
    </row>
    <row r="5" customFormat="false" ht="31.5" hidden="false" customHeight="true" outlineLevel="0" collapsed="false">
      <c r="A5" s="4" t="n">
        <v>2</v>
      </c>
      <c r="B5" s="18"/>
      <c r="C5" s="6" t="s">
        <v>160</v>
      </c>
      <c r="D5" s="18"/>
      <c r="E5" s="18"/>
      <c r="F5" s="18"/>
      <c r="G5" s="18"/>
    </row>
    <row r="6" customFormat="false" ht="31.5" hidden="false" customHeight="true" outlineLevel="0" collapsed="false">
      <c r="A6" s="8" t="n">
        <v>3</v>
      </c>
      <c r="B6" s="17"/>
      <c r="C6" s="10" t="s">
        <v>161</v>
      </c>
      <c r="D6" s="17"/>
      <c r="E6" s="17"/>
      <c r="F6" s="17"/>
      <c r="G6" s="17"/>
    </row>
    <row r="7" customFormat="false" ht="31.5" hidden="false" customHeight="true" outlineLevel="0" collapsed="false">
      <c r="A7" s="4" t="n">
        <v>4</v>
      </c>
      <c r="B7" s="18"/>
      <c r="C7" s="6" t="s">
        <v>162</v>
      </c>
      <c r="D7" s="18"/>
      <c r="E7" s="18"/>
      <c r="F7" s="18"/>
      <c r="G7" s="18"/>
    </row>
    <row r="8" customFormat="false" ht="31.5" hidden="false" customHeight="true" outlineLevel="0" collapsed="false">
      <c r="A8" s="8" t="n">
        <v>5</v>
      </c>
      <c r="B8" s="17"/>
      <c r="C8" s="10" t="s">
        <v>163</v>
      </c>
      <c r="D8" s="17"/>
      <c r="E8" s="17"/>
      <c r="F8" s="17"/>
      <c r="G8" s="17"/>
    </row>
    <row r="9" customFormat="false" ht="31.5" hidden="false" customHeight="true" outlineLevel="0" collapsed="false">
      <c r="A9" s="4" t="n">
        <v>6</v>
      </c>
      <c r="B9" s="18"/>
      <c r="C9" s="6" t="s">
        <v>164</v>
      </c>
      <c r="D9" s="18"/>
      <c r="E9" s="18"/>
      <c r="F9" s="18"/>
      <c r="G9" s="18"/>
    </row>
    <row r="10" customFormat="false" ht="31.5" hidden="false" customHeight="true" outlineLevel="0" collapsed="false">
      <c r="A10" s="8" t="n">
        <v>7</v>
      </c>
      <c r="B10" s="17"/>
      <c r="C10" s="10" t="s">
        <v>165</v>
      </c>
      <c r="D10" s="17"/>
      <c r="E10" s="17"/>
      <c r="F10" s="17"/>
      <c r="G10" s="17"/>
    </row>
    <row r="11" customFormat="false" ht="31.5" hidden="false" customHeight="true" outlineLevel="0" collapsed="false">
      <c r="A11" s="4" t="n">
        <v>8</v>
      </c>
      <c r="B11" s="18"/>
      <c r="C11" s="6" t="s">
        <v>166</v>
      </c>
      <c r="D11" s="18"/>
      <c r="E11" s="18"/>
      <c r="F11" s="18"/>
      <c r="G11" s="18"/>
    </row>
    <row r="12" customFormat="false" ht="31.5" hidden="false" customHeight="true" outlineLevel="0" collapsed="false">
      <c r="A12" s="8" t="n">
        <v>9</v>
      </c>
      <c r="B12" s="17"/>
      <c r="C12" s="10" t="s">
        <v>167</v>
      </c>
      <c r="D12" s="17"/>
      <c r="E12" s="17"/>
      <c r="F12" s="17"/>
      <c r="G12" s="17"/>
    </row>
    <row r="13" customFormat="false" ht="31.5" hidden="false" customHeight="true" outlineLevel="0" collapsed="false">
      <c r="A13" s="4" t="n">
        <v>10</v>
      </c>
      <c r="B13" s="18"/>
      <c r="C13" s="6" t="s">
        <v>168</v>
      </c>
      <c r="D13" s="18"/>
      <c r="E13" s="18"/>
      <c r="F13" s="18"/>
      <c r="G13" s="18"/>
    </row>
    <row r="14" customFormat="false" ht="31.5" hidden="false" customHeight="true" outlineLevel="0" collapsed="false">
      <c r="A14" s="8" t="n">
        <v>11</v>
      </c>
      <c r="B14" s="17"/>
      <c r="C14" s="10" t="s">
        <v>169</v>
      </c>
      <c r="D14" s="17"/>
      <c r="E14" s="17"/>
      <c r="F14" s="17"/>
      <c r="G14" s="17"/>
    </row>
    <row r="15" customFormat="false" ht="31.5" hidden="false" customHeight="true" outlineLevel="0" collapsed="false">
      <c r="A15" s="4" t="n">
        <v>12</v>
      </c>
      <c r="B15" s="18"/>
      <c r="C15" s="6" t="s">
        <v>170</v>
      </c>
      <c r="D15" s="18"/>
      <c r="E15" s="18"/>
      <c r="F15" s="18"/>
      <c r="G15" s="18"/>
    </row>
    <row r="16" customFormat="false" ht="31.5" hidden="false" customHeight="true" outlineLevel="0" collapsed="false">
      <c r="A16" s="8" t="n">
        <v>13</v>
      </c>
      <c r="B16" s="17"/>
      <c r="C16" s="10" t="s">
        <v>171</v>
      </c>
      <c r="D16" s="17"/>
      <c r="E16" s="17"/>
      <c r="F16" s="17"/>
      <c r="G16" s="17"/>
    </row>
    <row r="17" customFormat="false" ht="31.5" hidden="false" customHeight="true" outlineLevel="0" collapsed="false">
      <c r="A17" s="4" t="n">
        <v>14</v>
      </c>
      <c r="B17" s="18"/>
      <c r="C17" s="6" t="s">
        <v>172</v>
      </c>
      <c r="D17" s="18"/>
      <c r="E17" s="18"/>
      <c r="F17" s="18"/>
      <c r="G17" s="1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4" t="s">
        <v>173</v>
      </c>
      <c r="B1" s="44"/>
      <c r="C1" s="44"/>
      <c r="D1" s="44"/>
      <c r="E1" s="44"/>
      <c r="F1" s="44"/>
      <c r="G1" s="44"/>
      <c r="H1" s="44"/>
      <c r="I1" s="44"/>
    </row>
    <row r="2" customFormat="false" ht="25.5" hidden="false" customHeight="true" outlineLevel="0" collapsed="false">
      <c r="A2" s="15" t="s">
        <v>174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45" t="s">
        <v>61</v>
      </c>
      <c r="B3" s="45" t="s">
        <v>31</v>
      </c>
      <c r="C3" s="45" t="s">
        <v>175</v>
      </c>
      <c r="D3" s="45" t="s">
        <v>176</v>
      </c>
      <c r="E3" s="45" t="s">
        <v>177</v>
      </c>
      <c r="F3" s="45" t="s">
        <v>178</v>
      </c>
      <c r="G3" s="45" t="s">
        <v>179</v>
      </c>
      <c r="H3" s="45" t="s">
        <v>180</v>
      </c>
      <c r="I3" s="45" t="s">
        <v>181</v>
      </c>
    </row>
    <row r="4" customFormat="false" ht="15" hidden="false" customHeight="false" outlineLevel="0" collapsed="false">
      <c r="B4" s="46" t="s">
        <v>182</v>
      </c>
      <c r="C4" s="47" t="n">
        <v>0.3</v>
      </c>
      <c r="D4" s="47" t="n">
        <v>0.25</v>
      </c>
      <c r="E4" s="47" t="n">
        <v>0.2</v>
      </c>
      <c r="F4" s="47" t="n">
        <v>0.125</v>
      </c>
      <c r="G4" s="47" t="n">
        <v>0.125</v>
      </c>
    </row>
    <row r="5" customFormat="false" ht="15" hidden="false" customHeight="false" outlineLevel="0" collapsed="false">
      <c r="A5" s="4" t="n">
        <v>1</v>
      </c>
      <c r="B5" s="18"/>
      <c r="C5" s="48"/>
      <c r="D5" s="48"/>
      <c r="E5" s="48"/>
      <c r="F5" s="48"/>
      <c r="G5" s="48"/>
      <c r="H5" s="49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50"/>
      <c r="D6" s="50"/>
      <c r="E6" s="50"/>
      <c r="F6" s="50"/>
      <c r="G6" s="50"/>
      <c r="H6" s="51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18"/>
      <c r="C7" s="48"/>
      <c r="D7" s="48"/>
      <c r="E7" s="48"/>
      <c r="F7" s="48"/>
      <c r="G7" s="48"/>
      <c r="H7" s="49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50"/>
      <c r="D8" s="50"/>
      <c r="E8" s="50"/>
      <c r="F8" s="50"/>
      <c r="G8" s="50"/>
      <c r="H8" s="51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18"/>
      <c r="C9" s="48"/>
      <c r="D9" s="48"/>
      <c r="E9" s="48"/>
      <c r="F9" s="48"/>
      <c r="G9" s="48"/>
      <c r="H9" s="49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50"/>
      <c r="D10" s="50"/>
      <c r="E10" s="50"/>
      <c r="F10" s="50"/>
      <c r="G10" s="50"/>
      <c r="H10" s="51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18"/>
      <c r="C11" s="48"/>
      <c r="D11" s="48"/>
      <c r="E11" s="48"/>
      <c r="F11" s="48"/>
      <c r="G11" s="48"/>
      <c r="H11" s="49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50"/>
      <c r="D12" s="50"/>
      <c r="E12" s="50"/>
      <c r="F12" s="50"/>
      <c r="G12" s="50"/>
      <c r="H12" s="51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18"/>
      <c r="C13" s="48"/>
      <c r="D13" s="48"/>
      <c r="E13" s="48"/>
      <c r="F13" s="48"/>
      <c r="G13" s="48"/>
      <c r="H13" s="49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50"/>
      <c r="D14" s="50"/>
      <c r="E14" s="50"/>
      <c r="F14" s="50"/>
      <c r="G14" s="50"/>
      <c r="H14" s="51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18"/>
      <c r="C15" s="48"/>
      <c r="D15" s="48"/>
      <c r="E15" s="48"/>
      <c r="F15" s="48"/>
      <c r="G15" s="48"/>
      <c r="H15" s="49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50"/>
      <c r="D16" s="50"/>
      <c r="E16" s="50"/>
      <c r="F16" s="50"/>
      <c r="G16" s="50"/>
      <c r="H16" s="51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18"/>
      <c r="C17" s="48"/>
      <c r="D17" s="48"/>
      <c r="E17" s="48"/>
      <c r="F17" s="48"/>
      <c r="G17" s="48"/>
      <c r="H17" s="49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50"/>
      <c r="D18" s="50"/>
      <c r="E18" s="50"/>
      <c r="F18" s="50"/>
      <c r="G18" s="50"/>
      <c r="H18" s="51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18"/>
      <c r="C19" s="48"/>
      <c r="D19" s="48"/>
      <c r="E19" s="48"/>
      <c r="F19" s="48"/>
      <c r="G19" s="48"/>
      <c r="H19" s="49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50"/>
      <c r="D20" s="50"/>
      <c r="E20" s="50"/>
      <c r="F20" s="50"/>
      <c r="G20" s="50"/>
      <c r="H20" s="51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18"/>
      <c r="C21" s="48"/>
      <c r="D21" s="48"/>
      <c r="E21" s="48"/>
      <c r="F21" s="48"/>
      <c r="G21" s="48"/>
      <c r="H21" s="49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50"/>
      <c r="D22" s="50"/>
      <c r="E22" s="50"/>
      <c r="F22" s="50"/>
      <c r="G22" s="50"/>
      <c r="H22" s="51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18"/>
      <c r="C23" s="48"/>
      <c r="D23" s="48"/>
      <c r="E23" s="48"/>
      <c r="F23" s="48"/>
      <c r="G23" s="48"/>
      <c r="H23" s="49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50"/>
      <c r="D24" s="50"/>
      <c r="E24" s="50"/>
      <c r="F24" s="50"/>
      <c r="G24" s="50"/>
      <c r="H24" s="51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18"/>
      <c r="C25" s="48"/>
      <c r="D25" s="48"/>
      <c r="E25" s="48"/>
      <c r="F25" s="48"/>
      <c r="G25" s="48"/>
      <c r="H25" s="49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50"/>
      <c r="D26" s="50"/>
      <c r="E26" s="50"/>
      <c r="F26" s="50"/>
      <c r="G26" s="50"/>
      <c r="H26" s="51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18"/>
      <c r="C27" s="48"/>
      <c r="D27" s="48"/>
      <c r="E27" s="48"/>
      <c r="F27" s="48"/>
      <c r="G27" s="48"/>
      <c r="H27" s="49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50"/>
      <c r="D28" s="50"/>
      <c r="E28" s="50"/>
      <c r="F28" s="50"/>
      <c r="G28" s="50"/>
      <c r="H28" s="51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18"/>
      <c r="C29" s="48"/>
      <c r="D29" s="48"/>
      <c r="E29" s="48"/>
      <c r="F29" s="48"/>
      <c r="G29" s="48"/>
      <c r="H29" s="49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50"/>
      <c r="D30" s="50"/>
      <c r="E30" s="50"/>
      <c r="F30" s="50"/>
      <c r="G30" s="50"/>
      <c r="H30" s="51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18"/>
      <c r="C31" s="48"/>
      <c r="D31" s="48"/>
      <c r="E31" s="48"/>
      <c r="F31" s="48"/>
      <c r="G31" s="48"/>
      <c r="H31" s="49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50"/>
      <c r="D32" s="50"/>
      <c r="E32" s="50"/>
      <c r="F32" s="50"/>
      <c r="G32" s="50"/>
      <c r="H32" s="51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18"/>
      <c r="C33" s="48"/>
      <c r="D33" s="48"/>
      <c r="E33" s="48"/>
      <c r="F33" s="48"/>
      <c r="G33" s="48"/>
      <c r="H33" s="49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50"/>
      <c r="D34" s="50"/>
      <c r="E34" s="50"/>
      <c r="F34" s="50"/>
      <c r="G34" s="50"/>
      <c r="H34" s="51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3" t="s">
        <v>183</v>
      </c>
      <c r="B1" s="23"/>
      <c r="C1" s="23"/>
      <c r="D1" s="23"/>
      <c r="E1" s="23"/>
      <c r="F1" s="23"/>
      <c r="G1" s="23"/>
      <c r="H1" s="23"/>
      <c r="I1" s="23"/>
    </row>
    <row r="2" customFormat="false" ht="25.5" hidden="false" customHeight="true" outlineLevel="0" collapsed="false">
      <c r="A2" s="24" t="s">
        <v>184</v>
      </c>
      <c r="B2" s="24"/>
      <c r="C2" s="24"/>
      <c r="D2" s="24"/>
      <c r="E2" s="24"/>
      <c r="F2" s="24"/>
      <c r="G2" s="24"/>
      <c r="H2" s="24"/>
      <c r="I2" s="24"/>
    </row>
    <row r="3" customFormat="false" ht="15" hidden="false" customHeight="false" outlineLevel="0" collapsed="false">
      <c r="A3" s="25" t="s">
        <v>61</v>
      </c>
      <c r="B3" s="25" t="s">
        <v>185</v>
      </c>
      <c r="C3" s="25" t="s">
        <v>186</v>
      </c>
      <c r="D3" s="25" t="s">
        <v>187</v>
      </c>
      <c r="E3" s="25" t="s">
        <v>188</v>
      </c>
      <c r="F3" s="25" t="s">
        <v>189</v>
      </c>
      <c r="G3" s="25" t="s">
        <v>190</v>
      </c>
      <c r="H3" s="25" t="s">
        <v>191</v>
      </c>
      <c r="I3" s="25" t="s">
        <v>192</v>
      </c>
    </row>
    <row r="4" customFormat="false" ht="15" hidden="false" customHeight="false" outlineLevel="0" collapsed="false">
      <c r="A4" s="52" t="n">
        <v>1</v>
      </c>
      <c r="B4" s="53" t="s">
        <v>193</v>
      </c>
      <c r="C4" s="54"/>
      <c r="D4" s="54"/>
      <c r="E4" s="54"/>
      <c r="F4" s="54"/>
      <c r="G4" s="54"/>
      <c r="H4" s="54"/>
      <c r="I4" s="52" t="s">
        <v>194</v>
      </c>
    </row>
    <row r="5" customFormat="false" ht="15" hidden="false" customHeight="false" outlineLevel="0" collapsed="false">
      <c r="A5" s="4" t="n">
        <v>2</v>
      </c>
      <c r="B5" s="5" t="s">
        <v>195</v>
      </c>
      <c r="C5" s="18"/>
      <c r="D5" s="18"/>
      <c r="E5" s="18"/>
      <c r="F5" s="18"/>
      <c r="G5" s="18"/>
      <c r="H5" s="18"/>
      <c r="I5" s="4" t="s">
        <v>196</v>
      </c>
    </row>
    <row r="6" customFormat="false" ht="15" hidden="false" customHeight="false" outlineLevel="0" collapsed="false">
      <c r="A6" s="8" t="n">
        <v>3</v>
      </c>
      <c r="B6" s="9" t="s">
        <v>197</v>
      </c>
      <c r="C6" s="17"/>
      <c r="D6" s="17"/>
      <c r="E6" s="17"/>
      <c r="F6" s="17"/>
      <c r="G6" s="17"/>
      <c r="H6" s="17"/>
      <c r="I6" s="8" t="s">
        <v>198</v>
      </c>
    </row>
    <row r="7" customFormat="false" ht="15" hidden="false" customHeight="false" outlineLevel="0" collapsed="false">
      <c r="A7" s="4" t="n">
        <v>4</v>
      </c>
      <c r="B7" s="5" t="s">
        <v>199</v>
      </c>
      <c r="C7" s="18"/>
      <c r="D7" s="18"/>
      <c r="E7" s="18"/>
      <c r="F7" s="18"/>
      <c r="G7" s="18"/>
      <c r="H7" s="18"/>
      <c r="I7" s="4" t="s">
        <v>200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18"/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18"/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18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18"/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201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55" t="s">
        <v>202</v>
      </c>
      <c r="B2" s="55"/>
      <c r="C2" s="55"/>
      <c r="D2" s="55"/>
      <c r="E2" s="55"/>
      <c r="F2" s="55"/>
    </row>
    <row r="3" customFormat="false" ht="15" hidden="false" customHeight="false" outlineLevel="0" collapsed="false">
      <c r="A3" s="16" t="s">
        <v>2</v>
      </c>
      <c r="B3" s="16" t="s">
        <v>203</v>
      </c>
      <c r="C3" s="16" t="s">
        <v>204</v>
      </c>
      <c r="D3" s="16" t="s">
        <v>205</v>
      </c>
      <c r="E3" s="16" t="s">
        <v>206</v>
      </c>
      <c r="F3" s="16" t="s">
        <v>207</v>
      </c>
    </row>
    <row r="4" customFormat="false" ht="31.5" hidden="false" customHeight="true" outlineLevel="0" collapsed="false">
      <c r="A4" s="8" t="n">
        <v>1</v>
      </c>
      <c r="B4" s="9" t="s">
        <v>208</v>
      </c>
      <c r="C4" s="10" t="s">
        <v>209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210</v>
      </c>
      <c r="C5" s="6" t="s">
        <v>211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212</v>
      </c>
      <c r="C6" s="10" t="s">
        <v>213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214</v>
      </c>
      <c r="C7" s="6" t="s">
        <v>215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216</v>
      </c>
      <c r="C8" s="10" t="s">
        <v>217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218</v>
      </c>
      <c r="C9" s="6" t="s">
        <v>219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220</v>
      </c>
      <c r="C10" s="10" t="s">
        <v>221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222</v>
      </c>
      <c r="C11" s="6" t="s">
        <v>223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224</v>
      </c>
      <c r="C12" s="10" t="s">
        <v>225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226</v>
      </c>
      <c r="C13" s="6" t="s">
        <v>227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228</v>
      </c>
      <c r="C14" s="10" t="s">
        <v>229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230</v>
      </c>
      <c r="C15" s="6" t="s">
        <v>231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232</v>
      </c>
      <c r="C16" s="10" t="s">
        <v>233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234</v>
      </c>
      <c r="C17" s="6" t="s">
        <v>235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236</v>
      </c>
      <c r="C18" s="10" t="s">
        <v>237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238</v>
      </c>
      <c r="C19" s="6" t="s">
        <v>239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240</v>
      </c>
      <c r="C20" s="10" t="s">
        <v>241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242</v>
      </c>
      <c r="C21" s="6" t="s">
        <v>243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244</v>
      </c>
      <c r="C22" s="10" t="s">
        <v>245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246</v>
      </c>
      <c r="C23" s="6" t="s">
        <v>247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2026-05-07T04:47:55Z</dcterms:created>
  <dc:creator>openpyxl</dc:creator>
  <dc:description/>
  <dc:language>en-US</dc:language>
  <cp:lastModifiedBy/>
  <dcterms:modified xsi:type="dcterms:W3CDTF">2026-05-07T04:47:55Z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