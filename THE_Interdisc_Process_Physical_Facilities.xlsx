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Shared Labs &amp; Core" sheetId="2" state="visible" r:id="rId4"/>
    <sheet name="2. Maker Spaces &amp; Labs" sheetId="3" state="visible" r:id="rId5"/>
    <sheet name="3. Co-Located Spaces" sheetId="4" state="visible" r:id="rId6"/>
    <sheet name="4. Digital Infrastructure" sheetId="5" state="visible" r:id="rId7"/>
    <sheet name="5. Library &amp; Knowledge" sheetId="6" state="visible" r:id="rId8"/>
    <sheet name="6. Facility Checklist" sheetId="7" state="visible" r:id="rId9"/>
    <sheet name="7. Composite PF Score" sheetId="8" state="visible" r:id="rId10"/>
    <sheet name="8. Benchmarking" sheetId="9" state="visible" r:id="rId11"/>
    <sheet name="9. Data Quality Audi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<sst xmlns="http://schemas.openxmlformats.org/spreadsheetml/2006/main" count="252" uniqueCount="219">
  <si>
    <t xml:space="preserve">THE Interdisciplinary Rankings — Process Pillar (16%) → Physical Facilities (4%)</t>
  </si>
  <si>
    <t xml:space="preserve">Evaluates Physical Infrastructure Enabling Cross-Disciplinary Research &amp; Teaching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</si>
  <si>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</si>
  <si>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</si>
  <si>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</si>
  <si>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</si>
  <si>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Shared Research Laboratories &amp; Core Facilities</t>
  </si>
  <si>
    <t xml:space="preserve">Count, quality, and utilization of shared core instrumentation centres, central analytical labs, clean rooms, and characterization facilities accessible to researchers from 2+ departments. Assessed via: equipment inventory, departments served, annual users, utilization rate, and maintenance budget. Higher sharing intensity = stronger interdisciplinary infrastructure.</t>
  </si>
  <si>
    <t xml:space="preserve">~1.2%</t>
  </si>
  <si>
    <t xml:space="preserve">Maker Spaces, Innovation Labs &amp; Prototyping Facilities</t>
  </si>
  <si>
    <t xml:space="preserve">Purpose-built spaces for hands-on cross-domain prototyping, design thinking, and experiential innovation: fabrication labs (3D printing, CNC, laser cutting), electronics workbenches, biomaker spaces, design studios, and IoT/robotics labs. Assessed by number of departments using them, student projects completed, and accessibility hours.</t>
  </si>
  <si>
    <t xml:space="preserve">~0.8%</t>
  </si>
  <si>
    <t xml:space="preserve">Co-Located &amp; Integrated Research Spaces</t>
  </si>
  <si>
    <t xml:space="preserve">Physical co-location of researchers from different disciplines in shared office/lab complexes specifically designed for interdisciplinary interaction: open-plan research hubs, convergence buildings, interdisciplinary research floors, and shared wet-dry lab suites. Square footage per researcher and cross-department occupancy measured.</t>
  </si>
  <si>
    <t xml:space="preserve">Digital Research Infrastructure</t>
  </si>
  <si>
    <t xml:space="preserve">Computational infrastructure supporting multi-domain research: High-Performance Computing (HPC) clusters, GPU farms, shared data lakes/repositories, campus-wide simulation platforms (COMSOL, MATLAB, etc.), cloud computing allocations, and digital collaboration platforms (research wikis, shared notebooks). Measured by compute capacity, users, and cross-domain utilization.</t>
  </si>
  <si>
    <t xml:space="preserve">~0.7%</t>
  </si>
  <si>
    <t xml:space="preserve">Library, Information &amp; Knowledge Infrastructure</t>
  </si>
  <si>
    <t xml:space="preserve">Multi-domain knowledge infrastructure: cross-disciplinary journal access (e-databases spanning all ASJC areas), interdisciplinary reading rooms, research data management systems, institutional repositories with cross-domain tagging, and bibliometric analysis tools (SciVal, InCites, VOSviewer). Assessed by subscription breadth, usage, and cross-domain search volume.</t>
  </si>
  <si>
    <t xml:space="preserve">~0.5%</t>
  </si>
  <si>
    <t xml:space="preserve">Key Reference Notes</t>
  </si>
  <si>
    <t xml:space="preserve">• Physical Facilities contributes 4% to total ranking — part of Process pillar (16%) = Collaboration (5%) + Knowledge Exchange (4%) + Measure of Success (4%) + Physical Facilities (4%) – adjusted from the uploaded document.</t>
  </si>
  <si>
    <t xml:space="preserve">• Evaluates PHYSICAL &amp; DIGITAL infrastructure that enables cross-department interaction, not research output.</t>
  </si>
  <si>
    <t xml:space="preserve">• Data sources: institutional space audit, asset registers, IT infrastructure records, library databases, THE submission.</t>
  </si>
  <si>
    <t xml:space="preserve">• 'Shared' means formally accessible to researchers from 2+ departments — single-department labs are excluded.</t>
  </si>
  <si>
    <t xml:space="preserve">• Maker spaces and innovation labs must be multi-department-accessible to qualify (not department-exclusive workshops).</t>
  </si>
  <si>
    <t xml:space="preserve">• Co-location measures physical proximity designed to foster interdisciplinary interaction.</t>
  </si>
  <si>
    <t xml:space="preserve">• Digital infrastructure includes both hardware (HPC, GPUs) and software (platforms, repositories, collaboration tools).</t>
  </si>
  <si>
    <t xml:space="preserve">• Library assessment focuses on cross-disciplinary breadth of subscriptions and usage patterns, not volume alone.</t>
  </si>
  <si>
    <t xml:space="preserve">Shared Research Laboratories &amp; Core Instrumentation Facilities</t>
  </si>
  <si>
    <t xml:space="preserve">Central facilities accessible to 2+ departments | Equipment inventory, utilization, departments served</t>
  </si>
  <si>
    <t xml:space="preserve">S.No.</t>
  </si>
  <si>
    <t xml:space="preserve">Facility / Lab Name</t>
  </si>
  <si>
    <t xml:space="preserve">Major Equipment (list)</t>
  </si>
  <si>
    <t xml:space="preserve">Departments Sharing (list 2+)</t>
  </si>
  <si>
    <t xml:space="preserve">Year Established</t>
  </si>
  <si>
    <t xml:space="preserve">Annual Budget (INR L / USD K)</t>
  </si>
  <si>
    <t xml:space="preserve">Annual Users (Unique)</t>
  </si>
  <si>
    <t xml:space="preserve">Utilization Rate (%)</t>
  </si>
  <si>
    <t xml:space="preserve">Certifications (ISO/NABL/etc.)</t>
  </si>
  <si>
    <t xml:space="preserve">University Name</t>
  </si>
  <si>
    <t xml:space="preserve">University-Level Shared Lab Summary</t>
  </si>
  <si>
    <t xml:space="preserve">Total Shared Labs/Facilities</t>
  </si>
  <si>
    <t xml:space="preserve">Total Equipment Value (INR Cr / USD M)</t>
  </si>
  <si>
    <t xml:space="preserve">Avg Departments per Facility</t>
  </si>
  <si>
    <t xml:space="preserve">Total Annual Users</t>
  </si>
  <si>
    <t xml:space="preserve">Avg Utilization Rate (%)</t>
  </si>
  <si>
    <t xml:space="preserve">Shared Lab Area (sq.ft)</t>
  </si>
  <si>
    <t xml:space="preserve">Lab Area per Researcher (sq.ft)</t>
  </si>
  <si>
    <t xml:space="preserve">Reporting Year</t>
  </si>
  <si>
    <t xml:space="preserve">Multi-department fabrication, design thinking, IoT/robotics, biomaker spaces | Accessibility &amp; utilization</t>
  </si>
  <si>
    <t xml:space="preserve">Maker Space / Lab Name</t>
  </si>
  <si>
    <t xml:space="preserve">Capabilities (3D Print/CNC/Laser/Electronics/Bio/IoT)</t>
  </si>
  <si>
    <t xml:space="preserve">Departments with Access (list 2+)</t>
  </si>
  <si>
    <t xml:space="preserve">Annual Student Projects Completed</t>
  </si>
  <si>
    <t xml:space="preserve">Faculty Projects Supported</t>
  </si>
  <si>
    <t xml:space="preserve">Industry Projects Hosted</t>
  </si>
  <si>
    <t xml:space="preserve">Accessibility (Hours/Week)</t>
  </si>
  <si>
    <t xml:space="preserve">University-Level Maker Space Summary</t>
  </si>
  <si>
    <t xml:space="preserve">Total Maker Spaces / Innovation Labs</t>
  </si>
  <si>
    <t xml:space="preserve">Total Area (sq.ft)</t>
  </si>
  <si>
    <t xml:space="preserve">Departments Served</t>
  </si>
  <si>
    <t xml:space="preserve">Annual Student Users</t>
  </si>
  <si>
    <t xml:space="preserve">Annual Projects (All Types)</t>
  </si>
  <si>
    <t xml:space="preserve">Investment (INR L / USD K)</t>
  </si>
  <si>
    <t xml:space="preserve">Open Access (Y/N)</t>
  </si>
  <si>
    <t xml:space="preserve">Co-Located &amp; Integrated Interdisciplinary Research Spaces</t>
  </si>
  <si>
    <t xml:space="preserve">Convergence buildings, open-plan research hubs, shared wet-dry lab suites, interdisciplinary floors</t>
  </si>
  <si>
    <t xml:space="preserve">Building / Space Name</t>
  </si>
  <si>
    <t xml:space="preserve">Type (Hub/Convergence Bldg/Shared Floor/Open-Plan/Wet-Dry Suite)</t>
  </si>
  <si>
    <t xml:space="preserve">Departments Co-Located (list 2+)</t>
  </si>
  <si>
    <t xml:space="preserve">Researcher Capacity</t>
  </si>
  <si>
    <t xml:space="preserve">Current Occupancy</t>
  </si>
  <si>
    <t xml:space="preserve">Cross-Dept Occupancy (%)</t>
  </si>
  <si>
    <t xml:space="preserve">Year Commissioned</t>
  </si>
  <si>
    <t xml:space="preserve">University-Level Co-Location Summary</t>
  </si>
  <si>
    <t xml:space="preserve">Total Co-Located Spaces</t>
  </si>
  <si>
    <t xml:space="preserve">Total Interdisciplinary Area (sq.ft)</t>
  </si>
  <si>
    <t xml:space="preserve">Avg Departments per Space</t>
  </si>
  <si>
    <t xml:space="preserve">Total Researcher Capacity</t>
  </si>
  <si>
    <t xml:space="preserve">Avg Cross-Dept Occupancy (%)</t>
  </si>
  <si>
    <t xml:space="preserve">Area per Researcher (sq.ft)</t>
  </si>
  <si>
    <t xml:space="preserve">Interaction Index (0–10)</t>
  </si>
  <si>
    <t xml:space="preserve">Digital Research Infrastructure — HPC, Data Platforms &amp; Collaboration Tools</t>
  </si>
  <si>
    <t xml:space="preserve">Compute capacity, shared data lakes, simulation platforms, cloud allocations, digital collaboration tools</t>
  </si>
  <si>
    <t xml:space="preserve">Country</t>
  </si>
  <si>
    <t xml:space="preserve">HPC Compute Capacity (TFLOPS)</t>
  </si>
  <si>
    <t xml:space="preserve">GPU Nodes Available</t>
  </si>
  <si>
    <t xml:space="preserve">Departments with HPC Access</t>
  </si>
  <si>
    <t xml:space="preserve">Shared Data Lake / Repository (Y/N)</t>
  </si>
  <si>
    <t xml:space="preserve">Campus Simulation Licences (COMSOL/MATLAB/etc.)</t>
  </si>
  <si>
    <t xml:space="preserve">Cloud Computing Budget (Annual, INR L / USD K)</t>
  </si>
  <si>
    <t xml:space="preserve">Digital Platform &amp; Tool Inventory</t>
  </si>
  <si>
    <t xml:space="preserve">Platform / Tool Name</t>
  </si>
  <si>
    <t xml:space="preserve">Type (HPC/GPU/DataLake/Simulation/Cloud/Collab)</t>
  </si>
  <si>
    <t xml:space="preserve">Provider (In-house/Commercial/Cloud)</t>
  </si>
  <si>
    <t xml:space="preserve">Departments Using (list 2+)</t>
  </si>
  <si>
    <t xml:space="preserve">Annual Cost (INR L / USD K)</t>
  </si>
  <si>
    <t xml:space="preserve">Cross-Domain Projects Supported</t>
  </si>
  <si>
    <t xml:space="preserve">Uptime / Availability (%)</t>
  </si>
  <si>
    <t xml:space="preserve">Library, Information &amp; Knowledge Infrastructure for Interdisciplinary Research</t>
  </si>
  <si>
    <t xml:space="preserve">E-database breadth, institutional repository, bibliometric tools, cross-domain access patterns</t>
  </si>
  <si>
    <t xml:space="preserve">Total E-Database Subscriptions</t>
  </si>
  <si>
    <t xml:space="preserve">ASJC Areas Covered (of 27 top-level)</t>
  </si>
  <si>
    <t xml:space="preserve">% Cross-Domain Coverage</t>
  </si>
  <si>
    <t xml:space="preserve">Institutional Repository (IR) Items</t>
  </si>
  <si>
    <t xml:space="preserve">IR Cross-Domain Tagged Items</t>
  </si>
  <si>
    <t xml:space="preserve">Bibliometric Tools Available (SciVal/InCites/VOSviewer)</t>
  </si>
  <si>
    <t xml:space="preserve">Physical Facilities Readiness Checklist — Per University Assessment</t>
  </si>
  <si>
    <t xml:space="preserve">Comprehensive checklist of infrastructure components supporting interdisciplinary research &amp; teaching</t>
  </si>
  <si>
    <t xml:space="preserve">Facility / Infrastructure Component</t>
  </si>
  <si>
    <t xml:space="preserve">Status (Y/N/Planned)</t>
  </si>
  <si>
    <t xml:space="preserve">Scale / Capacity</t>
  </si>
  <si>
    <t xml:space="preserve">Remarks</t>
  </si>
  <si>
    <t xml:space="preserve">Central Analytical / Instrumentation Lab (SEM, NMR, XRD, Mass Spec, HPLC) shared across departments</t>
  </si>
  <si>
    <t xml:space="preserve">Clean Room / Nano-Fabrication Facility shared across physics, chemistry, engineering</t>
  </si>
  <si>
    <t xml:space="preserve">Biomaker Space / Biological Fabrication Lab accessible to life sciences + engineering</t>
  </si>
  <si>
    <t xml:space="preserve">Electronics / PCB Fabrication &amp; Testing Lab open to all engineering + CS departments</t>
  </si>
  <si>
    <t xml:space="preserve">3D Printing / Additive Manufacturing Hub (multi-material: metal, polymer, bio)</t>
  </si>
  <si>
    <t xml:space="preserve">CNC / Laser Cutting / Subtractive Manufacturing Workshop</t>
  </si>
  <si>
    <t xml:space="preserve">Design Thinking / Innovation Studio with cross-department access</t>
  </si>
  <si>
    <t xml:space="preserve">IoT / Embedded Systems / Robotics Prototyping Lab</t>
  </si>
  <si>
    <t xml:space="preserve">High-Performance Computing (HPC) Cluster accessible campus-wide</t>
  </si>
  <si>
    <t xml:space="preserve">GPU Farm / AI Computing Infrastructure for multi-domain ML/DL research</t>
  </si>
  <si>
    <t xml:space="preserve">Shared Data Lake / Research Data Repository with cross-domain tagging</t>
  </si>
  <si>
    <t xml:space="preserve">Campus-wide Simulation Platform (COMSOL, MATLAB, ANSYS, etc.) site licences</t>
  </si>
  <si>
    <t xml:space="preserve">Cloud Computing Allocation (AWS/Azure/GCP) for cross-department research</t>
  </si>
  <si>
    <t xml:space="preserve">Convergence / Interdisciplinary Research Building (purpose-built)</t>
  </si>
  <si>
    <t xml:space="preserve">Open-Plan Research Hub with hot-desking for cross-department teams</t>
  </si>
  <si>
    <t xml:space="preserve">Shared Wet-Dry Lab Suites (chemistry + engineering + biology co-located)</t>
  </si>
  <si>
    <t xml:space="preserve">Living Lab / Field Station for multi-domain real-world testing</t>
  </si>
  <si>
    <t xml:space="preserve">Telepresence / Video-Conferencing Suite for inter-campus cross-dept collaboration</t>
  </si>
  <si>
    <t xml:space="preserve">Digital Collaboration Platform (shared notebooks, Overleaf, GitHub, etc.)</t>
  </si>
  <si>
    <t xml:space="preserve">Bibliometric / Research Analytics Tools (SciVal, InCites, VOSviewer, Dimensions)</t>
  </si>
  <si>
    <t xml:space="preserve">Institutional Repository with ASJC/SDG tagging and cross-domain search</t>
  </si>
  <si>
    <t xml:space="preserve">Cross-Disciplinary Reading Room / Knowledge Commons in library</t>
  </si>
  <si>
    <t xml:space="preserve">Incubation Centre with prototyping &amp; testing infrastructure</t>
  </si>
  <si>
    <t xml:space="preserve">Central Workshop / Mechanical Fabrication shared across all departments</t>
  </si>
  <si>
    <t xml:space="preserve">Environmental Chamber / Climate-Controlled Testing Facility (shared)</t>
  </si>
  <si>
    <t xml:space="preserve">Facility Readiness Summary</t>
  </si>
  <si>
    <t xml:space="preserve">Total Facilities Present</t>
  </si>
  <si>
    <t xml:space="preserve">Facility Readiness (%)</t>
  </si>
  <si>
    <t xml:space="preserve">Facilities Planned</t>
  </si>
  <si>
    <t xml:space="preserve">Total Investment in Shared Infra</t>
  </si>
  <si>
    <t xml:space="preserve">Composite Physical Facilities Score (0–100) — 4% of Total Ranking</t>
  </si>
  <si>
    <t xml:space="preserve">Weighted composite of 5 sub-indicators | Weights editable in Row 4</t>
  </si>
  <si>
    <t xml:space="preserve">Shared Labs (A)</t>
  </si>
  <si>
    <t xml:space="preserve">Maker Spaces (B)</t>
  </si>
  <si>
    <t xml:space="preserve">Co-Location (C)</t>
  </si>
  <si>
    <t xml:space="preserve">Digital Infra (D)</t>
  </si>
  <si>
    <t xml:space="preserve">Library &amp; Knowledge (E)</t>
  </si>
  <si>
    <t xml:space="preserve">Composite PF Score (0–100)</t>
  </si>
  <si>
    <t xml:space="preserve">Global Rank</t>
  </si>
  <si>
    <t xml:space="preserve">Weights →</t>
  </si>
  <si>
    <t xml:space="preserve">Benchmarking &amp; Peer Comparison — Physical Facilities</t>
  </si>
  <si>
    <t xml:space="preserve">Compare against peers, aspirational targets, and global top performers</t>
  </si>
  <si>
    <t xml:space="preserve">University / Benchmark</t>
  </si>
  <si>
    <t xml:space="preserve">Shared Labs</t>
  </si>
  <si>
    <t xml:space="preserve">Maker Spaces</t>
  </si>
  <si>
    <t xml:space="preserve">Co-Location</t>
  </si>
  <si>
    <t xml:space="preserve">Digital</t>
  </si>
  <si>
    <t xml:space="preserve">Library</t>
  </si>
  <si>
    <t xml:space="preserve">Composite PF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</si>
  <si>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</si>
  <si>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</si>
  <si>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</si>
  <si>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</si>
  <si>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</si>
  <si>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</si>
  <si>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</si>
  <si>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</si>
  <si>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</si>
  <si>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Physical Facilities — Data Quality &amp; Audit Checklist</t>
  </si>
  <si>
    <t xml:space="preserve">Validation checks for the Physical Facilities component (4%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</si>
  <si>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</si>
  <si>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</si>
  <si>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</si>
  <si>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</si>
  <si>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</si>
  <si>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Shared facility definition</t>
  </si>
  <si>
    <t xml:space="preserve">Each facility listed is formally accessible to researchers from 2+ departments via documented access policy</t>
  </si>
  <si>
    <t xml:space="preserve">Equipment inventory accuracy</t>
  </si>
  <si>
    <t xml:space="preserve">Major equipment listed verified against institutional asset register / purchase records</t>
  </si>
  <si>
    <t xml:space="preserve">Utilization rate methodology</t>
  </si>
  <si>
    <t xml:space="preserve">Utilization = actual booked hours / available hours × 100; based on booking system data</t>
  </si>
  <si>
    <t xml:space="preserve">Department sharing verification</t>
  </si>
  <si>
    <t xml:space="preserve">Departments listed as 'sharing' have actually used the facility in the past 12 months (usage logs)</t>
  </si>
  <si>
    <t xml:space="preserve">Maker space multi-dept access</t>
  </si>
  <si>
    <t xml:space="preserve">Maker spaces open to all departments, not restricted to host department; verified via access records</t>
  </si>
  <si>
    <t xml:space="preserve">Co-location purpose verification</t>
  </si>
  <si>
    <t xml:space="preserve">Co-located spaces designed specifically for interdisciplinary interaction, not just adjacent offices by chance</t>
  </si>
  <si>
    <t xml:space="preserve">Area measurement standards</t>
  </si>
  <si>
    <t xml:space="preserve">Square footage measured consistently (gross vs. usable area documented)</t>
  </si>
  <si>
    <t xml:space="preserve">HPC capacity specification</t>
  </si>
  <si>
    <t xml:space="preserve">TFLOPS / GPU counts verified against system specs and vendor documentation</t>
  </si>
  <si>
    <t xml:space="preserve">Digital tool licence coverage</t>
  </si>
  <si>
    <t xml:space="preserve">Simulation platform licences verified as campus-wide (not single-department)</t>
  </si>
  <si>
    <t xml:space="preserve">Library subscription breadth</t>
  </si>
  <si>
    <t xml:space="preserve">ASJC coverage verified against actual e-database subscription list (not publisher bundles counted as one)</t>
  </si>
  <si>
    <t xml:space="preserve">Institutional repository tagging</t>
  </si>
  <si>
    <t xml:space="preserve">Cross-domain tagging system documented; items tagged to 2+ ASJC areas verified</t>
  </si>
  <si>
    <t xml:space="preserve">Facility checklist evidence</t>
  </si>
  <si>
    <t xml:space="preserve">Each item marked 'Y' backed by verifiable institutional document, photo, or URL</t>
  </si>
  <si>
    <t xml:space="preserve">Investment figures verification</t>
  </si>
  <si>
    <t xml:space="preserve">All investment/budget figures verified against audited financial statements or purchase orders</t>
  </si>
  <si>
    <t xml:space="preserve">Double-counting prevention</t>
  </si>
  <si>
    <t xml:space="preserve">Same facility not listed under multiple sub-indicator categories</t>
  </si>
  <si>
    <t xml:space="preserve">Active vs. planned distinction</t>
  </si>
  <si>
    <t xml:space="preserve">Only operational facilities counted; planned/under-construction items listed separately</t>
  </si>
  <si>
    <t xml:space="preserve">Safety &amp; compliance certification</t>
  </si>
  <si>
    <t xml:space="preserve">Shared labs with hazardous materials have valid safety certifications (NABL, ISO, NBC)</t>
  </si>
  <si>
    <t xml:space="preserve">Normalization method</t>
  </si>
  <si>
    <t xml:space="preserve">Z-scoring or min-max normalization applied consistently across all universities</t>
  </si>
  <si>
    <t xml:space="preserve">Weight validation</t>
  </si>
  <si>
    <t xml:space="preserve">Sub-indicator weights sum to 100% of the Physical Facilities component</t>
  </si>
  <si>
    <t xml:space="preserve">Year-on-year trend check</t>
  </si>
  <si>
    <t xml:space="preserve">Compare current infrastructure data with previous cycle; flag major changes</t>
  </si>
  <si>
    <t xml:space="preserve">Reproducibility test</t>
  </si>
  <si>
    <t xml:space="preserve">All calculations reproducible by independent analyst using this workbook and facility records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</si>
</sst>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.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BF360C"/>
        <bgColor rgb="FFC8102E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BF360C"/>
      </patternFill>
    </fill>
    <fill>
      <patternFill patternType="solid">
        <fgColor rgb="FF548235"/>
        <bgColor rgb="FF808080"/>
      </patternFill>
    </fill>
    <fill>
      <patternFill patternType="solid">
        <fgColor rgb="FFED7D31"/>
        <bgColor rgb="FFFF8080"/>
      </patternFill>
    </fill>
    <fill>
      <patternFill patternType="solid">
        <fgColor rgb="FF2F8F9D"/>
        <bgColor rgb="FF2E75B6"/>
      </patternFill>
    </fill>
    <fill>
      <patternFill patternType="solid">
        <fgColor rgb="FF7030A0"/>
        <bgColor rgb="FF3F51B5"/>
      </patternFill>
    </fill>
    <fill>
      <patternFill patternType="solid">
        <fgColor rgb="FF3F51B5"/>
        <bgColor rgb="FF455A64"/>
      </patternFill>
    </fill>
    <fill>
      <patternFill patternType="solid">
        <fgColor rgb="FF455A64"/>
        <bgColor rgb="FF404040"/>
      </patternFill>
    </fill>
    <fill>
      <patternFill patternType="solid">
        <fgColor rgb="FF6D4C41"/>
        <bgColor rgb="FF404040"/>
      </patternFill>
    </fill>
    <fill>
      <patternFill patternType="solid">
        <fgColor rgb="FFBF8F00"/>
        <bgColor rgb="FFED7D31"/>
      </patternFill>
    </fill>
    <fill>
      <patternFill patternType="solid">
        <fgColor rgb="FFE2EFDA"/>
        <bgColor rgb="FFF2F2F2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455A64"/>
      <rgbColor rgb="FF969696"/>
      <rgbColor rgb="FF1A2E4F"/>
      <rgbColor rgb="FF2F8F9D"/>
      <rgbColor rgb="FF003300"/>
      <rgbColor rgb="FF333300"/>
      <rgbColor rgb="FFBF360C"/>
      <rgbColor rgb="FF6D4C41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360C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0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0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90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11</v>
      </c>
    </row>
    <row r="8" customFormat="false" ht="90" hidden="false" customHeight="true" outlineLevel="0" collapsed="false">
      <c r="A8" s="8" t="n">
        <v>4</v>
      </c>
      <c r="B8" s="9" t="s">
        <v>14</v>
      </c>
      <c r="C8" s="10" t="s">
        <v>15</v>
      </c>
      <c r="D8" s="11" t="s">
        <v>16</v>
      </c>
    </row>
    <row r="9" customFormat="false" ht="90" hidden="false" customHeight="true" outlineLevel="0" collapsed="false">
      <c r="A9" s="4" t="n">
        <v>5</v>
      </c>
      <c r="B9" s="5" t="s">
        <v>17</v>
      </c>
      <c r="C9" s="6" t="s">
        <v>18</v>
      </c>
      <c r="D9" s="7" t="s">
        <v>19</v>
      </c>
    </row>
    <row r="11" customFormat="false" ht="25.5" hidden="false" customHeight="true" outlineLevel="0" collapsed="false">
      <c r="A11" s="12" t="s">
        <v>20</v>
      </c>
      <c r="B11" s="12"/>
      <c r="C11" s="12"/>
      <c r="D11" s="12"/>
    </row>
    <row r="12" customFormat="false" ht="23.85" hidden="false" customHeight="true" outlineLevel="0" collapsed="false">
      <c r="A12" s="13" t="s">
        <v>21</v>
      </c>
      <c r="B12" s="13"/>
      <c r="C12" s="13"/>
      <c r="D12" s="13"/>
    </row>
    <row r="13" customFormat="false" ht="15" hidden="false" customHeight="true" outlineLevel="0" collapsed="false">
      <c r="A13" s="13" t="s">
        <v>22</v>
      </c>
      <c r="B13" s="13"/>
      <c r="C13" s="13"/>
      <c r="D13" s="13"/>
    </row>
    <row r="14" customFormat="false" ht="15" hidden="false" customHeight="true" outlineLevel="0" collapsed="false">
      <c r="A14" s="13" t="s">
        <v>23</v>
      </c>
      <c r="B14" s="13"/>
      <c r="C14" s="13"/>
      <c r="D14" s="13"/>
    </row>
    <row r="15" customFormat="false" ht="15" hidden="false" customHeight="true" outlineLevel="0" collapsed="false">
      <c r="A15" s="13" t="s">
        <v>24</v>
      </c>
      <c r="B15" s="13"/>
      <c r="C15" s="13"/>
      <c r="D15" s="13"/>
    </row>
    <row r="16" customFormat="false" ht="15" hidden="false" customHeight="true" outlineLevel="0" collapsed="false">
      <c r="A16" s="13" t="s">
        <v>25</v>
      </c>
      <c r="B16" s="13"/>
      <c r="C16" s="13"/>
      <c r="D16" s="13"/>
    </row>
    <row r="17" customFormat="false" ht="15" hidden="false" customHeight="true" outlineLevel="0" collapsed="false">
      <c r="A17" s="13" t="s">
        <v>26</v>
      </c>
      <c r="B17" s="13"/>
      <c r="C17" s="13"/>
      <c r="D17" s="13"/>
    </row>
    <row r="18" customFormat="false" ht="15" hidden="false" customHeight="true" outlineLevel="0" collapsed="false">
      <c r="A18" s="13" t="s">
        <v>27</v>
      </c>
      <c r="B18" s="13"/>
      <c r="C18" s="13"/>
      <c r="D18" s="13"/>
    </row>
    <row r="19" customFormat="false" ht="15" hidden="false" customHeight="true" outlineLevel="0" collapsed="false">
      <c r="A19" s="13" t="s">
        <v>28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30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23.85" hidden="false" customHeight="false" outlineLevel="0" collapsed="false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37</v>
      </c>
      <c r="H3" s="16" t="s">
        <v>38</v>
      </c>
      <c r="I3" s="16" t="s">
        <v>39</v>
      </c>
      <c r="J3" s="16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15" hidden="false" customHeight="false" outlineLevel="0" collapsed="false">
      <c r="A35" s="4" t="n">
        <v>32</v>
      </c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" hidden="false" customHeight="false" outlineLevel="0" collapsed="false">
      <c r="A37" s="4" t="n">
        <v>34</v>
      </c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36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38</v>
      </c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40</v>
      </c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A44" s="8" t="n">
        <v>41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42</v>
      </c>
      <c r="B45" s="18"/>
      <c r="C45" s="18"/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A46" s="8" t="n">
        <v>43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44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A48" s="8" t="n">
        <v>45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46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A50" s="8" t="n">
        <v>47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48</v>
      </c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A52" s="8" t="n">
        <v>49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50</v>
      </c>
      <c r="B53" s="18"/>
      <c r="C53" s="18"/>
      <c r="D53" s="18"/>
      <c r="E53" s="18"/>
      <c r="F53" s="18"/>
      <c r="G53" s="18"/>
      <c r="H53" s="18"/>
      <c r="I53" s="18"/>
      <c r="J53" s="18"/>
    </row>
    <row r="55" customFormat="false" ht="25.5" hidden="false" customHeight="true" outlineLevel="0" collapsed="false">
      <c r="A55" s="19" t="s">
        <v>41</v>
      </c>
      <c r="B55" s="19"/>
      <c r="C55" s="19"/>
      <c r="D55" s="19"/>
      <c r="E55" s="19"/>
      <c r="F55" s="19"/>
      <c r="G55" s="19"/>
      <c r="H55" s="19"/>
      <c r="I55" s="19"/>
      <c r="J55" s="19"/>
    </row>
    <row r="56" customFormat="false" ht="35.05" hidden="false" customHeight="false" outlineLevel="0" collapsed="false">
      <c r="A56" s="20" t="s">
        <v>31</v>
      </c>
      <c r="B56" s="20" t="s">
        <v>40</v>
      </c>
      <c r="C56" s="20" t="s">
        <v>42</v>
      </c>
      <c r="D56" s="20" t="s">
        <v>43</v>
      </c>
      <c r="E56" s="20" t="s">
        <v>44</v>
      </c>
      <c r="F56" s="20" t="s">
        <v>45</v>
      </c>
      <c r="G56" s="20" t="s">
        <v>46</v>
      </c>
      <c r="H56" s="20" t="s">
        <v>47</v>
      </c>
      <c r="I56" s="20" t="s">
        <v>48</v>
      </c>
      <c r="J56" s="20" t="s">
        <v>49</v>
      </c>
    </row>
    <row r="57" customFormat="false" ht="15" hidden="false" customHeight="false" outlineLevel="0" collapsed="false">
      <c r="A57" s="4" t="n">
        <v>1</v>
      </c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A58" s="8" t="n">
        <v>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3</v>
      </c>
      <c r="B59" s="18"/>
      <c r="C59" s="18"/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A60" s="8" t="n">
        <v>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5</v>
      </c>
      <c r="B61" s="18"/>
      <c r="C61" s="18"/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A62" s="8" t="n">
        <v>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7</v>
      </c>
      <c r="B63" s="18"/>
      <c r="C63" s="18"/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A64" s="8" t="n">
        <v>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9</v>
      </c>
      <c r="B65" s="18"/>
      <c r="C65" s="18"/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A66" s="8" t="n">
        <v>10</v>
      </c>
      <c r="B66" s="17"/>
      <c r="C66" s="17"/>
      <c r="D66" s="17"/>
      <c r="E66" s="17"/>
      <c r="F66" s="17"/>
      <c r="G66" s="17"/>
      <c r="H66" s="17"/>
      <c r="I66" s="17"/>
      <c r="J66" s="17"/>
    </row>
    <row r="67" customFormat="false" ht="15" hidden="false" customHeight="false" outlineLevel="0" collapsed="false">
      <c r="A67" s="4" t="n">
        <v>11</v>
      </c>
      <c r="B67" s="18"/>
      <c r="C67" s="18"/>
      <c r="D67" s="18"/>
      <c r="E67" s="18"/>
      <c r="F67" s="18"/>
      <c r="G67" s="18"/>
      <c r="H67" s="18"/>
      <c r="I67" s="18"/>
      <c r="J67" s="18"/>
    </row>
    <row r="68" customFormat="false" ht="15" hidden="false" customHeight="false" outlineLevel="0" collapsed="false">
      <c r="A68" s="8" t="n">
        <v>12</v>
      </c>
      <c r="B68" s="17"/>
      <c r="C68" s="17"/>
      <c r="D68" s="17"/>
      <c r="E68" s="17"/>
      <c r="F68" s="17"/>
      <c r="G68" s="17"/>
      <c r="H68" s="17"/>
      <c r="I68" s="17"/>
      <c r="J68" s="17"/>
    </row>
    <row r="69" customFormat="false" ht="15" hidden="false" customHeight="false" outlineLevel="0" collapsed="false">
      <c r="A69" s="4" t="n">
        <v>13</v>
      </c>
      <c r="B69" s="18"/>
      <c r="C69" s="18"/>
      <c r="D69" s="18"/>
      <c r="E69" s="18"/>
      <c r="F69" s="18"/>
      <c r="G69" s="18"/>
      <c r="H69" s="18"/>
      <c r="I69" s="18"/>
      <c r="J69" s="18"/>
    </row>
    <row r="70" customFormat="false" ht="15" hidden="false" customHeight="false" outlineLevel="0" collapsed="false">
      <c r="A70" s="8" t="n">
        <v>14</v>
      </c>
      <c r="B70" s="17"/>
      <c r="C70" s="17"/>
      <c r="D70" s="17"/>
      <c r="E70" s="17"/>
      <c r="F70" s="17"/>
      <c r="G70" s="17"/>
      <c r="H70" s="17"/>
      <c r="I70" s="17"/>
      <c r="J70" s="17"/>
    </row>
    <row r="71" customFormat="false" ht="15" hidden="false" customHeight="false" outlineLevel="0" collapsed="false">
      <c r="A71" s="4" t="n">
        <v>15</v>
      </c>
      <c r="B71" s="18"/>
      <c r="C71" s="18"/>
      <c r="D71" s="18"/>
      <c r="E71" s="18"/>
      <c r="F71" s="18"/>
      <c r="G71" s="18"/>
      <c r="H71" s="18"/>
      <c r="I71" s="18"/>
      <c r="J71" s="18"/>
    </row>
    <row r="72" customFormat="false" ht="15" hidden="false" customHeight="false" outlineLevel="0" collapsed="false">
      <c r="A72" s="8" t="n">
        <v>16</v>
      </c>
      <c r="B72" s="17"/>
      <c r="C72" s="17"/>
      <c r="D72" s="17"/>
      <c r="E72" s="17"/>
      <c r="F72" s="17"/>
      <c r="G72" s="17"/>
      <c r="H72" s="17"/>
      <c r="I72" s="17"/>
      <c r="J72" s="17"/>
    </row>
    <row r="73" customFormat="false" ht="15" hidden="false" customHeight="false" outlineLevel="0" collapsed="false">
      <c r="A73" s="4" t="n">
        <v>17</v>
      </c>
      <c r="B73" s="18"/>
      <c r="C73" s="18"/>
      <c r="D73" s="18"/>
      <c r="E73" s="18"/>
      <c r="F73" s="18"/>
      <c r="G73" s="18"/>
      <c r="H73" s="18"/>
      <c r="I73" s="18"/>
      <c r="J73" s="18"/>
    </row>
    <row r="74" customFormat="false" ht="15" hidden="false" customHeight="false" outlineLevel="0" collapsed="false">
      <c r="A74" s="8" t="n">
        <v>18</v>
      </c>
      <c r="B74" s="17"/>
      <c r="C74" s="17"/>
      <c r="D74" s="17"/>
      <c r="E74" s="17"/>
      <c r="F74" s="17"/>
      <c r="G74" s="17"/>
      <c r="H74" s="17"/>
      <c r="I74" s="17"/>
      <c r="J74" s="17"/>
    </row>
    <row r="75" customFormat="false" ht="15" hidden="false" customHeight="false" outlineLevel="0" collapsed="false">
      <c r="A75" s="4" t="n">
        <v>19</v>
      </c>
      <c r="B75" s="18"/>
      <c r="C75" s="18"/>
      <c r="D75" s="18"/>
      <c r="E75" s="18"/>
      <c r="F75" s="18"/>
      <c r="G75" s="18"/>
      <c r="H75" s="18"/>
      <c r="I75" s="18"/>
      <c r="J75" s="18"/>
    </row>
    <row r="76" customFormat="false" ht="15" hidden="false" customHeight="false" outlineLevel="0" collapsed="false">
      <c r="A76" s="8" t="n">
        <v>20</v>
      </c>
      <c r="B76" s="17"/>
      <c r="C76" s="17"/>
      <c r="D76" s="17"/>
      <c r="E76" s="17"/>
      <c r="F76" s="17"/>
      <c r="G76" s="17"/>
      <c r="H76" s="17"/>
      <c r="I76" s="17"/>
      <c r="J76" s="17"/>
    </row>
  </sheetData>
  <mergeCells count="3">
    <mergeCell ref="A1:J1"/>
    <mergeCell ref="A2:J2"/>
    <mergeCell ref="A55:J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9" min="6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1" t="s">
        <v>9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25.5" hidden="false" customHeight="true" outlineLevel="0" collapsed="false">
      <c r="A2" s="22" t="s">
        <v>50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35.05" hidden="false" customHeight="false" outlineLevel="0" collapsed="false">
      <c r="A3" s="23" t="s">
        <v>31</v>
      </c>
      <c r="B3" s="23" t="s">
        <v>51</v>
      </c>
      <c r="C3" s="23" t="s">
        <v>52</v>
      </c>
      <c r="D3" s="23" t="s">
        <v>53</v>
      </c>
      <c r="E3" s="23" t="s">
        <v>35</v>
      </c>
      <c r="F3" s="23" t="s">
        <v>54</v>
      </c>
      <c r="G3" s="23" t="s">
        <v>55</v>
      </c>
      <c r="H3" s="23" t="s">
        <v>56</v>
      </c>
      <c r="I3" s="23" t="s">
        <v>57</v>
      </c>
      <c r="J3" s="23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15" hidden="false" customHeight="false" outlineLevel="0" collapsed="false">
      <c r="A35" s="4" t="n">
        <v>32</v>
      </c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" hidden="false" customHeight="false" outlineLevel="0" collapsed="false">
      <c r="A37" s="4" t="n">
        <v>34</v>
      </c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36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38</v>
      </c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40</v>
      </c>
      <c r="B43" s="18"/>
      <c r="C43" s="18"/>
      <c r="D43" s="18"/>
      <c r="E43" s="18"/>
      <c r="F43" s="18"/>
      <c r="G43" s="18"/>
      <c r="H43" s="18"/>
      <c r="I43" s="18"/>
      <c r="J43" s="18"/>
    </row>
    <row r="45" customFormat="false" ht="25.5" hidden="false" customHeight="true" outlineLevel="0" collapsed="false">
      <c r="A45" s="24" t="s">
        <v>58</v>
      </c>
      <c r="B45" s="24"/>
      <c r="C45" s="24"/>
      <c r="D45" s="24"/>
      <c r="E45" s="24"/>
      <c r="F45" s="24"/>
      <c r="G45" s="24"/>
      <c r="H45" s="24"/>
      <c r="I45" s="24"/>
      <c r="J45" s="24"/>
    </row>
    <row r="46" customFormat="false" ht="23.85" hidden="false" customHeight="false" outlineLevel="0" collapsed="false">
      <c r="A46" s="25" t="s">
        <v>31</v>
      </c>
      <c r="B46" s="25" t="s">
        <v>40</v>
      </c>
      <c r="C46" s="25" t="s">
        <v>59</v>
      </c>
      <c r="D46" s="25" t="s">
        <v>60</v>
      </c>
      <c r="E46" s="25" t="s">
        <v>61</v>
      </c>
      <c r="F46" s="25" t="s">
        <v>62</v>
      </c>
      <c r="G46" s="25" t="s">
        <v>63</v>
      </c>
      <c r="H46" s="25" t="s">
        <v>64</v>
      </c>
      <c r="I46" s="25" t="s">
        <v>65</v>
      </c>
      <c r="J46" s="25" t="s">
        <v>49</v>
      </c>
    </row>
    <row r="47" customFormat="false" ht="15" hidden="false" customHeight="false" outlineLevel="0" collapsed="false">
      <c r="A47" s="4" t="n">
        <v>1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A48" s="8" t="n">
        <v>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3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A50" s="8" t="n">
        <v>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5</v>
      </c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A52" s="8" t="n">
        <v>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7</v>
      </c>
      <c r="B53" s="18"/>
      <c r="C53" s="18"/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A54" s="8" t="n">
        <v>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9</v>
      </c>
      <c r="B55" s="18"/>
      <c r="C55" s="18"/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A56" s="8" t="n">
        <v>10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11</v>
      </c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A58" s="8" t="n">
        <v>12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13</v>
      </c>
      <c r="B59" s="18"/>
      <c r="C59" s="18"/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A60" s="8" t="n">
        <v>14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15</v>
      </c>
      <c r="B61" s="18"/>
      <c r="C61" s="18"/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A62" s="8" t="n">
        <v>16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17</v>
      </c>
      <c r="B63" s="18"/>
      <c r="C63" s="18"/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A64" s="8" t="n">
        <v>18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19</v>
      </c>
      <c r="B65" s="18"/>
      <c r="C65" s="18"/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A66" s="8" t="n">
        <v>20</v>
      </c>
      <c r="B66" s="17"/>
      <c r="C66" s="17"/>
      <c r="D66" s="17"/>
      <c r="E66" s="17"/>
      <c r="F66" s="17"/>
      <c r="G66" s="17"/>
      <c r="H66" s="17"/>
      <c r="I66" s="17"/>
      <c r="J66" s="17"/>
    </row>
  </sheetData>
  <mergeCells count="3">
    <mergeCell ref="A1:J1"/>
    <mergeCell ref="A2:J2"/>
    <mergeCell ref="A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9" min="5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6" t="s">
        <v>66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25.5" hidden="false" customHeight="true" outlineLevel="0" collapsed="false">
      <c r="A2" s="27" t="s">
        <v>67</v>
      </c>
      <c r="B2" s="27"/>
      <c r="C2" s="27"/>
      <c r="D2" s="27"/>
      <c r="E2" s="27"/>
      <c r="F2" s="27"/>
      <c r="G2" s="27"/>
      <c r="H2" s="27"/>
      <c r="I2" s="27"/>
      <c r="J2" s="27"/>
    </row>
    <row r="3" customFormat="false" ht="35.05" hidden="false" customHeight="false" outlineLevel="0" collapsed="false">
      <c r="A3" s="28" t="s">
        <v>31</v>
      </c>
      <c r="B3" s="28" t="s">
        <v>68</v>
      </c>
      <c r="C3" s="28" t="s">
        <v>69</v>
      </c>
      <c r="D3" s="28" t="s">
        <v>70</v>
      </c>
      <c r="E3" s="28" t="s">
        <v>60</v>
      </c>
      <c r="F3" s="28" t="s">
        <v>71</v>
      </c>
      <c r="G3" s="28" t="s">
        <v>72</v>
      </c>
      <c r="H3" s="28" t="s">
        <v>73</v>
      </c>
      <c r="I3" s="28" t="s">
        <v>74</v>
      </c>
      <c r="J3" s="28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29" t="n">
        <f aca="false">IF(G4&gt;0,G4/F4*100,0)</f>
        <v>0</v>
      </c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30" t="n">
        <f aca="false">IF(G5&gt;0,G5/F5*100,0)</f>
        <v>0</v>
      </c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29" t="n">
        <f aca="false">IF(G6&gt;0,G6/F6*100,0)</f>
        <v>0</v>
      </c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30" t="n">
        <f aca="false">IF(G7&gt;0,G7/F7*100,0)</f>
        <v>0</v>
      </c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29" t="n">
        <f aca="false">IF(G8&gt;0,G8/F8*100,0)</f>
        <v>0</v>
      </c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30" t="n">
        <f aca="false">IF(G9&gt;0,G9/F9*100,0)</f>
        <v>0</v>
      </c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29" t="n">
        <f aca="false">IF(G10&gt;0,G10/F10*100,0)</f>
        <v>0</v>
      </c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30" t="n">
        <f aca="false">IF(G11&gt;0,G11/F11*100,0)</f>
        <v>0</v>
      </c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29" t="n">
        <f aca="false">IF(G12&gt;0,G12/F12*100,0)</f>
        <v>0</v>
      </c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30" t="n">
        <f aca="false">IF(G13&gt;0,G13/F13*100,0)</f>
        <v>0</v>
      </c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29" t="n">
        <f aca="false">IF(G14&gt;0,G14/F14*100,0)</f>
        <v>0</v>
      </c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30" t="n">
        <f aca="false">IF(G15&gt;0,G15/F15*100,0)</f>
        <v>0</v>
      </c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29" t="n">
        <f aca="false">IF(G16&gt;0,G16/F16*100,0)</f>
        <v>0</v>
      </c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30" t="n">
        <f aca="false">IF(G17&gt;0,G17/F17*100,0)</f>
        <v>0</v>
      </c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29" t="n">
        <f aca="false">IF(G18&gt;0,G18/F18*100,0)</f>
        <v>0</v>
      </c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30" t="n">
        <f aca="false">IF(G19&gt;0,G19/F19*100,0)</f>
        <v>0</v>
      </c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29" t="n">
        <f aca="false">IF(G20&gt;0,G20/F20*100,0)</f>
        <v>0</v>
      </c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30" t="n">
        <f aca="false">IF(G21&gt;0,G21/F21*100,0)</f>
        <v>0</v>
      </c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29" t="n">
        <f aca="false">IF(G22&gt;0,G22/F22*100,0)</f>
        <v>0</v>
      </c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30" t="n">
        <f aca="false">IF(G23&gt;0,G23/F23*100,0)</f>
        <v>0</v>
      </c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29" t="n">
        <f aca="false">IF(G24&gt;0,G24/F24*100,0)</f>
        <v>0</v>
      </c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30" t="n">
        <f aca="false">IF(G25&gt;0,G25/F25*100,0)</f>
        <v>0</v>
      </c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29" t="n">
        <f aca="false">IF(G26&gt;0,G26/F26*100,0)</f>
        <v>0</v>
      </c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30" t="n">
        <f aca="false">IF(G27&gt;0,G27/F27*100,0)</f>
        <v>0</v>
      </c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29" t="n">
        <f aca="false">IF(G28&gt;0,G28/F28*100,0)</f>
        <v>0</v>
      </c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30" t="n">
        <f aca="false">IF(G29&gt;0,G29/F29*100,0)</f>
        <v>0</v>
      </c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29" t="n">
        <f aca="false">IF(G30&gt;0,G30/F30*100,0)</f>
        <v>0</v>
      </c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30" t="n">
        <f aca="false">IF(G31&gt;0,G31/F31*100,0)</f>
        <v>0</v>
      </c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29" t="n">
        <f aca="false">IF(G32&gt;0,G32/F32*100,0)</f>
        <v>0</v>
      </c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30" t="n">
        <f aca="false">IF(G33&gt;0,G33/F33*100,0)</f>
        <v>0</v>
      </c>
      <c r="I33" s="18"/>
      <c r="J33" s="18"/>
    </row>
    <row r="35" customFormat="false" ht="25.5" hidden="false" customHeight="true" outlineLevel="0" collapsed="false">
      <c r="A35" s="19" t="s">
        <v>75</v>
      </c>
      <c r="B35" s="19"/>
      <c r="C35" s="19"/>
      <c r="D35" s="19"/>
      <c r="E35" s="19"/>
      <c r="F35" s="19"/>
      <c r="G35" s="19"/>
      <c r="H35" s="19"/>
      <c r="I35" s="19"/>
      <c r="J35" s="19"/>
    </row>
    <row r="36" customFormat="false" ht="23.85" hidden="false" customHeight="false" outlineLevel="0" collapsed="false">
      <c r="A36" s="20" t="s">
        <v>31</v>
      </c>
      <c r="B36" s="20" t="s">
        <v>40</v>
      </c>
      <c r="C36" s="20" t="s">
        <v>76</v>
      </c>
      <c r="D36" s="20" t="s">
        <v>77</v>
      </c>
      <c r="E36" s="20" t="s">
        <v>78</v>
      </c>
      <c r="F36" s="20" t="s">
        <v>79</v>
      </c>
      <c r="G36" s="20" t="s">
        <v>80</v>
      </c>
      <c r="H36" s="20" t="s">
        <v>81</v>
      </c>
      <c r="I36" s="20" t="s">
        <v>82</v>
      </c>
      <c r="J36" s="20" t="s">
        <v>49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30" t="n">
        <f aca="false">IF(F37&gt;0,D37/F37,0)</f>
        <v>0</v>
      </c>
      <c r="I37" s="18"/>
      <c r="J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29" t="n">
        <f aca="false">IF(F38&gt;0,D38/F38,0)</f>
        <v>0</v>
      </c>
      <c r="I38" s="17"/>
      <c r="J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30" t="n">
        <f aca="false">IF(F39&gt;0,D39/F39,0)</f>
        <v>0</v>
      </c>
      <c r="I39" s="18"/>
      <c r="J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29" t="n">
        <f aca="false">IF(F40&gt;0,D40/F40,0)</f>
        <v>0</v>
      </c>
      <c r="I40" s="17"/>
      <c r="J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30" t="n">
        <f aca="false">IF(F41&gt;0,D41/F41,0)</f>
        <v>0</v>
      </c>
      <c r="I41" s="18"/>
      <c r="J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29" t="n">
        <f aca="false">IF(F42&gt;0,D42/F42,0)</f>
        <v>0</v>
      </c>
      <c r="I42" s="17"/>
      <c r="J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30" t="n">
        <f aca="false">IF(F43&gt;0,D43/F43,0)</f>
        <v>0</v>
      </c>
      <c r="I43" s="18"/>
      <c r="J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29" t="n">
        <f aca="false">IF(F44&gt;0,D44/F44,0)</f>
        <v>0</v>
      </c>
      <c r="I44" s="17"/>
      <c r="J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30" t="n">
        <f aca="false">IF(F45&gt;0,D45/F45,0)</f>
        <v>0</v>
      </c>
      <c r="I45" s="18"/>
      <c r="J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29" t="n">
        <f aca="false">IF(F46&gt;0,D46/F46,0)</f>
        <v>0</v>
      </c>
      <c r="I46" s="17"/>
      <c r="J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30" t="n">
        <f aca="false">IF(F47&gt;0,D47/F47,0)</f>
        <v>0</v>
      </c>
      <c r="I47" s="18"/>
      <c r="J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29" t="n">
        <f aca="false">IF(F48&gt;0,D48/F48,0)</f>
        <v>0</v>
      </c>
      <c r="I48" s="17"/>
      <c r="J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30" t="n">
        <f aca="false">IF(F49&gt;0,D49/F49,0)</f>
        <v>0</v>
      </c>
      <c r="I49" s="18"/>
      <c r="J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29" t="n">
        <f aca="false">IF(F50&gt;0,D50/F50,0)</f>
        <v>0</v>
      </c>
      <c r="I50" s="17"/>
      <c r="J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30" t="n">
        <f aca="false">IF(F51&gt;0,D51/F51,0)</f>
        <v>0</v>
      </c>
      <c r="I51" s="18"/>
      <c r="J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29" t="n">
        <f aca="false">IF(F52&gt;0,D52/F52,0)</f>
        <v>0</v>
      </c>
      <c r="I52" s="17"/>
      <c r="J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30" t="n">
        <f aca="false">IF(F53&gt;0,D53/F53,0)</f>
        <v>0</v>
      </c>
      <c r="I53" s="18"/>
      <c r="J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29" t="n">
        <f aca="false">IF(F54&gt;0,D54/F54,0)</f>
        <v>0</v>
      </c>
      <c r="I54" s="17"/>
      <c r="J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30" t="n">
        <f aca="false">IF(F55&gt;0,D55/F55,0)</f>
        <v>0</v>
      </c>
      <c r="I55" s="18"/>
      <c r="J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29" t="n">
        <f aca="false">IF(F56&gt;0,D56/F56,0)</f>
        <v>0</v>
      </c>
      <c r="I56" s="17"/>
      <c r="J5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1" t="s">
        <v>83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25.5" hidden="false" customHeight="true" outlineLevel="0" collapsed="false">
      <c r="A2" s="32" t="s">
        <v>84</v>
      </c>
      <c r="B2" s="32"/>
      <c r="C2" s="32"/>
      <c r="D2" s="32"/>
      <c r="E2" s="32"/>
      <c r="F2" s="32"/>
      <c r="G2" s="32"/>
      <c r="H2" s="32"/>
      <c r="I2" s="32"/>
      <c r="J2" s="32"/>
    </row>
    <row r="3" customFormat="false" ht="46.25" hidden="false" customHeight="false" outlineLevel="0" collapsed="false">
      <c r="A3" s="33" t="s">
        <v>31</v>
      </c>
      <c r="B3" s="33" t="s">
        <v>40</v>
      </c>
      <c r="C3" s="33" t="s">
        <v>85</v>
      </c>
      <c r="D3" s="33" t="s">
        <v>86</v>
      </c>
      <c r="E3" s="33" t="s">
        <v>87</v>
      </c>
      <c r="F3" s="33" t="s">
        <v>88</v>
      </c>
      <c r="G3" s="33" t="s">
        <v>89</v>
      </c>
      <c r="H3" s="33" t="s">
        <v>90</v>
      </c>
      <c r="I3" s="33" t="s">
        <v>91</v>
      </c>
      <c r="J3" s="33" t="s">
        <v>49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18"/>
    </row>
    <row r="35" customFormat="false" ht="25.5" hidden="false" customHeight="true" outlineLevel="0" collapsed="false">
      <c r="A35" s="34" t="s">
        <v>92</v>
      </c>
      <c r="B35" s="34"/>
      <c r="C35" s="34"/>
      <c r="D35" s="34"/>
      <c r="E35" s="34"/>
      <c r="F35" s="34"/>
      <c r="G35" s="34"/>
      <c r="H35" s="34"/>
      <c r="I35" s="34"/>
      <c r="J35" s="34"/>
    </row>
    <row r="36" customFormat="false" ht="46.25" hidden="false" customHeight="false" outlineLevel="0" collapsed="false">
      <c r="A36" s="35" t="s">
        <v>31</v>
      </c>
      <c r="B36" s="35" t="s">
        <v>93</v>
      </c>
      <c r="C36" s="35" t="s">
        <v>94</v>
      </c>
      <c r="D36" s="35" t="s">
        <v>95</v>
      </c>
      <c r="E36" s="35" t="s">
        <v>96</v>
      </c>
      <c r="F36" s="35" t="s">
        <v>37</v>
      </c>
      <c r="G36" s="35" t="s">
        <v>97</v>
      </c>
      <c r="H36" s="35" t="s">
        <v>98</v>
      </c>
      <c r="I36" s="35" t="s">
        <v>99</v>
      </c>
      <c r="J36" s="35" t="s">
        <v>40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20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6" t="s">
        <v>100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25.5" hidden="false" customHeight="true" outlineLevel="0" collapsed="false">
      <c r="A2" s="37" t="s">
        <v>101</v>
      </c>
      <c r="B2" s="37"/>
      <c r="C2" s="37"/>
      <c r="D2" s="37"/>
      <c r="E2" s="37"/>
      <c r="F2" s="37"/>
      <c r="G2" s="37"/>
      <c r="H2" s="37"/>
      <c r="I2" s="37"/>
      <c r="J2" s="37"/>
    </row>
    <row r="3" customFormat="false" ht="46.25" hidden="false" customHeight="false" outlineLevel="0" collapsed="false">
      <c r="A3" s="38" t="s">
        <v>31</v>
      </c>
      <c r="B3" s="38" t="s">
        <v>40</v>
      </c>
      <c r="C3" s="38" t="s">
        <v>85</v>
      </c>
      <c r="D3" s="38" t="s">
        <v>102</v>
      </c>
      <c r="E3" s="38" t="s">
        <v>103</v>
      </c>
      <c r="F3" s="38" t="s">
        <v>104</v>
      </c>
      <c r="G3" s="38" t="s">
        <v>105</v>
      </c>
      <c r="H3" s="38" t="s">
        <v>106</v>
      </c>
      <c r="I3" s="38" t="s">
        <v>107</v>
      </c>
      <c r="J3" s="38" t="s">
        <v>49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29" t="n">
        <f aca="false">IF(E4&gt;0,E4/27*100,0)</f>
        <v>0</v>
      </c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30" t="n">
        <f aca="false">IF(E5&gt;0,E5/27*100,0)</f>
        <v>0</v>
      </c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29" t="n">
        <f aca="false">IF(E6&gt;0,E6/27*100,0)</f>
        <v>0</v>
      </c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30" t="n">
        <f aca="false">IF(E7&gt;0,E7/27*100,0)</f>
        <v>0</v>
      </c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29" t="n">
        <f aca="false">IF(E8&gt;0,E8/27*100,0)</f>
        <v>0</v>
      </c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30" t="n">
        <f aca="false">IF(E9&gt;0,E9/27*100,0)</f>
        <v>0</v>
      </c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29" t="n">
        <f aca="false">IF(E10&gt;0,E10/27*100,0)</f>
        <v>0</v>
      </c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30" t="n">
        <f aca="false">IF(E11&gt;0,E11/27*100,0)</f>
        <v>0</v>
      </c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29" t="n">
        <f aca="false">IF(E12&gt;0,E12/27*100,0)</f>
        <v>0</v>
      </c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30" t="n">
        <f aca="false">IF(E13&gt;0,E13/27*100,0)</f>
        <v>0</v>
      </c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29" t="n">
        <f aca="false">IF(E14&gt;0,E14/27*100,0)</f>
        <v>0</v>
      </c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30" t="n">
        <f aca="false">IF(E15&gt;0,E15/27*100,0)</f>
        <v>0</v>
      </c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29" t="n">
        <f aca="false">IF(E16&gt;0,E16/27*100,0)</f>
        <v>0</v>
      </c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30" t="n">
        <f aca="false">IF(E17&gt;0,E17/27*100,0)</f>
        <v>0</v>
      </c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29" t="n">
        <f aca="false">IF(E18&gt;0,E18/27*100,0)</f>
        <v>0</v>
      </c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30" t="n">
        <f aca="false">IF(E19&gt;0,E19/27*100,0)</f>
        <v>0</v>
      </c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29" t="n">
        <f aca="false">IF(E20&gt;0,E20/27*100,0)</f>
        <v>0</v>
      </c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30" t="n">
        <f aca="false">IF(E21&gt;0,E21/27*100,0)</f>
        <v>0</v>
      </c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29" t="n">
        <f aca="false">IF(E22&gt;0,E22/27*100,0)</f>
        <v>0</v>
      </c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30" t="n">
        <f aca="false">IF(E23&gt;0,E23/27*100,0)</f>
        <v>0</v>
      </c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29" t="n">
        <f aca="false">IF(E24&gt;0,E24/27*100,0)</f>
        <v>0</v>
      </c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30" t="n">
        <f aca="false">IF(E25&gt;0,E25/27*100,0)</f>
        <v>0</v>
      </c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29" t="n">
        <f aca="false">IF(E26&gt;0,E26/27*100,0)</f>
        <v>0</v>
      </c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30" t="n">
        <f aca="false">IF(E27&gt;0,E27/27*100,0)</f>
        <v>0</v>
      </c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29" t="n">
        <f aca="false">IF(E28&gt;0,E28/27*100,0)</f>
        <v>0</v>
      </c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30" t="n">
        <f aca="false">IF(E29&gt;0,E29/27*100,0)</f>
        <v>0</v>
      </c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29" t="n">
        <f aca="false">IF(E30&gt;0,E30/27*100,0)</f>
        <v>0</v>
      </c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30" t="n">
        <f aca="false">IF(E31&gt;0,E31/27*100,0)</f>
        <v>0</v>
      </c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29" t="n">
        <f aca="false">IF(E32&gt;0,E32/27*100,0)</f>
        <v>0</v>
      </c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30" t="n">
        <f aca="false">IF(E33&gt;0,E33/27*100,0)</f>
        <v>0</v>
      </c>
      <c r="G33" s="18"/>
      <c r="H33" s="18"/>
      <c r="I33" s="18"/>
      <c r="J33" s="18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6" min="5" style="0" width="20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9" t="s">
        <v>108</v>
      </c>
      <c r="B1" s="39"/>
      <c r="C1" s="39"/>
      <c r="D1" s="39"/>
      <c r="E1" s="39"/>
      <c r="F1" s="39"/>
      <c r="G1" s="39"/>
    </row>
    <row r="2" customFormat="false" ht="25.5" hidden="false" customHeight="true" outlineLevel="0" collapsed="false">
      <c r="A2" s="40" t="s">
        <v>109</v>
      </c>
      <c r="B2" s="40"/>
      <c r="C2" s="40"/>
      <c r="D2" s="40"/>
      <c r="E2" s="40"/>
      <c r="F2" s="40"/>
      <c r="G2" s="40"/>
    </row>
    <row r="3" customFormat="false" ht="23.85" hidden="false" customHeight="false" outlineLevel="0" collapsed="false">
      <c r="A3" s="41" t="s">
        <v>2</v>
      </c>
      <c r="B3" s="41" t="s">
        <v>40</v>
      </c>
      <c r="C3" s="41" t="s">
        <v>110</v>
      </c>
      <c r="D3" s="41" t="s">
        <v>111</v>
      </c>
      <c r="E3" s="41" t="s">
        <v>112</v>
      </c>
      <c r="F3" s="41" t="s">
        <v>64</v>
      </c>
      <c r="G3" s="41" t="s">
        <v>113</v>
      </c>
    </row>
    <row r="4" customFormat="false" ht="27.75" hidden="false" customHeight="true" outlineLevel="0" collapsed="false">
      <c r="A4" s="8" t="n">
        <v>1</v>
      </c>
      <c r="B4" s="17"/>
      <c r="C4" s="10" t="s">
        <v>114</v>
      </c>
      <c r="D4" s="17"/>
      <c r="E4" s="17"/>
      <c r="F4" s="17"/>
      <c r="G4" s="17"/>
    </row>
    <row r="5" customFormat="false" ht="27.75" hidden="false" customHeight="true" outlineLevel="0" collapsed="false">
      <c r="A5" s="4" t="n">
        <v>2</v>
      </c>
      <c r="B5" s="18"/>
      <c r="C5" s="6" t="s">
        <v>115</v>
      </c>
      <c r="D5" s="18"/>
      <c r="E5" s="18"/>
      <c r="F5" s="18"/>
      <c r="G5" s="18"/>
    </row>
    <row r="6" customFormat="false" ht="27.75" hidden="false" customHeight="true" outlineLevel="0" collapsed="false">
      <c r="A6" s="8" t="n">
        <v>3</v>
      </c>
      <c r="B6" s="17"/>
      <c r="C6" s="10" t="s">
        <v>116</v>
      </c>
      <c r="D6" s="17"/>
      <c r="E6" s="17"/>
      <c r="F6" s="17"/>
      <c r="G6" s="17"/>
    </row>
    <row r="7" customFormat="false" ht="27.75" hidden="false" customHeight="true" outlineLevel="0" collapsed="false">
      <c r="A7" s="4" t="n">
        <v>4</v>
      </c>
      <c r="B7" s="18"/>
      <c r="C7" s="6" t="s">
        <v>117</v>
      </c>
      <c r="D7" s="18"/>
      <c r="E7" s="18"/>
      <c r="F7" s="18"/>
      <c r="G7" s="18"/>
    </row>
    <row r="8" customFormat="false" ht="27.75" hidden="false" customHeight="true" outlineLevel="0" collapsed="false">
      <c r="A8" s="8" t="n">
        <v>5</v>
      </c>
      <c r="B8" s="17"/>
      <c r="C8" s="10" t="s">
        <v>118</v>
      </c>
      <c r="D8" s="17"/>
      <c r="E8" s="17"/>
      <c r="F8" s="17"/>
      <c r="G8" s="17"/>
    </row>
    <row r="9" customFormat="false" ht="27.75" hidden="false" customHeight="true" outlineLevel="0" collapsed="false">
      <c r="A9" s="4" t="n">
        <v>6</v>
      </c>
      <c r="B9" s="18"/>
      <c r="C9" s="6" t="s">
        <v>119</v>
      </c>
      <c r="D9" s="18"/>
      <c r="E9" s="18"/>
      <c r="F9" s="18"/>
      <c r="G9" s="18"/>
    </row>
    <row r="10" customFormat="false" ht="27.75" hidden="false" customHeight="true" outlineLevel="0" collapsed="false">
      <c r="A10" s="8" t="n">
        <v>7</v>
      </c>
      <c r="B10" s="17"/>
      <c r="C10" s="10" t="s">
        <v>120</v>
      </c>
      <c r="D10" s="17"/>
      <c r="E10" s="17"/>
      <c r="F10" s="17"/>
      <c r="G10" s="17"/>
    </row>
    <row r="11" customFormat="false" ht="27.75" hidden="false" customHeight="true" outlineLevel="0" collapsed="false">
      <c r="A11" s="4" t="n">
        <v>8</v>
      </c>
      <c r="B11" s="18"/>
      <c r="C11" s="6" t="s">
        <v>121</v>
      </c>
      <c r="D11" s="18"/>
      <c r="E11" s="18"/>
      <c r="F11" s="18"/>
      <c r="G11" s="18"/>
    </row>
    <row r="12" customFormat="false" ht="27.75" hidden="false" customHeight="true" outlineLevel="0" collapsed="false">
      <c r="A12" s="8" t="n">
        <v>9</v>
      </c>
      <c r="B12" s="17"/>
      <c r="C12" s="10" t="s">
        <v>122</v>
      </c>
      <c r="D12" s="17"/>
      <c r="E12" s="17"/>
      <c r="F12" s="17"/>
      <c r="G12" s="17"/>
    </row>
    <row r="13" customFormat="false" ht="27.75" hidden="false" customHeight="true" outlineLevel="0" collapsed="false">
      <c r="A13" s="4" t="n">
        <v>10</v>
      </c>
      <c r="B13" s="18"/>
      <c r="C13" s="6" t="s">
        <v>123</v>
      </c>
      <c r="D13" s="18"/>
      <c r="E13" s="18"/>
      <c r="F13" s="18"/>
      <c r="G13" s="18"/>
    </row>
    <row r="14" customFormat="false" ht="27.75" hidden="false" customHeight="true" outlineLevel="0" collapsed="false">
      <c r="A14" s="8" t="n">
        <v>11</v>
      </c>
      <c r="B14" s="17"/>
      <c r="C14" s="10" t="s">
        <v>124</v>
      </c>
      <c r="D14" s="17"/>
      <c r="E14" s="17"/>
      <c r="F14" s="17"/>
      <c r="G14" s="17"/>
    </row>
    <row r="15" customFormat="false" ht="27.75" hidden="false" customHeight="true" outlineLevel="0" collapsed="false">
      <c r="A15" s="4" t="n">
        <v>12</v>
      </c>
      <c r="B15" s="18"/>
      <c r="C15" s="6" t="s">
        <v>125</v>
      </c>
      <c r="D15" s="18"/>
      <c r="E15" s="18"/>
      <c r="F15" s="18"/>
      <c r="G15" s="18"/>
    </row>
    <row r="16" customFormat="false" ht="27.75" hidden="false" customHeight="true" outlineLevel="0" collapsed="false">
      <c r="A16" s="8" t="n">
        <v>13</v>
      </c>
      <c r="B16" s="17"/>
      <c r="C16" s="10" t="s">
        <v>126</v>
      </c>
      <c r="D16" s="17"/>
      <c r="E16" s="17"/>
      <c r="F16" s="17"/>
      <c r="G16" s="17"/>
    </row>
    <row r="17" customFormat="false" ht="27.75" hidden="false" customHeight="true" outlineLevel="0" collapsed="false">
      <c r="A17" s="4" t="n">
        <v>14</v>
      </c>
      <c r="B17" s="18"/>
      <c r="C17" s="6" t="s">
        <v>127</v>
      </c>
      <c r="D17" s="18"/>
      <c r="E17" s="18"/>
      <c r="F17" s="18"/>
      <c r="G17" s="18"/>
    </row>
    <row r="18" customFormat="false" ht="27.75" hidden="false" customHeight="true" outlineLevel="0" collapsed="false">
      <c r="A18" s="8" t="n">
        <v>15</v>
      </c>
      <c r="B18" s="17"/>
      <c r="C18" s="10" t="s">
        <v>128</v>
      </c>
      <c r="D18" s="17"/>
      <c r="E18" s="17"/>
      <c r="F18" s="17"/>
      <c r="G18" s="17"/>
    </row>
    <row r="19" customFormat="false" ht="27.75" hidden="false" customHeight="true" outlineLevel="0" collapsed="false">
      <c r="A19" s="4" t="n">
        <v>16</v>
      </c>
      <c r="B19" s="18"/>
      <c r="C19" s="6" t="s">
        <v>129</v>
      </c>
      <c r="D19" s="18"/>
      <c r="E19" s="18"/>
      <c r="F19" s="18"/>
      <c r="G19" s="18"/>
    </row>
    <row r="20" customFormat="false" ht="27.75" hidden="false" customHeight="true" outlineLevel="0" collapsed="false">
      <c r="A20" s="8" t="n">
        <v>17</v>
      </c>
      <c r="B20" s="17"/>
      <c r="C20" s="10" t="s">
        <v>130</v>
      </c>
      <c r="D20" s="17"/>
      <c r="E20" s="17"/>
      <c r="F20" s="17"/>
      <c r="G20" s="17"/>
    </row>
    <row r="21" customFormat="false" ht="27.75" hidden="false" customHeight="true" outlineLevel="0" collapsed="false">
      <c r="A21" s="4" t="n">
        <v>18</v>
      </c>
      <c r="B21" s="18"/>
      <c r="C21" s="6" t="s">
        <v>131</v>
      </c>
      <c r="D21" s="18"/>
      <c r="E21" s="18"/>
      <c r="F21" s="18"/>
      <c r="G21" s="18"/>
    </row>
    <row r="22" customFormat="false" ht="27.75" hidden="false" customHeight="true" outlineLevel="0" collapsed="false">
      <c r="A22" s="8" t="n">
        <v>19</v>
      </c>
      <c r="B22" s="17"/>
      <c r="C22" s="10" t="s">
        <v>132</v>
      </c>
      <c r="D22" s="17"/>
      <c r="E22" s="17"/>
      <c r="F22" s="17"/>
      <c r="G22" s="17"/>
    </row>
    <row r="23" customFormat="false" ht="27.75" hidden="false" customHeight="true" outlineLevel="0" collapsed="false">
      <c r="A23" s="4" t="n">
        <v>20</v>
      </c>
      <c r="B23" s="18"/>
      <c r="C23" s="6" t="s">
        <v>133</v>
      </c>
      <c r="D23" s="18"/>
      <c r="E23" s="18"/>
      <c r="F23" s="18"/>
      <c r="G23" s="18"/>
    </row>
    <row r="24" customFormat="false" ht="27.75" hidden="false" customHeight="true" outlineLevel="0" collapsed="false">
      <c r="A24" s="8" t="n">
        <v>21</v>
      </c>
      <c r="B24" s="17"/>
      <c r="C24" s="10" t="s">
        <v>134</v>
      </c>
      <c r="D24" s="17"/>
      <c r="E24" s="17"/>
      <c r="F24" s="17"/>
      <c r="G24" s="17"/>
    </row>
    <row r="25" customFormat="false" ht="27.75" hidden="false" customHeight="true" outlineLevel="0" collapsed="false">
      <c r="A25" s="4" t="n">
        <v>22</v>
      </c>
      <c r="B25" s="18"/>
      <c r="C25" s="6" t="s">
        <v>135</v>
      </c>
      <c r="D25" s="18"/>
      <c r="E25" s="18"/>
      <c r="F25" s="18"/>
      <c r="G25" s="18"/>
    </row>
    <row r="26" customFormat="false" ht="27.75" hidden="false" customHeight="true" outlineLevel="0" collapsed="false">
      <c r="A26" s="8" t="n">
        <v>23</v>
      </c>
      <c r="B26" s="17"/>
      <c r="C26" s="10" t="s">
        <v>136</v>
      </c>
      <c r="D26" s="17"/>
      <c r="E26" s="17"/>
      <c r="F26" s="17"/>
      <c r="G26" s="17"/>
    </row>
    <row r="27" customFormat="false" ht="27.75" hidden="false" customHeight="true" outlineLevel="0" collapsed="false">
      <c r="A27" s="4" t="n">
        <v>24</v>
      </c>
      <c r="B27" s="18"/>
      <c r="C27" s="6" t="s">
        <v>137</v>
      </c>
      <c r="D27" s="18"/>
      <c r="E27" s="18"/>
      <c r="F27" s="18"/>
      <c r="G27" s="18"/>
    </row>
    <row r="28" customFormat="false" ht="27.75" hidden="false" customHeight="true" outlineLevel="0" collapsed="false">
      <c r="A28" s="8" t="n">
        <v>25</v>
      </c>
      <c r="B28" s="17"/>
      <c r="C28" s="10" t="s">
        <v>138</v>
      </c>
      <c r="D28" s="17"/>
      <c r="E28" s="17"/>
      <c r="F28" s="17"/>
      <c r="G28" s="17"/>
    </row>
    <row r="30" customFormat="false" ht="25.5" hidden="false" customHeight="true" outlineLevel="0" collapsed="false">
      <c r="A30" s="19" t="s">
        <v>139</v>
      </c>
      <c r="B30" s="19"/>
      <c r="C30" s="19"/>
      <c r="D30" s="19"/>
      <c r="E30" s="19"/>
      <c r="F30" s="19"/>
      <c r="G30" s="19"/>
    </row>
    <row r="31" customFormat="false" ht="15" hidden="false" customHeight="true" outlineLevel="0" collapsed="false">
      <c r="A31" s="42" t="s">
        <v>140</v>
      </c>
      <c r="B31" s="42"/>
      <c r="C31" s="42"/>
      <c r="D31" s="43" t="n">
        <f aca="false">COUNTIF(D4:D28,"Y")</f>
        <v>0</v>
      </c>
      <c r="E31" s="44"/>
      <c r="F31" s="44"/>
      <c r="G31" s="44"/>
    </row>
    <row r="32" customFormat="false" ht="15" hidden="false" customHeight="true" outlineLevel="0" collapsed="false">
      <c r="A32" s="42" t="s">
        <v>141</v>
      </c>
      <c r="B32" s="42"/>
      <c r="C32" s="42"/>
      <c r="D32" s="43" t="n">
        <f aca="false">IFERROR(COUNTIF(D4:D28,"Y")/25*100,0)</f>
        <v>0</v>
      </c>
      <c r="E32" s="44"/>
      <c r="F32" s="44"/>
      <c r="G32" s="44"/>
    </row>
    <row r="33" customFormat="false" ht="15" hidden="false" customHeight="true" outlineLevel="0" collapsed="false">
      <c r="A33" s="42" t="s">
        <v>142</v>
      </c>
      <c r="B33" s="42"/>
      <c r="C33" s="42"/>
      <c r="D33" s="43" t="n">
        <f aca="false">COUNTIF(D4:D28,"Planned")</f>
        <v>0</v>
      </c>
      <c r="E33" s="44"/>
      <c r="F33" s="44"/>
      <c r="G33" s="44"/>
    </row>
    <row r="34" customFormat="false" ht="15" hidden="false" customHeight="true" outlineLevel="0" collapsed="false">
      <c r="A34" s="42" t="s">
        <v>143</v>
      </c>
      <c r="B34" s="42"/>
      <c r="C34" s="42"/>
      <c r="D34" s="43" t="n">
        <f aca="false">SUM(F4:F28)</f>
        <v>0</v>
      </c>
      <c r="E34" s="44"/>
      <c r="F34" s="44"/>
      <c r="G34" s="44"/>
    </row>
  </sheetData>
  <mergeCells count="7">
    <mergeCell ref="A1:G1"/>
    <mergeCell ref="A2:G2"/>
    <mergeCell ref="A30:G30"/>
    <mergeCell ref="A31:C31"/>
    <mergeCell ref="A32:C32"/>
    <mergeCell ref="A33:C33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5" t="s">
        <v>144</v>
      </c>
      <c r="B1" s="45"/>
      <c r="C1" s="45"/>
      <c r="D1" s="45"/>
      <c r="E1" s="45"/>
      <c r="F1" s="45"/>
      <c r="G1" s="45"/>
      <c r="H1" s="45"/>
      <c r="I1" s="45"/>
    </row>
    <row r="2" customFormat="false" ht="25.5" hidden="false" customHeight="true" outlineLevel="0" collapsed="false">
      <c r="A2" s="15" t="s">
        <v>145</v>
      </c>
      <c r="B2" s="15"/>
      <c r="C2" s="15"/>
      <c r="D2" s="15"/>
      <c r="E2" s="15"/>
      <c r="F2" s="15"/>
      <c r="G2" s="15"/>
      <c r="H2" s="15"/>
      <c r="I2" s="15"/>
    </row>
    <row r="3" customFormat="false" ht="23.85" hidden="false" customHeight="false" outlineLevel="0" collapsed="false">
      <c r="A3" s="46" t="s">
        <v>31</v>
      </c>
      <c r="B3" s="46" t="s">
        <v>40</v>
      </c>
      <c r="C3" s="46" t="s">
        <v>146</v>
      </c>
      <c r="D3" s="46" t="s">
        <v>147</v>
      </c>
      <c r="E3" s="46" t="s">
        <v>148</v>
      </c>
      <c r="F3" s="46" t="s">
        <v>149</v>
      </c>
      <c r="G3" s="46" t="s">
        <v>150</v>
      </c>
      <c r="H3" s="46" t="s">
        <v>151</v>
      </c>
      <c r="I3" s="46" t="s">
        <v>152</v>
      </c>
    </row>
    <row r="4" customFormat="false" ht="15" hidden="false" customHeight="false" outlineLevel="0" collapsed="false">
      <c r="B4" s="47" t="s">
        <v>153</v>
      </c>
      <c r="C4" s="48" t="n">
        <v>0.3</v>
      </c>
      <c r="D4" s="48" t="n">
        <v>0.2</v>
      </c>
      <c r="E4" s="48" t="n">
        <v>0.2</v>
      </c>
      <c r="F4" s="48" t="n">
        <v>0.175</v>
      </c>
      <c r="G4" s="48" t="n">
        <v>0.125</v>
      </c>
    </row>
    <row r="5" customFormat="false" ht="15" hidden="false" customHeight="false" outlineLevel="0" collapsed="false">
      <c r="A5" s="4" t="n">
        <v>1</v>
      </c>
      <c r="B5" s="18"/>
      <c r="C5" s="49"/>
      <c r="D5" s="49"/>
      <c r="E5" s="49"/>
      <c r="F5" s="49"/>
      <c r="G5" s="49"/>
      <c r="H5" s="50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7"/>
      <c r="C6" s="51"/>
      <c r="D6" s="51"/>
      <c r="E6" s="51"/>
      <c r="F6" s="51"/>
      <c r="G6" s="51"/>
      <c r="H6" s="52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18"/>
      <c r="C7" s="49"/>
      <c r="D7" s="49"/>
      <c r="E7" s="49"/>
      <c r="F7" s="49"/>
      <c r="G7" s="49"/>
      <c r="H7" s="50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7"/>
      <c r="C8" s="51"/>
      <c r="D8" s="51"/>
      <c r="E8" s="51"/>
      <c r="F8" s="51"/>
      <c r="G8" s="51"/>
      <c r="H8" s="52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18"/>
      <c r="C9" s="49"/>
      <c r="D9" s="49"/>
      <c r="E9" s="49"/>
      <c r="F9" s="49"/>
      <c r="G9" s="49"/>
      <c r="H9" s="50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7"/>
      <c r="C10" s="51"/>
      <c r="D10" s="51"/>
      <c r="E10" s="51"/>
      <c r="F10" s="51"/>
      <c r="G10" s="51"/>
      <c r="H10" s="52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18"/>
      <c r="C11" s="49"/>
      <c r="D11" s="49"/>
      <c r="E11" s="49"/>
      <c r="F11" s="49"/>
      <c r="G11" s="49"/>
      <c r="H11" s="50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7"/>
      <c r="C12" s="51"/>
      <c r="D12" s="51"/>
      <c r="E12" s="51"/>
      <c r="F12" s="51"/>
      <c r="G12" s="51"/>
      <c r="H12" s="52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18"/>
      <c r="C13" s="49"/>
      <c r="D13" s="49"/>
      <c r="E13" s="49"/>
      <c r="F13" s="49"/>
      <c r="G13" s="49"/>
      <c r="H13" s="50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7"/>
      <c r="C14" s="51"/>
      <c r="D14" s="51"/>
      <c r="E14" s="51"/>
      <c r="F14" s="51"/>
      <c r="G14" s="51"/>
      <c r="H14" s="52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18"/>
      <c r="C15" s="49"/>
      <c r="D15" s="49"/>
      <c r="E15" s="49"/>
      <c r="F15" s="49"/>
      <c r="G15" s="49"/>
      <c r="H15" s="50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7"/>
      <c r="C16" s="51"/>
      <c r="D16" s="51"/>
      <c r="E16" s="51"/>
      <c r="F16" s="51"/>
      <c r="G16" s="51"/>
      <c r="H16" s="52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18"/>
      <c r="C17" s="49"/>
      <c r="D17" s="49"/>
      <c r="E17" s="49"/>
      <c r="F17" s="49"/>
      <c r="G17" s="49"/>
      <c r="H17" s="50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7"/>
      <c r="C18" s="51"/>
      <c r="D18" s="51"/>
      <c r="E18" s="51"/>
      <c r="F18" s="51"/>
      <c r="G18" s="51"/>
      <c r="H18" s="52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18"/>
      <c r="C19" s="49"/>
      <c r="D19" s="49"/>
      <c r="E19" s="49"/>
      <c r="F19" s="49"/>
      <c r="G19" s="49"/>
      <c r="H19" s="50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7"/>
      <c r="C20" s="51"/>
      <c r="D20" s="51"/>
      <c r="E20" s="51"/>
      <c r="F20" s="51"/>
      <c r="G20" s="51"/>
      <c r="H20" s="52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18"/>
      <c r="C21" s="49"/>
      <c r="D21" s="49"/>
      <c r="E21" s="49"/>
      <c r="F21" s="49"/>
      <c r="G21" s="49"/>
      <c r="H21" s="50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7"/>
      <c r="C22" s="51"/>
      <c r="D22" s="51"/>
      <c r="E22" s="51"/>
      <c r="F22" s="51"/>
      <c r="G22" s="51"/>
      <c r="H22" s="52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18"/>
      <c r="C23" s="49"/>
      <c r="D23" s="49"/>
      <c r="E23" s="49"/>
      <c r="F23" s="49"/>
      <c r="G23" s="49"/>
      <c r="H23" s="50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7"/>
      <c r="C24" s="51"/>
      <c r="D24" s="51"/>
      <c r="E24" s="51"/>
      <c r="F24" s="51"/>
      <c r="G24" s="51"/>
      <c r="H24" s="52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18"/>
      <c r="C25" s="49"/>
      <c r="D25" s="49"/>
      <c r="E25" s="49"/>
      <c r="F25" s="49"/>
      <c r="G25" s="49"/>
      <c r="H25" s="50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7"/>
      <c r="C26" s="51"/>
      <c r="D26" s="51"/>
      <c r="E26" s="51"/>
      <c r="F26" s="51"/>
      <c r="G26" s="51"/>
      <c r="H26" s="52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18"/>
      <c r="C27" s="49"/>
      <c r="D27" s="49"/>
      <c r="E27" s="49"/>
      <c r="F27" s="49"/>
      <c r="G27" s="49"/>
      <c r="H27" s="50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7"/>
      <c r="C28" s="51"/>
      <c r="D28" s="51"/>
      <c r="E28" s="51"/>
      <c r="F28" s="51"/>
      <c r="G28" s="51"/>
      <c r="H28" s="52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18"/>
      <c r="C29" s="49"/>
      <c r="D29" s="49"/>
      <c r="E29" s="49"/>
      <c r="F29" s="49"/>
      <c r="G29" s="49"/>
      <c r="H29" s="50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7"/>
      <c r="C30" s="51"/>
      <c r="D30" s="51"/>
      <c r="E30" s="51"/>
      <c r="F30" s="51"/>
      <c r="G30" s="51"/>
      <c r="H30" s="52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18"/>
      <c r="C31" s="49"/>
      <c r="D31" s="49"/>
      <c r="E31" s="49"/>
      <c r="F31" s="49"/>
      <c r="G31" s="49"/>
      <c r="H31" s="50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7"/>
      <c r="C32" s="51"/>
      <c r="D32" s="51"/>
      <c r="E32" s="51"/>
      <c r="F32" s="51"/>
      <c r="G32" s="51"/>
      <c r="H32" s="52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18"/>
      <c r="C33" s="49"/>
      <c r="D33" s="49"/>
      <c r="E33" s="49"/>
      <c r="F33" s="49"/>
      <c r="G33" s="49"/>
      <c r="H33" s="50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7"/>
      <c r="C34" s="51"/>
      <c r="D34" s="51"/>
      <c r="E34" s="51"/>
      <c r="F34" s="51"/>
      <c r="G34" s="51"/>
      <c r="H34" s="52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21" t="s">
        <v>154</v>
      </c>
      <c r="B1" s="21"/>
      <c r="C1" s="21"/>
      <c r="D1" s="21"/>
      <c r="E1" s="21"/>
      <c r="F1" s="21"/>
      <c r="G1" s="21"/>
      <c r="H1" s="21"/>
      <c r="I1" s="21"/>
    </row>
    <row r="2" customFormat="false" ht="25.5" hidden="false" customHeight="true" outlineLevel="0" collapsed="false">
      <c r="A2" s="22" t="s">
        <v>155</v>
      </c>
      <c r="B2" s="22"/>
      <c r="C2" s="22"/>
      <c r="D2" s="22"/>
      <c r="E2" s="22"/>
      <c r="F2" s="22"/>
      <c r="G2" s="22"/>
      <c r="H2" s="22"/>
      <c r="I2" s="22"/>
    </row>
    <row r="3" customFormat="false" ht="15" hidden="false" customHeight="false" outlineLevel="0" collapsed="false">
      <c r="A3" s="23" t="s">
        <v>31</v>
      </c>
      <c r="B3" s="23" t="s">
        <v>156</v>
      </c>
      <c r="C3" s="23" t="s">
        <v>157</v>
      </c>
      <c r="D3" s="23" t="s">
        <v>158</v>
      </c>
      <c r="E3" s="23" t="s">
        <v>159</v>
      </c>
      <c r="F3" s="23" t="s">
        <v>160</v>
      </c>
      <c r="G3" s="23" t="s">
        <v>161</v>
      </c>
      <c r="H3" s="23" t="s">
        <v>162</v>
      </c>
      <c r="I3" s="23" t="s">
        <v>163</v>
      </c>
    </row>
    <row r="4" customFormat="false" ht="15" hidden="false" customHeight="false" outlineLevel="0" collapsed="false">
      <c r="A4" s="53" t="n">
        <v>1</v>
      </c>
      <c r="B4" s="54" t="s">
        <v>164</v>
      </c>
      <c r="C4" s="55"/>
      <c r="D4" s="55"/>
      <c r="E4" s="55"/>
      <c r="F4" s="55"/>
      <c r="G4" s="55"/>
      <c r="H4" s="55"/>
      <c r="I4" s="53" t="s">
        <v>165</v>
      </c>
    </row>
    <row r="5" customFormat="false" ht="15" hidden="false" customHeight="false" outlineLevel="0" collapsed="false">
      <c r="A5" s="4" t="n">
        <v>2</v>
      </c>
      <c r="B5" s="5" t="s">
        <v>166</v>
      </c>
      <c r="C5" s="18"/>
      <c r="D5" s="18"/>
      <c r="E5" s="18"/>
      <c r="F5" s="18"/>
      <c r="G5" s="18"/>
      <c r="H5" s="18"/>
      <c r="I5" s="4" t="s">
        <v>167</v>
      </c>
    </row>
    <row r="6" customFormat="false" ht="15" hidden="false" customHeight="false" outlineLevel="0" collapsed="false">
      <c r="A6" s="8" t="n">
        <v>3</v>
      </c>
      <c r="B6" s="9" t="s">
        <v>168</v>
      </c>
      <c r="C6" s="17"/>
      <c r="D6" s="17"/>
      <c r="E6" s="17"/>
      <c r="F6" s="17"/>
      <c r="G6" s="17"/>
      <c r="H6" s="17"/>
      <c r="I6" s="8" t="s">
        <v>169</v>
      </c>
    </row>
    <row r="7" customFormat="false" ht="15" hidden="false" customHeight="false" outlineLevel="0" collapsed="false">
      <c r="A7" s="4" t="n">
        <v>4</v>
      </c>
      <c r="B7" s="5" t="s">
        <v>170</v>
      </c>
      <c r="C7" s="18"/>
      <c r="D7" s="18"/>
      <c r="E7" s="18"/>
      <c r="F7" s="18"/>
      <c r="G7" s="18"/>
      <c r="H7" s="18"/>
      <c r="I7" s="4" t="s">
        <v>171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2</v>
      </c>
      <c r="B9" s="18"/>
      <c r="C9" s="18"/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4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6</v>
      </c>
      <c r="B13" s="18"/>
      <c r="C13" s="18"/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8</v>
      </c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10</v>
      </c>
      <c r="B17" s="18"/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12</v>
      </c>
      <c r="B19" s="18"/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14</v>
      </c>
      <c r="B21" s="18"/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172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56" t="s">
        <v>173</v>
      </c>
      <c r="B2" s="56"/>
      <c r="C2" s="56"/>
      <c r="D2" s="56"/>
      <c r="E2" s="56"/>
      <c r="F2" s="56"/>
    </row>
    <row r="3" customFormat="false" ht="15" hidden="false" customHeight="false" outlineLevel="0" collapsed="false">
      <c r="A3" s="16" t="s">
        <v>2</v>
      </c>
      <c r="B3" s="16" t="s">
        <v>174</v>
      </c>
      <c r="C3" s="16" t="s">
        <v>175</v>
      </c>
      <c r="D3" s="16" t="s">
        <v>176</v>
      </c>
      <c r="E3" s="16" t="s">
        <v>177</v>
      </c>
      <c r="F3" s="16" t="s">
        <v>178</v>
      </c>
    </row>
    <row r="4" customFormat="false" ht="31.5" hidden="false" customHeight="true" outlineLevel="0" collapsed="false">
      <c r="A4" s="8" t="n">
        <v>1</v>
      </c>
      <c r="B4" s="9" t="s">
        <v>179</v>
      </c>
      <c r="C4" s="10" t="s">
        <v>180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181</v>
      </c>
      <c r="C5" s="6" t="s">
        <v>182</v>
      </c>
      <c r="D5" s="18"/>
      <c r="E5" s="18"/>
      <c r="F5" s="18"/>
    </row>
    <row r="6" customFormat="false" ht="31.5" hidden="false" customHeight="true" outlineLevel="0" collapsed="false">
      <c r="A6" s="8" t="n">
        <v>3</v>
      </c>
      <c r="B6" s="9" t="s">
        <v>183</v>
      </c>
      <c r="C6" s="10" t="s">
        <v>184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185</v>
      </c>
      <c r="C7" s="6" t="s">
        <v>186</v>
      </c>
      <c r="D7" s="18"/>
      <c r="E7" s="18"/>
      <c r="F7" s="18"/>
    </row>
    <row r="8" customFormat="false" ht="31.5" hidden="false" customHeight="true" outlineLevel="0" collapsed="false">
      <c r="A8" s="8" t="n">
        <v>5</v>
      </c>
      <c r="B8" s="9" t="s">
        <v>187</v>
      </c>
      <c r="C8" s="10" t="s">
        <v>188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189</v>
      </c>
      <c r="C9" s="6" t="s">
        <v>190</v>
      </c>
      <c r="D9" s="18"/>
      <c r="E9" s="18"/>
      <c r="F9" s="18"/>
    </row>
    <row r="10" customFormat="false" ht="31.5" hidden="false" customHeight="true" outlineLevel="0" collapsed="false">
      <c r="A10" s="8" t="n">
        <v>7</v>
      </c>
      <c r="B10" s="9" t="s">
        <v>191</v>
      </c>
      <c r="C10" s="10" t="s">
        <v>192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193</v>
      </c>
      <c r="C11" s="6" t="s">
        <v>194</v>
      </c>
      <c r="D11" s="18"/>
      <c r="E11" s="18"/>
      <c r="F11" s="18"/>
    </row>
    <row r="12" customFormat="false" ht="31.5" hidden="false" customHeight="true" outlineLevel="0" collapsed="false">
      <c r="A12" s="8" t="n">
        <v>9</v>
      </c>
      <c r="B12" s="9" t="s">
        <v>195</v>
      </c>
      <c r="C12" s="10" t="s">
        <v>196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197</v>
      </c>
      <c r="C13" s="6" t="s">
        <v>198</v>
      </c>
      <c r="D13" s="18"/>
      <c r="E13" s="18"/>
      <c r="F13" s="18"/>
    </row>
    <row r="14" customFormat="false" ht="31.5" hidden="false" customHeight="true" outlineLevel="0" collapsed="false">
      <c r="A14" s="8" t="n">
        <v>11</v>
      </c>
      <c r="B14" s="9" t="s">
        <v>199</v>
      </c>
      <c r="C14" s="10" t="s">
        <v>200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201</v>
      </c>
      <c r="C15" s="6" t="s">
        <v>202</v>
      </c>
      <c r="D15" s="18"/>
      <c r="E15" s="18"/>
      <c r="F15" s="18"/>
    </row>
    <row r="16" customFormat="false" ht="31.5" hidden="false" customHeight="true" outlineLevel="0" collapsed="false">
      <c r="A16" s="8" t="n">
        <v>13</v>
      </c>
      <c r="B16" s="9" t="s">
        <v>203</v>
      </c>
      <c r="C16" s="10" t="s">
        <v>204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205</v>
      </c>
      <c r="C17" s="6" t="s">
        <v>206</v>
      </c>
      <c r="D17" s="18"/>
      <c r="E17" s="18"/>
      <c r="F17" s="18"/>
    </row>
    <row r="18" customFormat="false" ht="31.5" hidden="false" customHeight="true" outlineLevel="0" collapsed="false">
      <c r="A18" s="8" t="n">
        <v>15</v>
      </c>
      <c r="B18" s="9" t="s">
        <v>207</v>
      </c>
      <c r="C18" s="10" t="s">
        <v>208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209</v>
      </c>
      <c r="C19" s="6" t="s">
        <v>210</v>
      </c>
      <c r="D19" s="18"/>
      <c r="E19" s="18"/>
      <c r="F19" s="18"/>
    </row>
    <row r="20" customFormat="false" ht="31.5" hidden="false" customHeight="true" outlineLevel="0" collapsed="false">
      <c r="A20" s="8" t="n">
        <v>17</v>
      </c>
      <c r="B20" s="9" t="s">
        <v>211</v>
      </c>
      <c r="C20" s="10" t="s">
        <v>212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213</v>
      </c>
      <c r="C21" s="6" t="s">
        <v>214</v>
      </c>
      <c r="D21" s="18"/>
      <c r="E21" s="18"/>
      <c r="F21" s="18"/>
    </row>
    <row r="22" customFormat="false" ht="31.5" hidden="false" customHeight="true" outlineLevel="0" collapsed="false">
      <c r="A22" s="8" t="n">
        <v>19</v>
      </c>
      <c r="B22" s="9" t="s">
        <v>215</v>
      </c>
      <c r="C22" s="10" t="s">
        <v>216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217</v>
      </c>
      <c r="C23" s="6" t="s">
        <v>218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2026-05-07T04:37:54Z</dcterms:created>
  <dc:creator>openpyxl</dc:creator>
  <dc:description/>
  <dc:language>en-US</dc:language>
  <cp:lastModifiedBy/>
  <dcterms:modified xsi:type="dcterms:W3CDTF">2026-05-07T04:37:55Z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