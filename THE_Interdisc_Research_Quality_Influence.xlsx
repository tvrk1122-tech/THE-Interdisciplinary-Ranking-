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FWCI Data" sheetId="2" state="visible" r:id="rId4"/>
    <sheet name="2. Interdisc. Proportion" sheetId="3" state="visible" r:id="rId5"/>
    <sheet name="3. Cross-Field Citations" sheetId="4" state="visible" r:id="rId6"/>
    <sheet name="4. Intl Co-authorship" sheetId="5" state="visible" r:id="rId7"/>
    <sheet name="5. Visibility &amp; Influence" sheetId="6" state="visible" r:id="rId8"/>
    <sheet name="6. ASJC Cross-Domain Matrix" sheetId="7" state="visible" r:id="rId9"/>
    <sheet name="7. Keyword Diversity" sheetId="8" state="visible" r:id="rId10"/>
    <sheet name="8. Co-authorship Networks" sheetId="9" state="visible" r:id="rId11"/>
    <sheet name="9. Composite RQI Score" sheetId="10" state="visible" r:id="rId12"/>
    <sheet name="10. Benchmarking" sheetId="11" state="visible" r:id="rId13"/>
    <sheet name="11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<sst xmlns="http://schemas.openxmlformats.org/spreadsheetml/2006/main" count="265" uniqueCount="207">
  <si>
    <t xml:space="preserve">THE Interdisciplinary Science Rankings — Research Quality &amp; Influence (≈40%)</t>
  </si>
  <si>
    <t xml:space="preserve">Indicator Framework: 5 Sub-Components of Research Quality &amp; Influence</t>
  </si>
  <si>
    <t xml:space="preserve">#</t>
  </si>
  <si>
    <t xml:space="preserve">Sub-Indicator</t>
  </si>
  <si>
    <t xml:space="preserve">Description &amp; Measurement</t>
  </si>
  <si>
    <t xml:space="preserve">Approx. Internal Weight</t>
  </si>
  <si>
    <t xml:space="preserve">Field-Weighted Citation Impact (FWCI)</t>
  </si>
  <si>
    <t xml:space="preserve">Measures the average citation impact of interdisciplinary publications relative to the world average for their field(s). FWCI &gt; 1.0 = above world average. Sourced from Scopus. Accounts for publication year, type, and discipline differences.</t>
  </si>
  <si>
    <t xml:space="preserve">~12%</t>
  </si>
  <si>
    <t xml:space="preserve">Proportion of Interdisciplinary Publications</t>
  </si>
  <si>
    <t xml:space="preserve">Percentage of total research output classified as multidisciplinary or cross-domain (tagged across 2+ ASJC subject areas in Scopus). Higher = more integrated research portfolio.</t>
  </si>
  <si>
    <t xml:space="preserve">~8%</t>
  </si>
  <si>
    <t xml:space="preserve">Cross-Field Citation Flows</t>
  </si>
  <si>
    <t xml:space="preserve">Measures how often a university's publications are cited BY papers in DIFFERENT fields than the originating discipline. Indicates scientific integration and influence across domains.</t>
  </si>
  <si>
    <t xml:space="preserve">International Cross-Disciplinary Co-authorship</t>
  </si>
  <si>
    <t xml:space="preserve">Counts internationally co-authored papers that span 2+ subject areas. Measures breadth of global collaborative research networks. Higher international + interdisciplinary = stronger score.</t>
  </si>
  <si>
    <t xml:space="preserve">~7%</t>
  </si>
  <si>
    <t xml:space="preserve">Research Visibility &amp; Multi-Domain Influence</t>
  </si>
  <si>
    <t xml:space="preserve">Overall visibility of interdisciplinary research: h-index of cross-domain work, publication volume, top-percentile (top 10%) papers, and presence in multi-domain journals (Nature, Science, PNAS, etc.).</t>
  </si>
  <si>
    <t xml:space="preserve">~5%</t>
  </si>
  <si>
    <t xml:space="preserve">Key Reference Notes</t>
  </si>
  <si>
    <t xml:space="preserve">• Research Quality &amp; Influence carries ≈40% of the total Interdisciplinary Science Ranking score — the single largest pillar.</t>
  </si>
  <si>
    <t xml:space="preserve">• Primary data source: Scopus bibliometric datasets (Elsevier) — the world's largest abstract and citation database.</t>
  </si>
  <si>
    <t xml:space="preserve">• FWCI is field-normalized: a paper in 'AI + Medicine' is benchmarked against the world average for both AI and Medicine.</t>
  </si>
  <si>
    <t xml:space="preserve">• Interdisciplinary publications are identified by ASJC (All Science Journal Classification) codes spanning 2+ top-level categories.</t>
  </si>
  <si>
    <t xml:space="preserve">• Cross-field citation flows use Scopus citation linkages to trace knowledge transfer across disciplinary boundaries.</t>
  </si>
  <si>
    <t xml:space="preserve">• International co-authorship requires authors from 2+ countries AND the paper spanning 2+ ASJC subject areas.</t>
  </si>
  <si>
    <t xml:space="preserve">• Typical analysis window: 5-year rolling period (e.g., 2019–2023 for the 2025 ranking cycle).</t>
  </si>
  <si>
    <t xml:space="preserve">• Scores are normalized to 0–100 scale using z-scoring or min-max normalization for global comparability.</t>
  </si>
  <si>
    <t xml:space="preserve">Field-Weighted Citation Impact (FWCI) — Interdisciplinary Publications</t>
  </si>
  <si>
    <t xml:space="preserve">FWCI &gt; 1.0 = above world average | Covers publications tagged across 2+ ASJC subject areas | 5-year window</t>
  </si>
  <si>
    <t xml:space="preserve">S.No.</t>
  </si>
  <si>
    <t xml:space="preserve">University Name</t>
  </si>
  <si>
    <t xml:space="preserve">Country</t>
  </si>
  <si>
    <t xml:space="preserve">Total Publications (5yr)</t>
  </si>
  <si>
    <t xml:space="preserve">Interdisciplinary Pubs</t>
  </si>
  <si>
    <t xml:space="preserve">% Interdisciplinary</t>
  </si>
  <si>
    <t xml:space="preserve">FWCI (All Pubs)</t>
  </si>
  <si>
    <t xml:space="preserve">FWCI (Interdisc. Pubs Only)</t>
  </si>
  <si>
    <t xml:space="preserve">Top 10% Cited Interdisc. Pubs</t>
  </si>
  <si>
    <t xml:space="preserve">% Top 10% Interdisc.</t>
  </si>
  <si>
    <t xml:space="preserve">Data Source</t>
  </si>
  <si>
    <t xml:space="preserve">Analysis Period</t>
  </si>
  <si>
    <t xml:space="preserve">Summary Statistics</t>
  </si>
  <si>
    <t xml:space="preserve">Average FWCI (All Pubs)</t>
  </si>
  <si>
    <t xml:space="preserve">Average FWCI (Interdisc.)</t>
  </si>
  <si>
    <t xml:space="preserve">Avg % Interdisciplinary</t>
  </si>
  <si>
    <t xml:space="preserve">Total Interdisc. Publications</t>
  </si>
  <si>
    <t xml:space="preserve">Proportion of Research Spanning Multiple ASJC Subject Areas</t>
  </si>
  <si>
    <t xml:space="preserve">ASJC = All Science Journal Classification (Scopus) | Publications tagged in 2+ top-level ASJC categories = interdisciplinary</t>
  </si>
  <si>
    <t xml:space="preserve">Total Pubs (5yr)</t>
  </si>
  <si>
    <t xml:space="preserve">Pubs in 1 ASJC Area</t>
  </si>
  <si>
    <t xml:space="preserve">Pubs in 2 ASJC Areas</t>
  </si>
  <si>
    <t xml:space="preserve">Pubs in 3 ASJC Areas</t>
  </si>
  <si>
    <t xml:space="preserve">Pubs in 4+ ASJC Areas</t>
  </si>
  <si>
    <t xml:space="preserve">Total Interdisc. (2+ Areas)</t>
  </si>
  <si>
    <t xml:space="preserve">Interdisc. Diversity Index</t>
  </si>
  <si>
    <t xml:space="preserve">Cross-Field Citation Flows — Knowledge Transfer Across Disciplines</t>
  </si>
  <si>
    <t xml:space="preserve">Measures citations RECEIVED from papers in DIFFERENT fields than the originating discipline | Indicates scientific integration</t>
  </si>
  <si>
    <t xml:space="preserve">Total Citations Received (5yr)</t>
  </si>
  <si>
    <t xml:space="preserve">Same-Field Citations</t>
  </si>
  <si>
    <t xml:space="preserve">Cross-Field Citations</t>
  </si>
  <si>
    <t xml:space="preserve">% Cross-Field</t>
  </si>
  <si>
    <t xml:space="preserve">Unique Citing Disciplines</t>
  </si>
  <si>
    <t xml:space="preserve">Cross-Field Citation Impact (Normalized)</t>
  </si>
  <si>
    <t xml:space="preserve">International Cross-Disciplinary Co-authorship Networks</t>
  </si>
  <si>
    <t xml:space="preserve">Papers with authors from 2+ countries AND spanning 2+ ASJC subject areas | Measures global interdisciplinary collaboration</t>
  </si>
  <si>
    <t xml:space="preserve">International Co-authored Pubs</t>
  </si>
  <si>
    <t xml:space="preserve">Intl + Interdisc. Co-authored</t>
  </si>
  <si>
    <t xml:space="preserve">% Intl + Interdisc.</t>
  </si>
  <si>
    <t xml:space="preserve">No. of Partner Countries</t>
  </si>
  <si>
    <t xml:space="preserve">No. of Partner Institutions</t>
  </si>
  <si>
    <t xml:space="preserve">Avg ASJC Areas per Intl Paper</t>
  </si>
  <si>
    <t xml:space="preserve">Top Collaboration Discipline Pair</t>
  </si>
  <si>
    <t xml:space="preserve">h-index of cross-domain work | Top-percentile papers | Presence in multi-domain journals (Nature, Science, PNAS, etc.)</t>
  </si>
  <si>
    <t xml:space="preserve">Interdisc. h-index</t>
  </si>
  <si>
    <t xml:space="preserve">Interdisc. Pubs in Top 1% Journals</t>
  </si>
  <si>
    <t xml:space="preserve">% in Multi-Domain Journals</t>
  </si>
  <si>
    <t xml:space="preserve">Pubs in Nature/Science/PNAS/Lancet</t>
  </si>
  <si>
    <t xml:space="preserve">Total Interdisc. Pubs in Top 10% by Citations</t>
  </si>
  <si>
    <t xml:space="preserve">Altmetric Score (Interdisc. Output)</t>
  </si>
  <si>
    <t xml:space="preserve">ASJC Top-Level Cross-Domain Co-occurrence Matrix (University-Level)</t>
  </si>
  <si>
    <t xml:space="preserve">Cell(i,j) = count of publications classified in BOTH ASJC area i AND area j | Diagonal = single-area pubs</t>
  </si>
  <si>
    <t xml:space="preserve">ASJC ↓ / ASJC →</t>
  </si>
  <si>
    <t xml:space="preserve">AGRI</t>
  </si>
  <si>
    <t xml:space="preserve">AH</t>
  </si>
  <si>
    <t xml:space="preserve">BIOC</t>
  </si>
  <si>
    <t xml:space="preserve">BUS</t>
  </si>
  <si>
    <t xml:space="preserve">CENG</t>
  </si>
  <si>
    <t xml:space="preserve">CHEM</t>
  </si>
  <si>
    <t xml:space="preserve">CS</t>
  </si>
  <si>
    <t xml:space="preserve">DEC</t>
  </si>
  <si>
    <t xml:space="preserve">DENT</t>
  </si>
  <si>
    <t xml:space="preserve">EART</t>
  </si>
  <si>
    <t xml:space="preserve">ECON</t>
  </si>
  <si>
    <t xml:space="preserve">ENER</t>
  </si>
  <si>
    <t xml:space="preserve">ENGI</t>
  </si>
  <si>
    <t xml:space="preserve">ENVI</t>
  </si>
  <si>
    <t xml:space="preserve">HEAL</t>
  </si>
  <si>
    <t xml:space="preserve">IMMU</t>
  </si>
  <si>
    <t xml:space="preserve">MATE</t>
  </si>
  <si>
    <t xml:space="preserve">MATH</t>
  </si>
  <si>
    <t xml:space="preserve">MEDI</t>
  </si>
  <si>
    <t xml:space="preserve">NEUR</t>
  </si>
  <si>
    <t xml:space="preserve">NURS</t>
  </si>
  <si>
    <t xml:space="preserve">PHAR</t>
  </si>
  <si>
    <t xml:space="preserve">PHYS</t>
  </si>
  <si>
    <t xml:space="preserve">PSYC</t>
  </si>
  <si>
    <t xml:space="preserve">SOCI</t>
  </si>
  <si>
    <t xml:space="preserve">VETE</t>
  </si>
  <si>
    <t xml:space="preserve">MULT</t>
  </si>
  <si>
    <t xml:space="preserve">Note: Enter university name in cell above, then populate co-occurrence counts from Scopus ASJC classification data.</t>
  </si>
  <si>
    <t xml:space="preserve">Keyword Diversity in Publications — Measuring Thematic Breadth</t>
  </si>
  <si>
    <t xml:space="preserve">Diversity of author keywords across publications — wider keyword spread = more interdisciplinary research portfolio</t>
  </si>
  <si>
    <t xml:space="preserve">Total Unique Author Keywords</t>
  </si>
  <si>
    <t xml:space="preserve">No. of Distinct ASJC Fields Covered</t>
  </si>
  <si>
    <t xml:space="preserve">Keyword Entropy (H bits)</t>
  </si>
  <si>
    <t xml:space="preserve">Keyword Concentration Index (HHI)</t>
  </si>
  <si>
    <t xml:space="preserve">Top Cross-Domain Keyword Clusters</t>
  </si>
  <si>
    <t xml:space="preserve">Keyword Diversity Score (0–100)</t>
  </si>
  <si>
    <t xml:space="preserve">Co-authorship Networks Across Departments &amp; Disciplines</t>
  </si>
  <si>
    <t xml:space="preserve">Measures breadth/density of collaborative networks spanning 3+ subject areas | Captures research cluster integration</t>
  </si>
  <si>
    <t xml:space="preserve">Total Co-authored Papers (5yr)</t>
  </si>
  <si>
    <t xml:space="preserve">Cross-Dept Co-authored Papers</t>
  </si>
  <si>
    <t xml:space="preserve">% Cross-Dept Co-authorship</t>
  </si>
  <si>
    <t xml:space="preserve">Avg No. of Departments per Paper</t>
  </si>
  <si>
    <t xml:space="preserve">Papers Spanning 3+ Subject Areas</t>
  </si>
  <si>
    <t xml:space="preserve">% Spanning 3+ Areas</t>
  </si>
  <si>
    <t xml:space="preserve">Network Density Index (0–1)</t>
  </si>
  <si>
    <t xml:space="preserve">Composite Research Quality &amp; Influence Score (0–100)</t>
  </si>
  <si>
    <t xml:space="preserve">Weighted composite of 5 sub-indicators | Weights are editable in Row 4</t>
  </si>
  <si>
    <t xml:space="preserve">FWCI Score (A)</t>
  </si>
  <si>
    <t xml:space="preserve">Interdisc. Proportion Score (B)</t>
  </si>
  <si>
    <t xml:space="preserve">Cross-Field Citation Score (C)</t>
  </si>
  <si>
    <t xml:space="preserve">Intl Co-authorship Score (D)</t>
  </si>
  <si>
    <t xml:space="preserve">Visibility Score (E)</t>
  </si>
  <si>
    <t xml:space="preserve">Composite RQI Score (0–100)</t>
  </si>
  <si>
    <t xml:space="preserve">Global Rank</t>
  </si>
  <si>
    <t xml:space="preserve">Weights →</t>
  </si>
  <si>
    <t xml:space="preserve">Benchmarking &amp; Peer Comparison — Research Quality &amp; Influence</t>
  </si>
  <si>
    <t xml:space="preserve">Compare your institution against peers, aspirational targets, and global top performers</t>
  </si>
  <si>
    <t xml:space="preserve">University / Benchmark</t>
  </si>
  <si>
    <t xml:space="preserve">FWCI</t>
  </si>
  <si>
    <t xml:space="preserve">% Interdisc.</t>
  </si>
  <si>
    <t xml:space="preserve">% Cross-Field Cit.</t>
  </si>
  <si>
    <t xml:space="preserve">% Intl Co-auth.</t>
  </si>
  <si>
    <t xml:space="preserve">Visibility Score</t>
  </si>
  <si>
    <t xml:space="preserve">Composite RQI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</si>
  <si>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</si>
  <si>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</si>
  <si>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</si>
  <si>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</si>
  <si>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</si>
  <si>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</si>
  <si>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</si>
  <si>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</si>
  <si>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</si>
  <si>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World Average (FWCI=1.0)</t>
  </si>
  <si>
    <t xml:space="preserve">1.00</t>
  </si>
  <si>
    <t xml:space="preserve">Baseline</t>
  </si>
  <si>
    <t xml:space="preserve">Research Quality &amp; Influence — Data Quality &amp; Audit Checklist</t>
  </si>
  <si>
    <t xml:space="preserve">Validation checks for all sub-indicators of the RQI pillar (≈40% of THE Interdisciplinary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</si>
  <si>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</si>
  <si>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</si>
  <si>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</si>
  <si>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</si>
  <si>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</si>
  <si>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Scopus data extraction window</t>
  </si>
  <si>
    <t xml:space="preserve">Confirm 5-year rolling window matches current ranking cycle (e.g., 2019–2023 for 2025 rankings)</t>
  </si>
  <si>
    <t xml:space="preserve">ASJC classification accuracy</t>
  </si>
  <si>
    <t xml:space="preserve">Verify publications correctly tagged to ASJC top-level subject areas in Scopus</t>
  </si>
  <si>
    <t xml:space="preserve">Interdisciplinary threshold</t>
  </si>
  <si>
    <t xml:space="preserve">Confirm 2+ ASJC area threshold consistently applied to identify interdisciplinary pubs</t>
  </si>
  <si>
    <t xml:space="preserve">FWCI calculation validation</t>
  </si>
  <si>
    <t xml:space="preserve">Cross-check FWCI values against Scopus SciVal or InCites; verify field-normalization applied</t>
  </si>
  <si>
    <t xml:space="preserve">Self-citation exclusion</t>
  </si>
  <si>
    <t xml:space="preserve">Confirm institutional self-citations excluded or diluted per THE methodology</t>
  </si>
  <si>
    <t xml:space="preserve">Cross-field citation direction</t>
  </si>
  <si>
    <t xml:space="preserve">Verify citation flows correctly identify RECEIVING discipline ≠ ORIGINATING discipline</t>
  </si>
  <si>
    <t xml:space="preserve">International co-authorship criteria</t>
  </si>
  <si>
    <t xml:space="preserve">Confirm authors from 2+ countries AND 2+ ASJC areas for intl. interdisc. classification</t>
  </si>
  <si>
    <t xml:space="preserve">Publication type filter</t>
  </si>
  <si>
    <t xml:space="preserve">Exclude editorials, letters, errata; include only articles, reviews, conference papers per THE rules</t>
  </si>
  <si>
    <t xml:space="preserve">Minimum publication threshold</t>
  </si>
  <si>
    <t xml:space="preserve">Universities below minimum threshold (e.g., 200 pubs/5yr) excluded from ranking</t>
  </si>
  <si>
    <t xml:space="preserve">Fractional counting applied</t>
  </si>
  <si>
    <t xml:space="preserve">Verify fractional counting for multi-authored papers to avoid double-counting across institutions</t>
  </si>
  <si>
    <t xml:space="preserve">Top 10% / 1% benchmark</t>
  </si>
  <si>
    <t xml:space="preserve">Top-percentile thresholds calculated against global citation distribution per field per year</t>
  </si>
  <si>
    <t xml:space="preserve">ASJC matrix reconciliation</t>
  </si>
  <si>
    <t xml:space="preserve">Sum of ASJC cross-domain matrix entries reconciles with total publication counts</t>
  </si>
  <si>
    <t xml:space="preserve">Keyword extraction consistency</t>
  </si>
  <si>
    <t xml:space="preserve">Author keywords extracted uniformly; stemming/normalization applied before diversity calculation</t>
  </si>
  <si>
    <t xml:space="preserve">Entropy / HHI calculation</t>
  </si>
  <si>
    <t xml:space="preserve">Verify entropy uses log₂ consistently; HHI = sum of squared proportions, ranges 0–1</t>
  </si>
  <si>
    <t xml:space="preserve">Co-authorship network definition</t>
  </si>
  <si>
    <t xml:space="preserve">Cross-dept defined as authors from 2+ distinct departments within the same institution</t>
  </si>
  <si>
    <t xml:space="preserve">Network density formula</t>
  </si>
  <si>
    <t xml:space="preserve">Density = actual edges / possible edges in co-authorship graph; verified for each university</t>
  </si>
  <si>
    <t xml:space="preserve">Normalization method</t>
  </si>
  <si>
    <t xml:space="preserve">Confirm z-scoring or min-max normalization applied consistently across all 30 universities</t>
  </si>
  <si>
    <t xml:space="preserve">Weight validation</t>
  </si>
  <si>
    <t xml:space="preserve">Sub-indicator weights sum to 100% of the RQI pillar (≈40% of total ranking)</t>
  </si>
  <si>
    <t xml:space="preserve">Year-on-year trend check</t>
  </si>
  <si>
    <t xml:space="preserve">Compare current cycle data with previous cycle to flag anomalous jumps (&gt;20% change)</t>
  </si>
  <si>
    <t xml:space="preserve">Reproducibility test</t>
  </si>
  <si>
    <t xml:space="preserve">All calculations reproducible by independent analyst using this workbook and Scopus data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</si>
</sst>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.0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7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2F8F9D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3F51B5"/>
        <bgColor rgb="FF666699"/>
      </patternFill>
    </fill>
    <fill>
      <patternFill patternType="solid">
        <fgColor rgb="FFE4D5F0"/>
        <bgColor rgb="FFD0D0D0"/>
      </patternFill>
    </fill>
    <fill>
      <patternFill patternType="solid">
        <fgColor rgb="FFD0D0D0"/>
        <bgColor rgb="FFE4D5F0"/>
      </patternFill>
    </fill>
    <fill>
      <patternFill patternType="solid">
        <fgColor rgb="FF8B0000"/>
        <bgColor rgb="FF80000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E4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0D0D0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79.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79.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79.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11</v>
      </c>
    </row>
    <row r="8" customFormat="false" ht="79.5" hidden="false" customHeight="true" outlineLevel="0" collapsed="false">
      <c r="A8" s="8" t="n">
        <v>4</v>
      </c>
      <c r="B8" s="9" t="s">
        <v>14</v>
      </c>
      <c r="C8" s="10" t="s">
        <v>15</v>
      </c>
      <c r="D8" s="11" t="s">
        <v>16</v>
      </c>
    </row>
    <row r="9" customFormat="false" ht="79.5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19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15" hidden="false" customHeight="true" outlineLevel="0" collapsed="false">
      <c r="A12" s="13" t="s">
        <v>21</v>
      </c>
      <c r="B12" s="13"/>
      <c r="C12" s="13"/>
      <c r="D12" s="13"/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5.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5.0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6" t="n">
        <f aca="false">IF(D4&gt;0,E4/D4*100,0)</f>
        <v>0</v>
      </c>
      <c r="G4" s="17"/>
      <c r="H4" s="17"/>
      <c r="I4" s="15"/>
      <c r="J4" s="16" t="n">
        <f aca="false">IF(E4&gt;0,I4/E4*100,0)</f>
        <v>0</v>
      </c>
      <c r="K4" s="15"/>
      <c r="L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9" t="n">
        <f aca="false">IF(D5&gt;0,E5/D5*100,0)</f>
        <v>0</v>
      </c>
      <c r="G5" s="20"/>
      <c r="H5" s="20"/>
      <c r="I5" s="18"/>
      <c r="J5" s="19" t="n">
        <f aca="false">IF(E5&gt;0,I5/E5*100,0)</f>
        <v>0</v>
      </c>
      <c r="K5" s="18"/>
      <c r="L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6" t="n">
        <f aca="false">IF(D6&gt;0,E6/D6*100,0)</f>
        <v>0</v>
      </c>
      <c r="G6" s="17"/>
      <c r="H6" s="17"/>
      <c r="I6" s="15"/>
      <c r="J6" s="16" t="n">
        <f aca="false">IF(E6&gt;0,I6/E6*100,0)</f>
        <v>0</v>
      </c>
      <c r="K6" s="15"/>
      <c r="L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9" t="n">
        <f aca="false">IF(D7&gt;0,E7/D7*100,0)</f>
        <v>0</v>
      </c>
      <c r="G7" s="20"/>
      <c r="H7" s="20"/>
      <c r="I7" s="18"/>
      <c r="J7" s="19" t="n">
        <f aca="false">IF(E7&gt;0,I7/E7*100,0)</f>
        <v>0</v>
      </c>
      <c r="K7" s="18"/>
      <c r="L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6" t="n">
        <f aca="false">IF(D8&gt;0,E8/D8*100,0)</f>
        <v>0</v>
      </c>
      <c r="G8" s="17"/>
      <c r="H8" s="17"/>
      <c r="I8" s="15"/>
      <c r="J8" s="16" t="n">
        <f aca="false">IF(E8&gt;0,I8/E8*100,0)</f>
        <v>0</v>
      </c>
      <c r="K8" s="15"/>
      <c r="L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9" t="n">
        <f aca="false">IF(D9&gt;0,E9/D9*100,0)</f>
        <v>0</v>
      </c>
      <c r="G9" s="20"/>
      <c r="H9" s="20"/>
      <c r="I9" s="18"/>
      <c r="J9" s="19" t="n">
        <f aca="false">IF(E9&gt;0,I9/E9*100,0)</f>
        <v>0</v>
      </c>
      <c r="K9" s="18"/>
      <c r="L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6" t="n">
        <f aca="false">IF(D10&gt;0,E10/D10*100,0)</f>
        <v>0</v>
      </c>
      <c r="G10" s="17"/>
      <c r="H10" s="17"/>
      <c r="I10" s="15"/>
      <c r="J10" s="16" t="n">
        <f aca="false">IF(E10&gt;0,I10/E10*100,0)</f>
        <v>0</v>
      </c>
      <c r="K10" s="15"/>
      <c r="L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9" t="n">
        <f aca="false">IF(D11&gt;0,E11/D11*100,0)</f>
        <v>0</v>
      </c>
      <c r="G11" s="20"/>
      <c r="H11" s="20"/>
      <c r="I11" s="18"/>
      <c r="J11" s="19" t="n">
        <f aca="false">IF(E11&gt;0,I11/E11*100,0)</f>
        <v>0</v>
      </c>
      <c r="K11" s="18"/>
      <c r="L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6" t="n">
        <f aca="false">IF(D12&gt;0,E12/D12*100,0)</f>
        <v>0</v>
      </c>
      <c r="G12" s="17"/>
      <c r="H12" s="17"/>
      <c r="I12" s="15"/>
      <c r="J12" s="16" t="n">
        <f aca="false">IF(E12&gt;0,I12/E12*100,0)</f>
        <v>0</v>
      </c>
      <c r="K12" s="15"/>
      <c r="L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9" t="n">
        <f aca="false">IF(D13&gt;0,E13/D13*100,0)</f>
        <v>0</v>
      </c>
      <c r="G13" s="20"/>
      <c r="H13" s="20"/>
      <c r="I13" s="18"/>
      <c r="J13" s="19" t="n">
        <f aca="false">IF(E13&gt;0,I13/E13*100,0)</f>
        <v>0</v>
      </c>
      <c r="K13" s="18"/>
      <c r="L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6" t="n">
        <f aca="false">IF(D14&gt;0,E14/D14*100,0)</f>
        <v>0</v>
      </c>
      <c r="G14" s="17"/>
      <c r="H14" s="17"/>
      <c r="I14" s="15"/>
      <c r="J14" s="16" t="n">
        <f aca="false">IF(E14&gt;0,I14/E14*100,0)</f>
        <v>0</v>
      </c>
      <c r="K14" s="15"/>
      <c r="L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9" t="n">
        <f aca="false">IF(D15&gt;0,E15/D15*100,0)</f>
        <v>0</v>
      </c>
      <c r="G15" s="20"/>
      <c r="H15" s="20"/>
      <c r="I15" s="18"/>
      <c r="J15" s="19" t="n">
        <f aca="false">IF(E15&gt;0,I15/E15*100,0)</f>
        <v>0</v>
      </c>
      <c r="K15" s="18"/>
      <c r="L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6" t="n">
        <f aca="false">IF(D16&gt;0,E16/D16*100,0)</f>
        <v>0</v>
      </c>
      <c r="G16" s="17"/>
      <c r="H16" s="17"/>
      <c r="I16" s="15"/>
      <c r="J16" s="16" t="n">
        <f aca="false">IF(E16&gt;0,I16/E16*100,0)</f>
        <v>0</v>
      </c>
      <c r="K16" s="15"/>
      <c r="L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9" t="n">
        <f aca="false">IF(D17&gt;0,E17/D17*100,0)</f>
        <v>0</v>
      </c>
      <c r="G17" s="20"/>
      <c r="H17" s="20"/>
      <c r="I17" s="18"/>
      <c r="J17" s="19" t="n">
        <f aca="false">IF(E17&gt;0,I17/E17*100,0)</f>
        <v>0</v>
      </c>
      <c r="K17" s="18"/>
      <c r="L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6" t="n">
        <f aca="false">IF(D18&gt;0,E18/D18*100,0)</f>
        <v>0</v>
      </c>
      <c r="G18" s="17"/>
      <c r="H18" s="17"/>
      <c r="I18" s="15"/>
      <c r="J18" s="16" t="n">
        <f aca="false">IF(E18&gt;0,I18/E18*100,0)</f>
        <v>0</v>
      </c>
      <c r="K18" s="15"/>
      <c r="L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9" t="n">
        <f aca="false">IF(D19&gt;0,E19/D19*100,0)</f>
        <v>0</v>
      </c>
      <c r="G19" s="20"/>
      <c r="H19" s="20"/>
      <c r="I19" s="18"/>
      <c r="J19" s="19" t="n">
        <f aca="false">IF(E19&gt;0,I19/E19*100,0)</f>
        <v>0</v>
      </c>
      <c r="K19" s="18"/>
      <c r="L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6" t="n">
        <f aca="false">IF(D20&gt;0,E20/D20*100,0)</f>
        <v>0</v>
      </c>
      <c r="G20" s="17"/>
      <c r="H20" s="17"/>
      <c r="I20" s="15"/>
      <c r="J20" s="16" t="n">
        <f aca="false">IF(E20&gt;0,I20/E20*100,0)</f>
        <v>0</v>
      </c>
      <c r="K20" s="15"/>
      <c r="L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9" t="n">
        <f aca="false">IF(D21&gt;0,E21/D21*100,0)</f>
        <v>0</v>
      </c>
      <c r="G21" s="20"/>
      <c r="H21" s="20"/>
      <c r="I21" s="18"/>
      <c r="J21" s="19" t="n">
        <f aca="false">IF(E21&gt;0,I21/E21*100,0)</f>
        <v>0</v>
      </c>
      <c r="K21" s="18"/>
      <c r="L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6" t="n">
        <f aca="false">IF(D22&gt;0,E22/D22*100,0)</f>
        <v>0</v>
      </c>
      <c r="G22" s="17"/>
      <c r="H22" s="17"/>
      <c r="I22" s="15"/>
      <c r="J22" s="16" t="n">
        <f aca="false">IF(E22&gt;0,I22/E22*100,0)</f>
        <v>0</v>
      </c>
      <c r="K22" s="15"/>
      <c r="L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9" t="n">
        <f aca="false">IF(D23&gt;0,E23/D23*100,0)</f>
        <v>0</v>
      </c>
      <c r="G23" s="20"/>
      <c r="H23" s="20"/>
      <c r="I23" s="18"/>
      <c r="J23" s="19" t="n">
        <f aca="false">IF(E23&gt;0,I23/E23*100,0)</f>
        <v>0</v>
      </c>
      <c r="K23" s="18"/>
      <c r="L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6" t="n">
        <f aca="false">IF(D24&gt;0,E24/D24*100,0)</f>
        <v>0</v>
      </c>
      <c r="G24" s="17"/>
      <c r="H24" s="17"/>
      <c r="I24" s="15"/>
      <c r="J24" s="16" t="n">
        <f aca="false">IF(E24&gt;0,I24/E24*100,0)</f>
        <v>0</v>
      </c>
      <c r="K24" s="15"/>
      <c r="L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9" t="n">
        <f aca="false">IF(D25&gt;0,E25/D25*100,0)</f>
        <v>0</v>
      </c>
      <c r="G25" s="20"/>
      <c r="H25" s="20"/>
      <c r="I25" s="18"/>
      <c r="J25" s="19" t="n">
        <f aca="false">IF(E25&gt;0,I25/E25*100,0)</f>
        <v>0</v>
      </c>
      <c r="K25" s="18"/>
      <c r="L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6" t="n">
        <f aca="false">IF(D26&gt;0,E26/D26*100,0)</f>
        <v>0</v>
      </c>
      <c r="G26" s="17"/>
      <c r="H26" s="17"/>
      <c r="I26" s="15"/>
      <c r="J26" s="16" t="n">
        <f aca="false">IF(E26&gt;0,I26/E26*100,0)</f>
        <v>0</v>
      </c>
      <c r="K26" s="15"/>
      <c r="L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9" t="n">
        <f aca="false">IF(D27&gt;0,E27/D27*100,0)</f>
        <v>0</v>
      </c>
      <c r="G27" s="20"/>
      <c r="H27" s="20"/>
      <c r="I27" s="18"/>
      <c r="J27" s="19" t="n">
        <f aca="false">IF(E27&gt;0,I27/E27*100,0)</f>
        <v>0</v>
      </c>
      <c r="K27" s="18"/>
      <c r="L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6" t="n">
        <f aca="false">IF(D28&gt;0,E28/D28*100,0)</f>
        <v>0</v>
      </c>
      <c r="G28" s="17"/>
      <c r="H28" s="17"/>
      <c r="I28" s="15"/>
      <c r="J28" s="16" t="n">
        <f aca="false">IF(E28&gt;0,I28/E28*100,0)</f>
        <v>0</v>
      </c>
      <c r="K28" s="15"/>
      <c r="L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9" t="n">
        <f aca="false">IF(D29&gt;0,E29/D29*100,0)</f>
        <v>0</v>
      </c>
      <c r="G29" s="20"/>
      <c r="H29" s="20"/>
      <c r="I29" s="18"/>
      <c r="J29" s="19" t="n">
        <f aca="false">IF(E29&gt;0,I29/E29*100,0)</f>
        <v>0</v>
      </c>
      <c r="K29" s="18"/>
      <c r="L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6" t="n">
        <f aca="false">IF(D30&gt;0,E30/D30*100,0)</f>
        <v>0</v>
      </c>
      <c r="G30" s="17"/>
      <c r="H30" s="17"/>
      <c r="I30" s="15"/>
      <c r="J30" s="16" t="n">
        <f aca="false">IF(E30&gt;0,I30/E30*100,0)</f>
        <v>0</v>
      </c>
      <c r="K30" s="15"/>
      <c r="L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9" t="n">
        <f aca="false">IF(D31&gt;0,E31/D31*100,0)</f>
        <v>0</v>
      </c>
      <c r="G31" s="20"/>
      <c r="H31" s="20"/>
      <c r="I31" s="18"/>
      <c r="J31" s="19" t="n">
        <f aca="false">IF(E31&gt;0,I31/E31*100,0)</f>
        <v>0</v>
      </c>
      <c r="K31" s="18"/>
      <c r="L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6" t="n">
        <f aca="false">IF(D32&gt;0,E32/D32*100,0)</f>
        <v>0</v>
      </c>
      <c r="G32" s="17"/>
      <c r="H32" s="17"/>
      <c r="I32" s="15"/>
      <c r="J32" s="16" t="n">
        <f aca="false">IF(E32&gt;0,I32/E32*100,0)</f>
        <v>0</v>
      </c>
      <c r="K32" s="15"/>
      <c r="L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9" t="n">
        <f aca="false">IF(D33&gt;0,E33/D33*100,0)</f>
        <v>0</v>
      </c>
      <c r="G33" s="20"/>
      <c r="H33" s="20"/>
      <c r="I33" s="18"/>
      <c r="J33" s="19" t="n">
        <f aca="false">IF(E33&gt;0,I33/E33*100,0)</f>
        <v>0</v>
      </c>
      <c r="K33" s="18"/>
      <c r="L33" s="18"/>
    </row>
    <row r="35" customFormat="false" ht="25.5" hidden="false" customHeight="true" outlineLevel="0" collapsed="false">
      <c r="A35" s="21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customFormat="false" ht="15" hidden="false" customHeight="true" outlineLevel="0" collapsed="false">
      <c r="A36" s="22" t="s">
        <v>44</v>
      </c>
      <c r="B36" s="22"/>
      <c r="C36" s="22"/>
      <c r="D36" s="22"/>
      <c r="E36" s="22"/>
      <c r="F36" s="23" t="n">
        <f aca="false">IF(COUNTA(G4:G33)&gt;0,AVERAGE(G4:G33),0)</f>
        <v>0</v>
      </c>
      <c r="G36" s="24"/>
      <c r="H36" s="24"/>
      <c r="I36" s="24"/>
      <c r="J36" s="24"/>
      <c r="K36" s="24"/>
      <c r="L36" s="24"/>
    </row>
    <row r="37" customFormat="false" ht="15" hidden="false" customHeight="true" outlineLevel="0" collapsed="false">
      <c r="A37" s="22" t="s">
        <v>45</v>
      </c>
      <c r="B37" s="22"/>
      <c r="C37" s="22"/>
      <c r="D37" s="22"/>
      <c r="E37" s="22"/>
      <c r="F37" s="23" t="n">
        <f aca="false">IF(COUNTA(H4:H33)&gt;0,AVERAGE(H4:H33),0)</f>
        <v>0</v>
      </c>
      <c r="G37" s="24"/>
      <c r="H37" s="24"/>
      <c r="I37" s="24"/>
      <c r="J37" s="24"/>
      <c r="K37" s="24"/>
      <c r="L37" s="24"/>
    </row>
    <row r="38" customFormat="false" ht="15" hidden="false" customHeight="true" outlineLevel="0" collapsed="false">
      <c r="A38" s="22" t="s">
        <v>46</v>
      </c>
      <c r="B38" s="22"/>
      <c r="C38" s="22"/>
      <c r="D38" s="22"/>
      <c r="E38" s="22"/>
      <c r="F38" s="23" t="n">
        <f aca="false">IF(COUNTA(F4:F33)&gt;0,AVERAGE(F4:F33),0)</f>
        <v>0</v>
      </c>
      <c r="G38" s="24"/>
      <c r="H38" s="24"/>
      <c r="I38" s="24"/>
      <c r="J38" s="24"/>
      <c r="K38" s="24"/>
      <c r="L38" s="24"/>
    </row>
    <row r="39" customFormat="false" ht="15" hidden="false" customHeight="true" outlineLevel="0" collapsed="false">
      <c r="A39" s="22" t="s">
        <v>47</v>
      </c>
      <c r="B39" s="22"/>
      <c r="C39" s="22"/>
      <c r="D39" s="22"/>
      <c r="E39" s="22"/>
      <c r="F39" s="23" t="n">
        <f aca="false">SUM(E4:E33)</f>
        <v>0</v>
      </c>
      <c r="G39" s="24"/>
      <c r="H39" s="24"/>
      <c r="I39" s="24"/>
      <c r="J39" s="24"/>
      <c r="K39" s="24"/>
      <c r="L39" s="24"/>
    </row>
  </sheetData>
  <mergeCells count="7">
    <mergeCell ref="A1:L1"/>
    <mergeCell ref="A2:L2"/>
    <mergeCell ref="A35:L35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25.5" hidden="false" customHeight="true" outlineLevel="0" collapsed="false">
      <c r="A2" s="26" t="s">
        <v>49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customFormat="false" ht="23.85" hidden="false" customHeight="false" outlineLevel="0" collapsed="false">
      <c r="A3" s="27" t="s">
        <v>31</v>
      </c>
      <c r="B3" s="27" t="s">
        <v>32</v>
      </c>
      <c r="C3" s="27" t="s">
        <v>50</v>
      </c>
      <c r="D3" s="27" t="s">
        <v>51</v>
      </c>
      <c r="E3" s="27" t="s">
        <v>52</v>
      </c>
      <c r="F3" s="27" t="s">
        <v>53</v>
      </c>
      <c r="G3" s="27" t="s">
        <v>54</v>
      </c>
      <c r="H3" s="27" t="s">
        <v>55</v>
      </c>
      <c r="I3" s="27" t="s">
        <v>36</v>
      </c>
      <c r="J3" s="27" t="s">
        <v>56</v>
      </c>
      <c r="K3" s="27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5"/>
      <c r="G4" s="15"/>
      <c r="H4" s="8" t="n">
        <f aca="false">SUM(E4:G4)</f>
        <v>0</v>
      </c>
      <c r="I4" s="16" t="n">
        <f aca="false">IF(C4&gt;0,H4/C4*100,0)</f>
        <v>0</v>
      </c>
      <c r="J4" s="16" t="n">
        <f aca="false">IF(C4&gt;0,(E4*1+F4*2+G4*3)/(C4*3)*100,0)</f>
        <v>0</v>
      </c>
      <c r="K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8"/>
      <c r="H5" s="4" t="n">
        <f aca="false">SUM(E5:G5)</f>
        <v>0</v>
      </c>
      <c r="I5" s="19" t="n">
        <f aca="false">IF(C5&gt;0,H5/C5*100,0)</f>
        <v>0</v>
      </c>
      <c r="J5" s="19" t="n">
        <f aca="false">IF(C5&gt;0,(E5*1+F5*2+G5*3)/(C5*3)*100,0)</f>
        <v>0</v>
      </c>
      <c r="K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5"/>
      <c r="G6" s="15"/>
      <c r="H6" s="8" t="n">
        <f aca="false">SUM(E6:G6)</f>
        <v>0</v>
      </c>
      <c r="I6" s="16" t="n">
        <f aca="false">IF(C6&gt;0,H6/C6*100,0)</f>
        <v>0</v>
      </c>
      <c r="J6" s="16" t="n">
        <f aca="false">IF(C6&gt;0,(E6*1+F6*2+G6*3)/(C6*3)*100,0)</f>
        <v>0</v>
      </c>
      <c r="K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8"/>
      <c r="H7" s="4" t="n">
        <f aca="false">SUM(E7:G7)</f>
        <v>0</v>
      </c>
      <c r="I7" s="19" t="n">
        <f aca="false">IF(C7&gt;0,H7/C7*100,0)</f>
        <v>0</v>
      </c>
      <c r="J7" s="19" t="n">
        <f aca="false">IF(C7&gt;0,(E7*1+F7*2+G7*3)/(C7*3)*100,0)</f>
        <v>0</v>
      </c>
      <c r="K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5"/>
      <c r="G8" s="15"/>
      <c r="H8" s="8" t="n">
        <f aca="false">SUM(E8:G8)</f>
        <v>0</v>
      </c>
      <c r="I8" s="16" t="n">
        <f aca="false">IF(C8&gt;0,H8/C8*100,0)</f>
        <v>0</v>
      </c>
      <c r="J8" s="16" t="n">
        <f aca="false">IF(C8&gt;0,(E8*1+F8*2+G8*3)/(C8*3)*100,0)</f>
        <v>0</v>
      </c>
      <c r="K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8"/>
      <c r="H9" s="4" t="n">
        <f aca="false">SUM(E9:G9)</f>
        <v>0</v>
      </c>
      <c r="I9" s="19" t="n">
        <f aca="false">IF(C9&gt;0,H9/C9*100,0)</f>
        <v>0</v>
      </c>
      <c r="J9" s="19" t="n">
        <f aca="false">IF(C9&gt;0,(E9*1+F9*2+G9*3)/(C9*3)*100,0)</f>
        <v>0</v>
      </c>
      <c r="K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5"/>
      <c r="G10" s="15"/>
      <c r="H10" s="8" t="n">
        <f aca="false">SUM(E10:G10)</f>
        <v>0</v>
      </c>
      <c r="I10" s="16" t="n">
        <f aca="false">IF(C10&gt;0,H10/C10*100,0)</f>
        <v>0</v>
      </c>
      <c r="J10" s="16" t="n">
        <f aca="false">IF(C10&gt;0,(E10*1+F10*2+G10*3)/(C10*3)*100,0)</f>
        <v>0</v>
      </c>
      <c r="K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8"/>
      <c r="H11" s="4" t="n">
        <f aca="false">SUM(E11:G11)</f>
        <v>0</v>
      </c>
      <c r="I11" s="19" t="n">
        <f aca="false">IF(C11&gt;0,H11/C11*100,0)</f>
        <v>0</v>
      </c>
      <c r="J11" s="19" t="n">
        <f aca="false">IF(C11&gt;0,(E11*1+F11*2+G11*3)/(C11*3)*100,0)</f>
        <v>0</v>
      </c>
      <c r="K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5"/>
      <c r="G12" s="15"/>
      <c r="H12" s="8" t="n">
        <f aca="false">SUM(E12:G12)</f>
        <v>0</v>
      </c>
      <c r="I12" s="16" t="n">
        <f aca="false">IF(C12&gt;0,H12/C12*100,0)</f>
        <v>0</v>
      </c>
      <c r="J12" s="16" t="n">
        <f aca="false">IF(C12&gt;0,(E12*1+F12*2+G12*3)/(C12*3)*100,0)</f>
        <v>0</v>
      </c>
      <c r="K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8"/>
      <c r="H13" s="4" t="n">
        <f aca="false">SUM(E13:G13)</f>
        <v>0</v>
      </c>
      <c r="I13" s="19" t="n">
        <f aca="false">IF(C13&gt;0,H13/C13*100,0)</f>
        <v>0</v>
      </c>
      <c r="J13" s="19" t="n">
        <f aca="false">IF(C13&gt;0,(E13*1+F13*2+G13*3)/(C13*3)*100,0)</f>
        <v>0</v>
      </c>
      <c r="K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5"/>
      <c r="G14" s="15"/>
      <c r="H14" s="8" t="n">
        <f aca="false">SUM(E14:G14)</f>
        <v>0</v>
      </c>
      <c r="I14" s="16" t="n">
        <f aca="false">IF(C14&gt;0,H14/C14*100,0)</f>
        <v>0</v>
      </c>
      <c r="J14" s="16" t="n">
        <f aca="false">IF(C14&gt;0,(E14*1+F14*2+G14*3)/(C14*3)*100,0)</f>
        <v>0</v>
      </c>
      <c r="K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8"/>
      <c r="H15" s="4" t="n">
        <f aca="false">SUM(E15:G15)</f>
        <v>0</v>
      </c>
      <c r="I15" s="19" t="n">
        <f aca="false">IF(C15&gt;0,H15/C15*100,0)</f>
        <v>0</v>
      </c>
      <c r="J15" s="19" t="n">
        <f aca="false">IF(C15&gt;0,(E15*1+F15*2+G15*3)/(C15*3)*100,0)</f>
        <v>0</v>
      </c>
      <c r="K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5"/>
      <c r="G16" s="15"/>
      <c r="H16" s="8" t="n">
        <f aca="false">SUM(E16:G16)</f>
        <v>0</v>
      </c>
      <c r="I16" s="16" t="n">
        <f aca="false">IF(C16&gt;0,H16/C16*100,0)</f>
        <v>0</v>
      </c>
      <c r="J16" s="16" t="n">
        <f aca="false">IF(C16&gt;0,(E16*1+F16*2+G16*3)/(C16*3)*100,0)</f>
        <v>0</v>
      </c>
      <c r="K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8"/>
      <c r="H17" s="4" t="n">
        <f aca="false">SUM(E17:G17)</f>
        <v>0</v>
      </c>
      <c r="I17" s="19" t="n">
        <f aca="false">IF(C17&gt;0,H17/C17*100,0)</f>
        <v>0</v>
      </c>
      <c r="J17" s="19" t="n">
        <f aca="false">IF(C17&gt;0,(E17*1+F17*2+G17*3)/(C17*3)*100,0)</f>
        <v>0</v>
      </c>
      <c r="K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5"/>
      <c r="G18" s="15"/>
      <c r="H18" s="8" t="n">
        <f aca="false">SUM(E18:G18)</f>
        <v>0</v>
      </c>
      <c r="I18" s="16" t="n">
        <f aca="false">IF(C18&gt;0,H18/C18*100,0)</f>
        <v>0</v>
      </c>
      <c r="J18" s="16" t="n">
        <f aca="false">IF(C18&gt;0,(E18*1+F18*2+G18*3)/(C18*3)*100,0)</f>
        <v>0</v>
      </c>
      <c r="K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8"/>
      <c r="H19" s="4" t="n">
        <f aca="false">SUM(E19:G19)</f>
        <v>0</v>
      </c>
      <c r="I19" s="19" t="n">
        <f aca="false">IF(C19&gt;0,H19/C19*100,0)</f>
        <v>0</v>
      </c>
      <c r="J19" s="19" t="n">
        <f aca="false">IF(C19&gt;0,(E19*1+F19*2+G19*3)/(C19*3)*100,0)</f>
        <v>0</v>
      </c>
      <c r="K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5"/>
      <c r="G20" s="15"/>
      <c r="H20" s="8" t="n">
        <f aca="false">SUM(E20:G20)</f>
        <v>0</v>
      </c>
      <c r="I20" s="16" t="n">
        <f aca="false">IF(C20&gt;0,H20/C20*100,0)</f>
        <v>0</v>
      </c>
      <c r="J20" s="16" t="n">
        <f aca="false">IF(C20&gt;0,(E20*1+F20*2+G20*3)/(C20*3)*100,0)</f>
        <v>0</v>
      </c>
      <c r="K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8"/>
      <c r="H21" s="4" t="n">
        <f aca="false">SUM(E21:G21)</f>
        <v>0</v>
      </c>
      <c r="I21" s="19" t="n">
        <f aca="false">IF(C21&gt;0,H21/C21*100,0)</f>
        <v>0</v>
      </c>
      <c r="J21" s="19" t="n">
        <f aca="false">IF(C21&gt;0,(E21*1+F21*2+G21*3)/(C21*3)*100,0)</f>
        <v>0</v>
      </c>
      <c r="K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5"/>
      <c r="G22" s="15"/>
      <c r="H22" s="8" t="n">
        <f aca="false">SUM(E22:G22)</f>
        <v>0</v>
      </c>
      <c r="I22" s="16" t="n">
        <f aca="false">IF(C22&gt;0,H22/C22*100,0)</f>
        <v>0</v>
      </c>
      <c r="J22" s="16" t="n">
        <f aca="false">IF(C22&gt;0,(E22*1+F22*2+G22*3)/(C22*3)*100,0)</f>
        <v>0</v>
      </c>
      <c r="K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8"/>
      <c r="H23" s="4" t="n">
        <f aca="false">SUM(E23:G23)</f>
        <v>0</v>
      </c>
      <c r="I23" s="19" t="n">
        <f aca="false">IF(C23&gt;0,H23/C23*100,0)</f>
        <v>0</v>
      </c>
      <c r="J23" s="19" t="n">
        <f aca="false">IF(C23&gt;0,(E23*1+F23*2+G23*3)/(C23*3)*100,0)</f>
        <v>0</v>
      </c>
      <c r="K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5"/>
      <c r="G24" s="15"/>
      <c r="H24" s="8" t="n">
        <f aca="false">SUM(E24:G24)</f>
        <v>0</v>
      </c>
      <c r="I24" s="16" t="n">
        <f aca="false">IF(C24&gt;0,H24/C24*100,0)</f>
        <v>0</v>
      </c>
      <c r="J24" s="16" t="n">
        <f aca="false">IF(C24&gt;0,(E24*1+F24*2+G24*3)/(C24*3)*100,0)</f>
        <v>0</v>
      </c>
      <c r="K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8"/>
      <c r="H25" s="4" t="n">
        <f aca="false">SUM(E25:G25)</f>
        <v>0</v>
      </c>
      <c r="I25" s="19" t="n">
        <f aca="false">IF(C25&gt;0,H25/C25*100,0)</f>
        <v>0</v>
      </c>
      <c r="J25" s="19" t="n">
        <f aca="false">IF(C25&gt;0,(E25*1+F25*2+G25*3)/(C25*3)*100,0)</f>
        <v>0</v>
      </c>
      <c r="K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5"/>
      <c r="G26" s="15"/>
      <c r="H26" s="8" t="n">
        <f aca="false">SUM(E26:G26)</f>
        <v>0</v>
      </c>
      <c r="I26" s="16" t="n">
        <f aca="false">IF(C26&gt;0,H26/C26*100,0)</f>
        <v>0</v>
      </c>
      <c r="J26" s="16" t="n">
        <f aca="false">IF(C26&gt;0,(E26*1+F26*2+G26*3)/(C26*3)*100,0)</f>
        <v>0</v>
      </c>
      <c r="K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8"/>
      <c r="H27" s="4" t="n">
        <f aca="false">SUM(E27:G27)</f>
        <v>0</v>
      </c>
      <c r="I27" s="19" t="n">
        <f aca="false">IF(C27&gt;0,H27/C27*100,0)</f>
        <v>0</v>
      </c>
      <c r="J27" s="19" t="n">
        <f aca="false">IF(C27&gt;0,(E27*1+F27*2+G27*3)/(C27*3)*100,0)</f>
        <v>0</v>
      </c>
      <c r="K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5"/>
      <c r="G28" s="15"/>
      <c r="H28" s="8" t="n">
        <f aca="false">SUM(E28:G28)</f>
        <v>0</v>
      </c>
      <c r="I28" s="16" t="n">
        <f aca="false">IF(C28&gt;0,H28/C28*100,0)</f>
        <v>0</v>
      </c>
      <c r="J28" s="16" t="n">
        <f aca="false">IF(C28&gt;0,(E28*1+F28*2+G28*3)/(C28*3)*100,0)</f>
        <v>0</v>
      </c>
      <c r="K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8"/>
      <c r="H29" s="4" t="n">
        <f aca="false">SUM(E29:G29)</f>
        <v>0</v>
      </c>
      <c r="I29" s="19" t="n">
        <f aca="false">IF(C29&gt;0,H29/C29*100,0)</f>
        <v>0</v>
      </c>
      <c r="J29" s="19" t="n">
        <f aca="false">IF(C29&gt;0,(E29*1+F29*2+G29*3)/(C29*3)*100,0)</f>
        <v>0</v>
      </c>
      <c r="K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5"/>
      <c r="G30" s="15"/>
      <c r="H30" s="8" t="n">
        <f aca="false">SUM(E30:G30)</f>
        <v>0</v>
      </c>
      <c r="I30" s="16" t="n">
        <f aca="false">IF(C30&gt;0,H30/C30*100,0)</f>
        <v>0</v>
      </c>
      <c r="J30" s="16" t="n">
        <f aca="false">IF(C30&gt;0,(E30*1+F30*2+G30*3)/(C30*3)*100,0)</f>
        <v>0</v>
      </c>
      <c r="K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8"/>
      <c r="H31" s="4" t="n">
        <f aca="false">SUM(E31:G31)</f>
        <v>0</v>
      </c>
      <c r="I31" s="19" t="n">
        <f aca="false">IF(C31&gt;0,H31/C31*100,0)</f>
        <v>0</v>
      </c>
      <c r="J31" s="19" t="n">
        <f aca="false">IF(C31&gt;0,(E31*1+F31*2+G31*3)/(C31*3)*100,0)</f>
        <v>0</v>
      </c>
      <c r="K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5"/>
      <c r="G32" s="15"/>
      <c r="H32" s="8" t="n">
        <f aca="false">SUM(E32:G32)</f>
        <v>0</v>
      </c>
      <c r="I32" s="16" t="n">
        <f aca="false">IF(C32&gt;0,H32/C32*100,0)</f>
        <v>0</v>
      </c>
      <c r="J32" s="16" t="n">
        <f aca="false">IF(C32&gt;0,(E32*1+F32*2+G32*3)/(C32*3)*100,0)</f>
        <v>0</v>
      </c>
      <c r="K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8"/>
      <c r="H33" s="4" t="n">
        <f aca="false">SUM(E33:G33)</f>
        <v>0</v>
      </c>
      <c r="I33" s="19" t="n">
        <f aca="false">IF(C33&gt;0,H33/C33*100,0)</f>
        <v>0</v>
      </c>
      <c r="J33" s="19" t="n">
        <f aca="false">IF(C33&gt;0,(E33*1+F33*2+G33*3)/(C33*3)*100,0)</f>
        <v>0</v>
      </c>
      <c r="K33" s="18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8" t="s">
        <v>57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25.5" hidden="false" customHeight="true" outlineLevel="0" collapsed="false">
      <c r="A2" s="29" t="s">
        <v>58</v>
      </c>
      <c r="B2" s="29"/>
      <c r="C2" s="29"/>
      <c r="D2" s="29"/>
      <c r="E2" s="29"/>
      <c r="F2" s="29"/>
      <c r="G2" s="29"/>
      <c r="H2" s="29"/>
      <c r="I2" s="29"/>
      <c r="J2" s="29"/>
    </row>
    <row r="3" customFormat="false" ht="23.85" hidden="false" customHeight="false" outlineLevel="0" collapsed="false">
      <c r="A3" s="30" t="s">
        <v>31</v>
      </c>
      <c r="B3" s="30" t="s">
        <v>32</v>
      </c>
      <c r="C3" s="30" t="s">
        <v>33</v>
      </c>
      <c r="D3" s="30" t="s">
        <v>59</v>
      </c>
      <c r="E3" s="30" t="s">
        <v>60</v>
      </c>
      <c r="F3" s="30" t="s">
        <v>61</v>
      </c>
      <c r="G3" s="30" t="s">
        <v>62</v>
      </c>
      <c r="H3" s="30" t="s">
        <v>63</v>
      </c>
      <c r="I3" s="30" t="s">
        <v>64</v>
      </c>
      <c r="J3" s="30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5"/>
      <c r="G4" s="16" t="n">
        <f aca="false">IF(D4&gt;0,F4/D4*100,0)</f>
        <v>0</v>
      </c>
      <c r="H4" s="15"/>
      <c r="I4" s="15"/>
      <c r="J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9" t="n">
        <f aca="false">IF(D5&gt;0,F5/D5*100,0)</f>
        <v>0</v>
      </c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5"/>
      <c r="G6" s="16" t="n">
        <f aca="false">IF(D6&gt;0,F6/D6*100,0)</f>
        <v>0</v>
      </c>
      <c r="H6" s="15"/>
      <c r="I6" s="15"/>
      <c r="J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9" t="n">
        <f aca="false">IF(D7&gt;0,F7/D7*100,0)</f>
        <v>0</v>
      </c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5"/>
      <c r="G8" s="16" t="n">
        <f aca="false">IF(D8&gt;0,F8/D8*100,0)</f>
        <v>0</v>
      </c>
      <c r="H8" s="15"/>
      <c r="I8" s="15"/>
      <c r="J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9" t="n">
        <f aca="false">IF(D9&gt;0,F9/D9*100,0)</f>
        <v>0</v>
      </c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5"/>
      <c r="G10" s="16" t="n">
        <f aca="false">IF(D10&gt;0,F10/D10*100,0)</f>
        <v>0</v>
      </c>
      <c r="H10" s="15"/>
      <c r="I10" s="15"/>
      <c r="J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9" t="n">
        <f aca="false">IF(D11&gt;0,F11/D11*100,0)</f>
        <v>0</v>
      </c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5"/>
      <c r="G12" s="16" t="n">
        <f aca="false">IF(D12&gt;0,F12/D12*100,0)</f>
        <v>0</v>
      </c>
      <c r="H12" s="15"/>
      <c r="I12" s="15"/>
      <c r="J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9" t="n">
        <f aca="false">IF(D13&gt;0,F13/D13*100,0)</f>
        <v>0</v>
      </c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5"/>
      <c r="G14" s="16" t="n">
        <f aca="false">IF(D14&gt;0,F14/D14*100,0)</f>
        <v>0</v>
      </c>
      <c r="H14" s="15"/>
      <c r="I14" s="15"/>
      <c r="J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9" t="n">
        <f aca="false">IF(D15&gt;0,F15/D15*100,0)</f>
        <v>0</v>
      </c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5"/>
      <c r="G16" s="16" t="n">
        <f aca="false">IF(D16&gt;0,F16/D16*100,0)</f>
        <v>0</v>
      </c>
      <c r="H16" s="15"/>
      <c r="I16" s="15"/>
      <c r="J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9" t="n">
        <f aca="false">IF(D17&gt;0,F17/D17*100,0)</f>
        <v>0</v>
      </c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5"/>
      <c r="G18" s="16" t="n">
        <f aca="false">IF(D18&gt;0,F18/D18*100,0)</f>
        <v>0</v>
      </c>
      <c r="H18" s="15"/>
      <c r="I18" s="15"/>
      <c r="J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9" t="n">
        <f aca="false">IF(D19&gt;0,F19/D19*100,0)</f>
        <v>0</v>
      </c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5"/>
      <c r="G20" s="16" t="n">
        <f aca="false">IF(D20&gt;0,F20/D20*100,0)</f>
        <v>0</v>
      </c>
      <c r="H20" s="15"/>
      <c r="I20" s="15"/>
      <c r="J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9" t="n">
        <f aca="false">IF(D21&gt;0,F21/D21*100,0)</f>
        <v>0</v>
      </c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5"/>
      <c r="G22" s="16" t="n">
        <f aca="false">IF(D22&gt;0,F22/D22*100,0)</f>
        <v>0</v>
      </c>
      <c r="H22" s="15"/>
      <c r="I22" s="15"/>
      <c r="J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9" t="n">
        <f aca="false">IF(D23&gt;0,F23/D23*100,0)</f>
        <v>0</v>
      </c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5"/>
      <c r="G24" s="16" t="n">
        <f aca="false">IF(D24&gt;0,F24/D24*100,0)</f>
        <v>0</v>
      </c>
      <c r="H24" s="15"/>
      <c r="I24" s="15"/>
      <c r="J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9" t="n">
        <f aca="false">IF(D25&gt;0,F25/D25*100,0)</f>
        <v>0</v>
      </c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5"/>
      <c r="G26" s="16" t="n">
        <f aca="false">IF(D26&gt;0,F26/D26*100,0)</f>
        <v>0</v>
      </c>
      <c r="H26" s="15"/>
      <c r="I26" s="15"/>
      <c r="J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9" t="n">
        <f aca="false">IF(D27&gt;0,F27/D27*100,0)</f>
        <v>0</v>
      </c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5"/>
      <c r="G28" s="16" t="n">
        <f aca="false">IF(D28&gt;0,F28/D28*100,0)</f>
        <v>0</v>
      </c>
      <c r="H28" s="15"/>
      <c r="I28" s="15"/>
      <c r="J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9" t="n">
        <f aca="false">IF(D29&gt;0,F29/D29*100,0)</f>
        <v>0</v>
      </c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5"/>
      <c r="G30" s="16" t="n">
        <f aca="false">IF(D30&gt;0,F30/D30*100,0)</f>
        <v>0</v>
      </c>
      <c r="H30" s="15"/>
      <c r="I30" s="15"/>
      <c r="J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9" t="n">
        <f aca="false">IF(D31&gt;0,F31/D31*100,0)</f>
        <v>0</v>
      </c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5"/>
      <c r="G32" s="16" t="n">
        <f aca="false">IF(D32&gt;0,F32/D32*100,0)</f>
        <v>0</v>
      </c>
      <c r="H32" s="15"/>
      <c r="I32" s="15"/>
      <c r="J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9" t="n">
        <f aca="false">IF(D33&gt;0,F33/D33*100,0)</f>
        <v>0</v>
      </c>
      <c r="H33" s="18"/>
      <c r="I33" s="18"/>
      <c r="J33" s="1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9" min="8" style="0" width="16"/>
    <col collapsed="false" customWidth="true" hidden="false" outlineLevel="0" max="11" min="10" style="0" width="18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25.5" hidden="false" customHeight="true" outlineLevel="0" collapsed="false">
      <c r="A2" s="32" t="s">
        <v>66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customFormat="false" ht="23.85" hidden="false" customHeight="false" outlineLevel="0" collapsed="false">
      <c r="A3" s="33" t="s">
        <v>31</v>
      </c>
      <c r="B3" s="33" t="s">
        <v>32</v>
      </c>
      <c r="C3" s="33" t="s">
        <v>33</v>
      </c>
      <c r="D3" s="33" t="s">
        <v>50</v>
      </c>
      <c r="E3" s="33" t="s">
        <v>67</v>
      </c>
      <c r="F3" s="33" t="s">
        <v>68</v>
      </c>
      <c r="G3" s="33" t="s">
        <v>69</v>
      </c>
      <c r="H3" s="33" t="s">
        <v>70</v>
      </c>
      <c r="I3" s="33" t="s">
        <v>71</v>
      </c>
      <c r="J3" s="33" t="s">
        <v>72</v>
      </c>
      <c r="K3" s="33" t="s">
        <v>73</v>
      </c>
      <c r="L3" s="33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5"/>
      <c r="G4" s="16" t="n">
        <f aca="false">IF(D4&gt;0,F4/D4*100,0)</f>
        <v>0</v>
      </c>
      <c r="H4" s="15"/>
      <c r="I4" s="15"/>
      <c r="J4" s="15"/>
      <c r="K4" s="15"/>
      <c r="L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8"/>
      <c r="G5" s="19" t="n">
        <f aca="false">IF(D5&gt;0,F5/D5*100,0)</f>
        <v>0</v>
      </c>
      <c r="H5" s="18"/>
      <c r="I5" s="18"/>
      <c r="J5" s="18"/>
      <c r="K5" s="18"/>
      <c r="L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5"/>
      <c r="G6" s="16" t="n">
        <f aca="false">IF(D6&gt;0,F6/D6*100,0)</f>
        <v>0</v>
      </c>
      <c r="H6" s="15"/>
      <c r="I6" s="15"/>
      <c r="J6" s="15"/>
      <c r="K6" s="15"/>
      <c r="L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8"/>
      <c r="G7" s="19" t="n">
        <f aca="false">IF(D7&gt;0,F7/D7*100,0)</f>
        <v>0</v>
      </c>
      <c r="H7" s="18"/>
      <c r="I7" s="18"/>
      <c r="J7" s="18"/>
      <c r="K7" s="18"/>
      <c r="L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5"/>
      <c r="G8" s="16" t="n">
        <f aca="false">IF(D8&gt;0,F8/D8*100,0)</f>
        <v>0</v>
      </c>
      <c r="H8" s="15"/>
      <c r="I8" s="15"/>
      <c r="J8" s="15"/>
      <c r="K8" s="15"/>
      <c r="L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8"/>
      <c r="G9" s="19" t="n">
        <f aca="false">IF(D9&gt;0,F9/D9*100,0)</f>
        <v>0</v>
      </c>
      <c r="H9" s="18"/>
      <c r="I9" s="18"/>
      <c r="J9" s="18"/>
      <c r="K9" s="18"/>
      <c r="L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5"/>
      <c r="G10" s="16" t="n">
        <f aca="false">IF(D10&gt;0,F10/D10*100,0)</f>
        <v>0</v>
      </c>
      <c r="H10" s="15"/>
      <c r="I10" s="15"/>
      <c r="J10" s="15"/>
      <c r="K10" s="15"/>
      <c r="L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8"/>
      <c r="G11" s="19" t="n">
        <f aca="false">IF(D11&gt;0,F11/D11*100,0)</f>
        <v>0</v>
      </c>
      <c r="H11" s="18"/>
      <c r="I11" s="18"/>
      <c r="J11" s="18"/>
      <c r="K11" s="18"/>
      <c r="L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5"/>
      <c r="G12" s="16" t="n">
        <f aca="false">IF(D12&gt;0,F12/D12*100,0)</f>
        <v>0</v>
      </c>
      <c r="H12" s="15"/>
      <c r="I12" s="15"/>
      <c r="J12" s="15"/>
      <c r="K12" s="15"/>
      <c r="L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8"/>
      <c r="G13" s="19" t="n">
        <f aca="false">IF(D13&gt;0,F13/D13*100,0)</f>
        <v>0</v>
      </c>
      <c r="H13" s="18"/>
      <c r="I13" s="18"/>
      <c r="J13" s="18"/>
      <c r="K13" s="18"/>
      <c r="L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5"/>
      <c r="G14" s="16" t="n">
        <f aca="false">IF(D14&gt;0,F14/D14*100,0)</f>
        <v>0</v>
      </c>
      <c r="H14" s="15"/>
      <c r="I14" s="15"/>
      <c r="J14" s="15"/>
      <c r="K14" s="15"/>
      <c r="L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8"/>
      <c r="G15" s="19" t="n">
        <f aca="false">IF(D15&gt;0,F15/D15*100,0)</f>
        <v>0</v>
      </c>
      <c r="H15" s="18"/>
      <c r="I15" s="18"/>
      <c r="J15" s="18"/>
      <c r="K15" s="18"/>
      <c r="L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5"/>
      <c r="G16" s="16" t="n">
        <f aca="false">IF(D16&gt;0,F16/D16*100,0)</f>
        <v>0</v>
      </c>
      <c r="H16" s="15"/>
      <c r="I16" s="15"/>
      <c r="J16" s="15"/>
      <c r="K16" s="15"/>
      <c r="L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8"/>
      <c r="G17" s="19" t="n">
        <f aca="false">IF(D17&gt;0,F17/D17*100,0)</f>
        <v>0</v>
      </c>
      <c r="H17" s="18"/>
      <c r="I17" s="18"/>
      <c r="J17" s="18"/>
      <c r="K17" s="18"/>
      <c r="L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5"/>
      <c r="G18" s="16" t="n">
        <f aca="false">IF(D18&gt;0,F18/D18*100,0)</f>
        <v>0</v>
      </c>
      <c r="H18" s="15"/>
      <c r="I18" s="15"/>
      <c r="J18" s="15"/>
      <c r="K18" s="15"/>
      <c r="L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8"/>
      <c r="G19" s="19" t="n">
        <f aca="false">IF(D19&gt;0,F19/D19*100,0)</f>
        <v>0</v>
      </c>
      <c r="H19" s="18"/>
      <c r="I19" s="18"/>
      <c r="J19" s="18"/>
      <c r="K19" s="18"/>
      <c r="L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5"/>
      <c r="G20" s="16" t="n">
        <f aca="false">IF(D20&gt;0,F20/D20*100,0)</f>
        <v>0</v>
      </c>
      <c r="H20" s="15"/>
      <c r="I20" s="15"/>
      <c r="J20" s="15"/>
      <c r="K20" s="15"/>
      <c r="L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8"/>
      <c r="G21" s="19" t="n">
        <f aca="false">IF(D21&gt;0,F21/D21*100,0)</f>
        <v>0</v>
      </c>
      <c r="H21" s="18"/>
      <c r="I21" s="18"/>
      <c r="J21" s="18"/>
      <c r="K21" s="18"/>
      <c r="L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5"/>
      <c r="G22" s="16" t="n">
        <f aca="false">IF(D22&gt;0,F22/D22*100,0)</f>
        <v>0</v>
      </c>
      <c r="H22" s="15"/>
      <c r="I22" s="15"/>
      <c r="J22" s="15"/>
      <c r="K22" s="15"/>
      <c r="L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8"/>
      <c r="G23" s="19" t="n">
        <f aca="false">IF(D23&gt;0,F23/D23*100,0)</f>
        <v>0</v>
      </c>
      <c r="H23" s="18"/>
      <c r="I23" s="18"/>
      <c r="J23" s="18"/>
      <c r="K23" s="18"/>
      <c r="L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5"/>
      <c r="G24" s="16" t="n">
        <f aca="false">IF(D24&gt;0,F24/D24*100,0)</f>
        <v>0</v>
      </c>
      <c r="H24" s="15"/>
      <c r="I24" s="15"/>
      <c r="J24" s="15"/>
      <c r="K24" s="15"/>
      <c r="L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8"/>
      <c r="G25" s="19" t="n">
        <f aca="false">IF(D25&gt;0,F25/D25*100,0)</f>
        <v>0</v>
      </c>
      <c r="H25" s="18"/>
      <c r="I25" s="18"/>
      <c r="J25" s="18"/>
      <c r="K25" s="18"/>
      <c r="L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5"/>
      <c r="G26" s="16" t="n">
        <f aca="false">IF(D26&gt;0,F26/D26*100,0)</f>
        <v>0</v>
      </c>
      <c r="H26" s="15"/>
      <c r="I26" s="15"/>
      <c r="J26" s="15"/>
      <c r="K26" s="15"/>
      <c r="L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8"/>
      <c r="G27" s="19" t="n">
        <f aca="false">IF(D27&gt;0,F27/D27*100,0)</f>
        <v>0</v>
      </c>
      <c r="H27" s="18"/>
      <c r="I27" s="18"/>
      <c r="J27" s="18"/>
      <c r="K27" s="18"/>
      <c r="L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5"/>
      <c r="G28" s="16" t="n">
        <f aca="false">IF(D28&gt;0,F28/D28*100,0)</f>
        <v>0</v>
      </c>
      <c r="H28" s="15"/>
      <c r="I28" s="15"/>
      <c r="J28" s="15"/>
      <c r="K28" s="15"/>
      <c r="L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8"/>
      <c r="G29" s="19" t="n">
        <f aca="false">IF(D29&gt;0,F29/D29*100,0)</f>
        <v>0</v>
      </c>
      <c r="H29" s="18"/>
      <c r="I29" s="18"/>
      <c r="J29" s="18"/>
      <c r="K29" s="18"/>
      <c r="L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5"/>
      <c r="G30" s="16" t="n">
        <f aca="false">IF(D30&gt;0,F30/D30*100,0)</f>
        <v>0</v>
      </c>
      <c r="H30" s="15"/>
      <c r="I30" s="15"/>
      <c r="J30" s="15"/>
      <c r="K30" s="15"/>
      <c r="L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8"/>
      <c r="G31" s="19" t="n">
        <f aca="false">IF(D31&gt;0,F31/D31*100,0)</f>
        <v>0</v>
      </c>
      <c r="H31" s="18"/>
      <c r="I31" s="18"/>
      <c r="J31" s="18"/>
      <c r="K31" s="18"/>
      <c r="L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5"/>
      <c r="G32" s="16" t="n">
        <f aca="false">IF(D32&gt;0,F32/D32*100,0)</f>
        <v>0</v>
      </c>
      <c r="H32" s="15"/>
      <c r="I32" s="15"/>
      <c r="J32" s="15"/>
      <c r="K32" s="15"/>
      <c r="L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8"/>
      <c r="G33" s="19" t="n">
        <f aca="false">IF(D33&gt;0,F33/D33*100,0)</f>
        <v>0</v>
      </c>
      <c r="H33" s="18"/>
      <c r="I33" s="18"/>
      <c r="J33" s="18"/>
      <c r="K33" s="18"/>
      <c r="L33" s="1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4" t="s">
        <v>17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25.5" hidden="false" customHeight="true" outlineLevel="0" collapsed="false">
      <c r="A2" s="35" t="s">
        <v>74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35.05" hidden="false" customHeight="false" outlineLevel="0" collapsed="false">
      <c r="A3" s="36" t="s">
        <v>31</v>
      </c>
      <c r="B3" s="36" t="s">
        <v>32</v>
      </c>
      <c r="C3" s="36" t="s">
        <v>33</v>
      </c>
      <c r="D3" s="36" t="s">
        <v>75</v>
      </c>
      <c r="E3" s="36" t="s">
        <v>76</v>
      </c>
      <c r="F3" s="36" t="s">
        <v>77</v>
      </c>
      <c r="G3" s="36" t="s">
        <v>78</v>
      </c>
      <c r="H3" s="36" t="s">
        <v>79</v>
      </c>
      <c r="I3" s="36" t="s">
        <v>80</v>
      </c>
      <c r="J3" s="36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37"/>
      <c r="G4" s="15"/>
      <c r="H4" s="15"/>
      <c r="I4" s="15"/>
      <c r="J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38"/>
      <c r="G5" s="18"/>
      <c r="H5" s="18"/>
      <c r="I5" s="18"/>
      <c r="J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37"/>
      <c r="G6" s="15"/>
      <c r="H6" s="15"/>
      <c r="I6" s="15"/>
      <c r="J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38"/>
      <c r="G7" s="18"/>
      <c r="H7" s="18"/>
      <c r="I7" s="18"/>
      <c r="J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37"/>
      <c r="G8" s="15"/>
      <c r="H8" s="15"/>
      <c r="I8" s="15"/>
      <c r="J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38"/>
      <c r="G9" s="18"/>
      <c r="H9" s="18"/>
      <c r="I9" s="18"/>
      <c r="J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37"/>
      <c r="G10" s="15"/>
      <c r="H10" s="15"/>
      <c r="I10" s="15"/>
      <c r="J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38"/>
      <c r="G11" s="18"/>
      <c r="H11" s="18"/>
      <c r="I11" s="18"/>
      <c r="J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37"/>
      <c r="G12" s="15"/>
      <c r="H12" s="15"/>
      <c r="I12" s="15"/>
      <c r="J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38"/>
      <c r="G13" s="18"/>
      <c r="H13" s="18"/>
      <c r="I13" s="18"/>
      <c r="J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37"/>
      <c r="G14" s="15"/>
      <c r="H14" s="15"/>
      <c r="I14" s="15"/>
      <c r="J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38"/>
      <c r="G15" s="18"/>
      <c r="H15" s="18"/>
      <c r="I15" s="18"/>
      <c r="J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37"/>
      <c r="G16" s="15"/>
      <c r="H16" s="15"/>
      <c r="I16" s="15"/>
      <c r="J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38"/>
      <c r="G17" s="18"/>
      <c r="H17" s="18"/>
      <c r="I17" s="18"/>
      <c r="J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37"/>
      <c r="G18" s="15"/>
      <c r="H18" s="15"/>
      <c r="I18" s="15"/>
      <c r="J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38"/>
      <c r="G19" s="18"/>
      <c r="H19" s="18"/>
      <c r="I19" s="18"/>
      <c r="J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37"/>
      <c r="G20" s="15"/>
      <c r="H20" s="15"/>
      <c r="I20" s="15"/>
      <c r="J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38"/>
      <c r="G21" s="18"/>
      <c r="H21" s="18"/>
      <c r="I21" s="18"/>
      <c r="J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37"/>
      <c r="G22" s="15"/>
      <c r="H22" s="15"/>
      <c r="I22" s="15"/>
      <c r="J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38"/>
      <c r="G23" s="18"/>
      <c r="H23" s="18"/>
      <c r="I23" s="18"/>
      <c r="J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37"/>
      <c r="G24" s="15"/>
      <c r="H24" s="15"/>
      <c r="I24" s="15"/>
      <c r="J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38"/>
      <c r="G25" s="18"/>
      <c r="H25" s="18"/>
      <c r="I25" s="18"/>
      <c r="J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37"/>
      <c r="G26" s="15"/>
      <c r="H26" s="15"/>
      <c r="I26" s="15"/>
      <c r="J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38"/>
      <c r="G27" s="18"/>
      <c r="H27" s="18"/>
      <c r="I27" s="18"/>
      <c r="J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37"/>
      <c r="G28" s="15"/>
      <c r="H28" s="15"/>
      <c r="I28" s="15"/>
      <c r="J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38"/>
      <c r="G29" s="18"/>
      <c r="H29" s="18"/>
      <c r="I29" s="18"/>
      <c r="J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37"/>
      <c r="G30" s="15"/>
      <c r="H30" s="15"/>
      <c r="I30" s="15"/>
      <c r="J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38"/>
      <c r="G31" s="18"/>
      <c r="H31" s="18"/>
      <c r="I31" s="18"/>
      <c r="J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37"/>
      <c r="G32" s="15"/>
      <c r="H32" s="15"/>
      <c r="I32" s="15"/>
      <c r="J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38"/>
      <c r="G33" s="18"/>
      <c r="H33" s="18"/>
      <c r="I33" s="18"/>
      <c r="J33" s="1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A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8" min="2" style="0" width="5"/>
  </cols>
  <sheetData>
    <row r="1" customFormat="false" ht="33.75" hidden="false" customHeight="true" outlineLevel="0" collapsed="false">
      <c r="A1" s="39" t="s">
        <v>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customFormat="false" ht="25.5" hidden="false" customHeight="true" outlineLevel="0" collapsed="false">
      <c r="A2" s="40" t="s">
        <v>82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4" customFormat="false" ht="23.85" hidden="false" customHeight="false" outlineLevel="0" collapsed="false">
      <c r="A4" s="41" t="s">
        <v>83</v>
      </c>
      <c r="B4" s="42" t="s">
        <v>84</v>
      </c>
      <c r="C4" s="42" t="s">
        <v>85</v>
      </c>
      <c r="D4" s="42" t="s">
        <v>86</v>
      </c>
      <c r="E4" s="42" t="s">
        <v>87</v>
      </c>
      <c r="F4" s="42" t="s">
        <v>88</v>
      </c>
      <c r="G4" s="42" t="s">
        <v>89</v>
      </c>
      <c r="H4" s="42" t="s">
        <v>90</v>
      </c>
      <c r="I4" s="42" t="s">
        <v>91</v>
      </c>
      <c r="J4" s="42" t="s">
        <v>92</v>
      </c>
      <c r="K4" s="42" t="s">
        <v>93</v>
      </c>
      <c r="L4" s="42" t="s">
        <v>94</v>
      </c>
      <c r="M4" s="42" t="s">
        <v>95</v>
      </c>
      <c r="N4" s="42" t="s">
        <v>96</v>
      </c>
      <c r="O4" s="42" t="s">
        <v>97</v>
      </c>
      <c r="P4" s="42" t="s">
        <v>98</v>
      </c>
      <c r="Q4" s="42" t="s">
        <v>99</v>
      </c>
      <c r="R4" s="42" t="s">
        <v>100</v>
      </c>
      <c r="S4" s="42" t="s">
        <v>101</v>
      </c>
      <c r="T4" s="42" t="s">
        <v>102</v>
      </c>
      <c r="U4" s="42" t="s">
        <v>103</v>
      </c>
      <c r="V4" s="42" t="s">
        <v>104</v>
      </c>
      <c r="W4" s="42" t="s">
        <v>105</v>
      </c>
      <c r="X4" s="42" t="s">
        <v>106</v>
      </c>
      <c r="Y4" s="42" t="s">
        <v>107</v>
      </c>
      <c r="Z4" s="42" t="s">
        <v>108</v>
      </c>
      <c r="AA4" s="42" t="s">
        <v>109</v>
      </c>
      <c r="AB4" s="42" t="s">
        <v>110</v>
      </c>
    </row>
    <row r="5" customFormat="false" ht="15" hidden="false" customHeight="false" outlineLevel="0" collapsed="false">
      <c r="A5" s="43" t="s">
        <v>84</v>
      </c>
      <c r="B5" s="44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customFormat="false" ht="15" hidden="false" customHeight="false" outlineLevel="0" collapsed="false">
      <c r="A6" s="43" t="s">
        <v>85</v>
      </c>
      <c r="B6" s="15"/>
      <c r="C6" s="4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customFormat="false" ht="15" hidden="false" customHeight="false" outlineLevel="0" collapsed="false">
      <c r="A7" s="43" t="s">
        <v>86</v>
      </c>
      <c r="B7" s="18"/>
      <c r="C7" s="18"/>
      <c r="D7" s="44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customFormat="false" ht="15" hidden="false" customHeight="false" outlineLevel="0" collapsed="false">
      <c r="A8" s="43" t="s">
        <v>87</v>
      </c>
      <c r="B8" s="15"/>
      <c r="C8" s="15"/>
      <c r="D8" s="15"/>
      <c r="E8" s="4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customFormat="false" ht="15" hidden="false" customHeight="false" outlineLevel="0" collapsed="false">
      <c r="A9" s="43" t="s">
        <v>88</v>
      </c>
      <c r="B9" s="18"/>
      <c r="C9" s="18"/>
      <c r="D9" s="18"/>
      <c r="E9" s="18"/>
      <c r="F9" s="44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customFormat="false" ht="15" hidden="false" customHeight="false" outlineLevel="0" collapsed="false">
      <c r="A10" s="43" t="s">
        <v>89</v>
      </c>
      <c r="B10" s="15"/>
      <c r="C10" s="15"/>
      <c r="D10" s="15"/>
      <c r="E10" s="15"/>
      <c r="F10" s="15"/>
      <c r="G10" s="4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customFormat="false" ht="15" hidden="false" customHeight="false" outlineLevel="0" collapsed="false">
      <c r="A11" s="43" t="s">
        <v>90</v>
      </c>
      <c r="B11" s="18"/>
      <c r="C11" s="18"/>
      <c r="D11" s="18"/>
      <c r="E11" s="18"/>
      <c r="F11" s="18"/>
      <c r="G11" s="18"/>
      <c r="H11" s="44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customFormat="false" ht="15" hidden="false" customHeight="false" outlineLevel="0" collapsed="false">
      <c r="A12" s="43" t="s">
        <v>91</v>
      </c>
      <c r="B12" s="15"/>
      <c r="C12" s="15"/>
      <c r="D12" s="15"/>
      <c r="E12" s="15"/>
      <c r="F12" s="15"/>
      <c r="G12" s="15"/>
      <c r="H12" s="15"/>
      <c r="I12" s="44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customFormat="false" ht="15" hidden="false" customHeight="false" outlineLevel="0" collapsed="false">
      <c r="A13" s="43" t="s">
        <v>92</v>
      </c>
      <c r="B13" s="18"/>
      <c r="C13" s="18"/>
      <c r="D13" s="18"/>
      <c r="E13" s="18"/>
      <c r="F13" s="18"/>
      <c r="G13" s="18"/>
      <c r="H13" s="18"/>
      <c r="I13" s="18"/>
      <c r="J13" s="4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customFormat="false" ht="15" hidden="false" customHeight="false" outlineLevel="0" collapsed="false">
      <c r="A14" s="43" t="s">
        <v>93</v>
      </c>
      <c r="B14" s="15"/>
      <c r="C14" s="15"/>
      <c r="D14" s="15"/>
      <c r="E14" s="15"/>
      <c r="F14" s="15"/>
      <c r="G14" s="15"/>
      <c r="H14" s="15"/>
      <c r="I14" s="15"/>
      <c r="J14" s="15"/>
      <c r="K14" s="4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customFormat="false" ht="15" hidden="false" customHeight="false" outlineLevel="0" collapsed="false">
      <c r="A15" s="43" t="s">
        <v>94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44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customFormat="false" ht="15" hidden="false" customHeight="false" outlineLevel="0" collapsed="false">
      <c r="A16" s="43" t="s">
        <v>95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44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customFormat="false" ht="15" hidden="false" customHeight="false" outlineLevel="0" collapsed="false">
      <c r="A17" s="43" t="s">
        <v>96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44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customFormat="false" ht="15" hidden="false" customHeight="false" outlineLevel="0" collapsed="false">
      <c r="A18" s="43" t="s">
        <v>97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44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customFormat="false" ht="15" hidden="false" customHeight="false" outlineLevel="0" collapsed="false">
      <c r="A19" s="43" t="s">
        <v>98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4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customFormat="false" ht="15" hidden="false" customHeight="false" outlineLevel="0" collapsed="false">
      <c r="A20" s="43" t="s">
        <v>99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44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customFormat="false" ht="15" hidden="false" customHeight="false" outlineLevel="0" collapsed="false">
      <c r="A21" s="43" t="s">
        <v>100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4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customFormat="false" ht="15" hidden="false" customHeight="false" outlineLevel="0" collapsed="false">
      <c r="A22" s="43" t="s">
        <v>101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44"/>
      <c r="T22" s="15"/>
      <c r="U22" s="15"/>
      <c r="V22" s="15"/>
      <c r="W22" s="15"/>
      <c r="X22" s="15"/>
      <c r="Y22" s="15"/>
      <c r="Z22" s="15"/>
      <c r="AA22" s="15"/>
      <c r="AB22" s="15"/>
    </row>
    <row r="23" customFormat="false" ht="15" hidden="false" customHeight="false" outlineLevel="0" collapsed="false">
      <c r="A23" s="43" t="s">
        <v>102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44"/>
      <c r="U23" s="18"/>
      <c r="V23" s="18"/>
      <c r="W23" s="18"/>
      <c r="X23" s="18"/>
      <c r="Y23" s="18"/>
      <c r="Z23" s="18"/>
      <c r="AA23" s="18"/>
      <c r="AB23" s="18"/>
    </row>
    <row r="24" customFormat="false" ht="15" hidden="false" customHeight="false" outlineLevel="0" collapsed="false">
      <c r="A24" s="43" t="s">
        <v>103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4"/>
      <c r="V24" s="15"/>
      <c r="W24" s="15"/>
      <c r="X24" s="15"/>
      <c r="Y24" s="15"/>
      <c r="Z24" s="15"/>
      <c r="AA24" s="15"/>
      <c r="AB24" s="15"/>
    </row>
    <row r="25" customFormat="false" ht="15" hidden="false" customHeight="false" outlineLevel="0" collapsed="false">
      <c r="A25" s="43" t="s">
        <v>104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44"/>
      <c r="W25" s="18"/>
      <c r="X25" s="18"/>
      <c r="Y25" s="18"/>
      <c r="Z25" s="18"/>
      <c r="AA25" s="18"/>
      <c r="AB25" s="18"/>
    </row>
    <row r="26" customFormat="false" ht="15" hidden="false" customHeight="false" outlineLevel="0" collapsed="false">
      <c r="A26" s="43" t="s">
        <v>105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44"/>
      <c r="X26" s="15"/>
      <c r="Y26" s="15"/>
      <c r="Z26" s="15"/>
      <c r="AA26" s="15"/>
      <c r="AB26" s="15"/>
    </row>
    <row r="27" customFormat="false" ht="15" hidden="false" customHeight="false" outlineLevel="0" collapsed="false">
      <c r="A27" s="43" t="s">
        <v>106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44"/>
      <c r="Y27" s="18"/>
      <c r="Z27" s="18"/>
      <c r="AA27" s="18"/>
      <c r="AB27" s="18"/>
    </row>
    <row r="28" customFormat="false" ht="15" hidden="false" customHeight="false" outlineLevel="0" collapsed="false">
      <c r="A28" s="43" t="s">
        <v>107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44"/>
      <c r="Z28" s="15"/>
      <c r="AA28" s="15"/>
      <c r="AB28" s="15"/>
    </row>
    <row r="29" customFormat="false" ht="15" hidden="false" customHeight="false" outlineLevel="0" collapsed="false">
      <c r="A29" s="43" t="s">
        <v>108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44"/>
      <c r="AA29" s="18"/>
      <c r="AB29" s="18"/>
    </row>
    <row r="30" customFormat="false" ht="15" hidden="false" customHeight="false" outlineLevel="0" collapsed="false">
      <c r="A30" s="43" t="s">
        <v>109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4"/>
      <c r="AB30" s="15"/>
    </row>
    <row r="31" customFormat="false" ht="15" hidden="false" customHeight="false" outlineLevel="0" collapsed="false">
      <c r="A31" s="43" t="s">
        <v>110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44"/>
    </row>
    <row r="33" customFormat="false" ht="25.5" hidden="false" customHeight="true" outlineLevel="0" collapsed="false">
      <c r="A33" s="40" t="s">
        <v>111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</sheetData>
  <mergeCells count="3">
    <mergeCell ref="A1:AB1"/>
    <mergeCell ref="A2:AB2"/>
    <mergeCell ref="A33:A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5" t="s">
        <v>112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25.5" hidden="false" customHeight="true" outlineLevel="0" collapsed="false">
      <c r="A2" s="21" t="s">
        <v>113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35.05" hidden="false" customHeight="false" outlineLevel="0" collapsed="false">
      <c r="A3" s="46" t="s">
        <v>31</v>
      </c>
      <c r="B3" s="46" t="s">
        <v>32</v>
      </c>
      <c r="C3" s="46" t="s">
        <v>33</v>
      </c>
      <c r="D3" s="46" t="s">
        <v>114</v>
      </c>
      <c r="E3" s="46" t="s">
        <v>115</v>
      </c>
      <c r="F3" s="46" t="s">
        <v>116</v>
      </c>
      <c r="G3" s="46" t="s">
        <v>117</v>
      </c>
      <c r="H3" s="46" t="s">
        <v>118</v>
      </c>
      <c r="I3" s="46" t="s">
        <v>119</v>
      </c>
      <c r="J3" s="46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47"/>
      <c r="G4" s="48"/>
      <c r="H4" s="15"/>
      <c r="I4" s="16" t="n">
        <f aca="false">IFERROR(IF(MAX($F$4:$F$33)&gt;0,F4/MAX($F$4:$F$33)*100,0),0)</f>
        <v>0</v>
      </c>
      <c r="J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49"/>
      <c r="G5" s="50"/>
      <c r="H5" s="18"/>
      <c r="I5" s="19" t="n">
        <f aca="false">IFERROR(IF(MAX($F$4:$F$33)&gt;0,F5/MAX($F$4:$F$33)*100,0),0)</f>
        <v>0</v>
      </c>
      <c r="J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47"/>
      <c r="G6" s="48"/>
      <c r="H6" s="15"/>
      <c r="I6" s="16" t="n">
        <f aca="false">IFERROR(IF(MAX($F$4:$F$33)&gt;0,F6/MAX($F$4:$F$33)*100,0),0)</f>
        <v>0</v>
      </c>
      <c r="J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49"/>
      <c r="G7" s="50"/>
      <c r="H7" s="18"/>
      <c r="I7" s="19" t="n">
        <f aca="false">IFERROR(IF(MAX($F$4:$F$33)&gt;0,F7/MAX($F$4:$F$33)*100,0),0)</f>
        <v>0</v>
      </c>
      <c r="J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47"/>
      <c r="G8" s="48"/>
      <c r="H8" s="15"/>
      <c r="I8" s="16" t="n">
        <f aca="false">IFERROR(IF(MAX($F$4:$F$33)&gt;0,F8/MAX($F$4:$F$33)*100,0),0)</f>
        <v>0</v>
      </c>
      <c r="J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49"/>
      <c r="G9" s="50"/>
      <c r="H9" s="18"/>
      <c r="I9" s="19" t="n">
        <f aca="false">IFERROR(IF(MAX($F$4:$F$33)&gt;0,F9/MAX($F$4:$F$33)*100,0),0)</f>
        <v>0</v>
      </c>
      <c r="J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47"/>
      <c r="G10" s="48"/>
      <c r="H10" s="15"/>
      <c r="I10" s="16" t="n">
        <f aca="false">IFERROR(IF(MAX($F$4:$F$33)&gt;0,F10/MAX($F$4:$F$33)*100,0),0)</f>
        <v>0</v>
      </c>
      <c r="J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49"/>
      <c r="G11" s="50"/>
      <c r="H11" s="18"/>
      <c r="I11" s="19" t="n">
        <f aca="false">IFERROR(IF(MAX($F$4:$F$33)&gt;0,F11/MAX($F$4:$F$33)*100,0),0)</f>
        <v>0</v>
      </c>
      <c r="J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47"/>
      <c r="G12" s="48"/>
      <c r="H12" s="15"/>
      <c r="I12" s="16" t="n">
        <f aca="false">IFERROR(IF(MAX($F$4:$F$33)&gt;0,F12/MAX($F$4:$F$33)*100,0),0)</f>
        <v>0</v>
      </c>
      <c r="J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49"/>
      <c r="G13" s="50"/>
      <c r="H13" s="18"/>
      <c r="I13" s="19" t="n">
        <f aca="false">IFERROR(IF(MAX($F$4:$F$33)&gt;0,F13/MAX($F$4:$F$33)*100,0),0)</f>
        <v>0</v>
      </c>
      <c r="J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47"/>
      <c r="G14" s="48"/>
      <c r="H14" s="15"/>
      <c r="I14" s="16" t="n">
        <f aca="false">IFERROR(IF(MAX($F$4:$F$33)&gt;0,F14/MAX($F$4:$F$33)*100,0),0)</f>
        <v>0</v>
      </c>
      <c r="J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49"/>
      <c r="G15" s="50"/>
      <c r="H15" s="18"/>
      <c r="I15" s="19" t="n">
        <f aca="false">IFERROR(IF(MAX($F$4:$F$33)&gt;0,F15/MAX($F$4:$F$33)*100,0),0)</f>
        <v>0</v>
      </c>
      <c r="J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47"/>
      <c r="G16" s="48"/>
      <c r="H16" s="15"/>
      <c r="I16" s="16" t="n">
        <f aca="false">IFERROR(IF(MAX($F$4:$F$33)&gt;0,F16/MAX($F$4:$F$33)*100,0),0)</f>
        <v>0</v>
      </c>
      <c r="J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49"/>
      <c r="G17" s="50"/>
      <c r="H17" s="18"/>
      <c r="I17" s="19" t="n">
        <f aca="false">IFERROR(IF(MAX($F$4:$F$33)&gt;0,F17/MAX($F$4:$F$33)*100,0),0)</f>
        <v>0</v>
      </c>
      <c r="J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47"/>
      <c r="G18" s="48"/>
      <c r="H18" s="15"/>
      <c r="I18" s="16" t="n">
        <f aca="false">IFERROR(IF(MAX($F$4:$F$33)&gt;0,F18/MAX($F$4:$F$33)*100,0),0)</f>
        <v>0</v>
      </c>
      <c r="J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49"/>
      <c r="G19" s="50"/>
      <c r="H19" s="18"/>
      <c r="I19" s="19" t="n">
        <f aca="false">IFERROR(IF(MAX($F$4:$F$33)&gt;0,F19/MAX($F$4:$F$33)*100,0),0)</f>
        <v>0</v>
      </c>
      <c r="J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47"/>
      <c r="G20" s="48"/>
      <c r="H20" s="15"/>
      <c r="I20" s="16" t="n">
        <f aca="false">IFERROR(IF(MAX($F$4:$F$33)&gt;0,F20/MAX($F$4:$F$33)*100,0),0)</f>
        <v>0</v>
      </c>
      <c r="J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49"/>
      <c r="G21" s="50"/>
      <c r="H21" s="18"/>
      <c r="I21" s="19" t="n">
        <f aca="false">IFERROR(IF(MAX($F$4:$F$33)&gt;0,F21/MAX($F$4:$F$33)*100,0),0)</f>
        <v>0</v>
      </c>
      <c r="J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47"/>
      <c r="G22" s="48"/>
      <c r="H22" s="15"/>
      <c r="I22" s="16" t="n">
        <f aca="false">IFERROR(IF(MAX($F$4:$F$33)&gt;0,F22/MAX($F$4:$F$33)*100,0),0)</f>
        <v>0</v>
      </c>
      <c r="J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49"/>
      <c r="G23" s="50"/>
      <c r="H23" s="18"/>
      <c r="I23" s="19" t="n">
        <f aca="false">IFERROR(IF(MAX($F$4:$F$33)&gt;0,F23/MAX($F$4:$F$33)*100,0),0)</f>
        <v>0</v>
      </c>
      <c r="J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47"/>
      <c r="G24" s="48"/>
      <c r="H24" s="15"/>
      <c r="I24" s="16" t="n">
        <f aca="false">IFERROR(IF(MAX($F$4:$F$33)&gt;0,F24/MAX($F$4:$F$33)*100,0),0)</f>
        <v>0</v>
      </c>
      <c r="J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49"/>
      <c r="G25" s="50"/>
      <c r="H25" s="18"/>
      <c r="I25" s="19" t="n">
        <f aca="false">IFERROR(IF(MAX($F$4:$F$33)&gt;0,F25/MAX($F$4:$F$33)*100,0),0)</f>
        <v>0</v>
      </c>
      <c r="J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47"/>
      <c r="G26" s="48"/>
      <c r="H26" s="15"/>
      <c r="I26" s="16" t="n">
        <f aca="false">IFERROR(IF(MAX($F$4:$F$33)&gt;0,F26/MAX($F$4:$F$33)*100,0),0)</f>
        <v>0</v>
      </c>
      <c r="J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49"/>
      <c r="G27" s="50"/>
      <c r="H27" s="18"/>
      <c r="I27" s="19" t="n">
        <f aca="false">IFERROR(IF(MAX($F$4:$F$33)&gt;0,F27/MAX($F$4:$F$33)*100,0),0)</f>
        <v>0</v>
      </c>
      <c r="J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47"/>
      <c r="G28" s="48"/>
      <c r="H28" s="15"/>
      <c r="I28" s="16" t="n">
        <f aca="false">IFERROR(IF(MAX($F$4:$F$33)&gt;0,F28/MAX($F$4:$F$33)*100,0),0)</f>
        <v>0</v>
      </c>
      <c r="J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49"/>
      <c r="G29" s="50"/>
      <c r="H29" s="18"/>
      <c r="I29" s="19" t="n">
        <f aca="false">IFERROR(IF(MAX($F$4:$F$33)&gt;0,F29/MAX($F$4:$F$33)*100,0),0)</f>
        <v>0</v>
      </c>
      <c r="J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47"/>
      <c r="G30" s="48"/>
      <c r="H30" s="15"/>
      <c r="I30" s="16" t="n">
        <f aca="false">IFERROR(IF(MAX($F$4:$F$33)&gt;0,F30/MAX($F$4:$F$33)*100,0),0)</f>
        <v>0</v>
      </c>
      <c r="J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49"/>
      <c r="G31" s="50"/>
      <c r="H31" s="18"/>
      <c r="I31" s="19" t="n">
        <f aca="false">IFERROR(IF(MAX($F$4:$F$33)&gt;0,F31/MAX($F$4:$F$33)*100,0),0)</f>
        <v>0</v>
      </c>
      <c r="J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47"/>
      <c r="G32" s="48"/>
      <c r="H32" s="15"/>
      <c r="I32" s="16" t="n">
        <f aca="false">IFERROR(IF(MAX($F$4:$F$33)&gt;0,F32/MAX($F$4:$F$33)*100,0),0)</f>
        <v>0</v>
      </c>
      <c r="J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49"/>
      <c r="G33" s="50"/>
      <c r="H33" s="18"/>
      <c r="I33" s="19" t="n">
        <f aca="false">IFERROR(IF(MAX($F$4:$F$33)&gt;0,F33/MAX($F$4:$F$33)*100,0),0)</f>
        <v>0</v>
      </c>
      <c r="J33" s="1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9" min="7" style="0" width="18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51" t="s">
        <v>120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5.5" hidden="false" customHeight="true" outlineLevel="0" collapsed="false">
      <c r="A2" s="52" t="s">
        <v>121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customFormat="false" ht="35.05" hidden="false" customHeight="false" outlineLevel="0" collapsed="false">
      <c r="A3" s="53" t="s">
        <v>31</v>
      </c>
      <c r="B3" s="53" t="s">
        <v>32</v>
      </c>
      <c r="C3" s="53" t="s">
        <v>33</v>
      </c>
      <c r="D3" s="53" t="s">
        <v>122</v>
      </c>
      <c r="E3" s="53" t="s">
        <v>123</v>
      </c>
      <c r="F3" s="53" t="s">
        <v>124</v>
      </c>
      <c r="G3" s="53" t="s">
        <v>125</v>
      </c>
      <c r="H3" s="53" t="s">
        <v>126</v>
      </c>
      <c r="I3" s="53" t="s">
        <v>127</v>
      </c>
      <c r="J3" s="53" t="s">
        <v>128</v>
      </c>
      <c r="K3" s="53" t="s">
        <v>42</v>
      </c>
    </row>
    <row r="4" customFormat="false" ht="15" hidden="false" customHeight="false" outlineLevel="0" collapsed="false">
      <c r="A4" s="8" t="n">
        <v>1</v>
      </c>
      <c r="B4" s="15"/>
      <c r="C4" s="15"/>
      <c r="D4" s="15"/>
      <c r="E4" s="15"/>
      <c r="F4" s="16" t="n">
        <f aca="false">IF(D4&gt;0,E4/D4*100,0)</f>
        <v>0</v>
      </c>
      <c r="G4" s="15"/>
      <c r="H4" s="15"/>
      <c r="I4" s="16" t="n">
        <f aca="false">IF(D4&gt;0,H4/D4*100,0)</f>
        <v>0</v>
      </c>
      <c r="J4" s="47"/>
      <c r="K4" s="15"/>
    </row>
    <row r="5" customFormat="false" ht="15" hidden="false" customHeight="false" outlineLevel="0" collapsed="false">
      <c r="A5" s="4" t="n">
        <v>2</v>
      </c>
      <c r="B5" s="18"/>
      <c r="C5" s="18"/>
      <c r="D5" s="18"/>
      <c r="E5" s="18"/>
      <c r="F5" s="19" t="n">
        <f aca="false">IF(D5&gt;0,E5/D5*100,0)</f>
        <v>0</v>
      </c>
      <c r="G5" s="18"/>
      <c r="H5" s="18"/>
      <c r="I5" s="19" t="n">
        <f aca="false">IF(D5&gt;0,H5/D5*100,0)</f>
        <v>0</v>
      </c>
      <c r="J5" s="49"/>
      <c r="K5" s="18"/>
    </row>
    <row r="6" customFormat="false" ht="15" hidden="false" customHeight="false" outlineLevel="0" collapsed="false">
      <c r="A6" s="8" t="n">
        <v>3</v>
      </c>
      <c r="B6" s="15"/>
      <c r="C6" s="15"/>
      <c r="D6" s="15"/>
      <c r="E6" s="15"/>
      <c r="F6" s="16" t="n">
        <f aca="false">IF(D6&gt;0,E6/D6*100,0)</f>
        <v>0</v>
      </c>
      <c r="G6" s="15"/>
      <c r="H6" s="15"/>
      <c r="I6" s="16" t="n">
        <f aca="false">IF(D6&gt;0,H6/D6*100,0)</f>
        <v>0</v>
      </c>
      <c r="J6" s="47"/>
      <c r="K6" s="15"/>
    </row>
    <row r="7" customFormat="false" ht="15" hidden="false" customHeight="false" outlineLevel="0" collapsed="false">
      <c r="A7" s="4" t="n">
        <v>4</v>
      </c>
      <c r="B7" s="18"/>
      <c r="C7" s="18"/>
      <c r="D7" s="18"/>
      <c r="E7" s="18"/>
      <c r="F7" s="19" t="n">
        <f aca="false">IF(D7&gt;0,E7/D7*100,0)</f>
        <v>0</v>
      </c>
      <c r="G7" s="18"/>
      <c r="H7" s="18"/>
      <c r="I7" s="19" t="n">
        <f aca="false">IF(D7&gt;0,H7/D7*100,0)</f>
        <v>0</v>
      </c>
      <c r="J7" s="49"/>
      <c r="K7" s="18"/>
    </row>
    <row r="8" customFormat="false" ht="15" hidden="false" customHeight="false" outlineLevel="0" collapsed="false">
      <c r="A8" s="8" t="n">
        <v>5</v>
      </c>
      <c r="B8" s="15"/>
      <c r="C8" s="15"/>
      <c r="D8" s="15"/>
      <c r="E8" s="15"/>
      <c r="F8" s="16" t="n">
        <f aca="false">IF(D8&gt;0,E8/D8*100,0)</f>
        <v>0</v>
      </c>
      <c r="G8" s="15"/>
      <c r="H8" s="15"/>
      <c r="I8" s="16" t="n">
        <f aca="false">IF(D8&gt;0,H8/D8*100,0)</f>
        <v>0</v>
      </c>
      <c r="J8" s="47"/>
      <c r="K8" s="15"/>
    </row>
    <row r="9" customFormat="false" ht="15" hidden="false" customHeight="false" outlineLevel="0" collapsed="false">
      <c r="A9" s="4" t="n">
        <v>6</v>
      </c>
      <c r="B9" s="18"/>
      <c r="C9" s="18"/>
      <c r="D9" s="18"/>
      <c r="E9" s="18"/>
      <c r="F9" s="19" t="n">
        <f aca="false">IF(D9&gt;0,E9/D9*100,0)</f>
        <v>0</v>
      </c>
      <c r="G9" s="18"/>
      <c r="H9" s="18"/>
      <c r="I9" s="19" t="n">
        <f aca="false">IF(D9&gt;0,H9/D9*100,0)</f>
        <v>0</v>
      </c>
      <c r="J9" s="49"/>
      <c r="K9" s="18"/>
    </row>
    <row r="10" customFormat="false" ht="15" hidden="false" customHeight="false" outlineLevel="0" collapsed="false">
      <c r="A10" s="8" t="n">
        <v>7</v>
      </c>
      <c r="B10" s="15"/>
      <c r="C10" s="15"/>
      <c r="D10" s="15"/>
      <c r="E10" s="15"/>
      <c r="F10" s="16" t="n">
        <f aca="false">IF(D10&gt;0,E10/D10*100,0)</f>
        <v>0</v>
      </c>
      <c r="G10" s="15"/>
      <c r="H10" s="15"/>
      <c r="I10" s="16" t="n">
        <f aca="false">IF(D10&gt;0,H10/D10*100,0)</f>
        <v>0</v>
      </c>
      <c r="J10" s="47"/>
      <c r="K10" s="15"/>
    </row>
    <row r="11" customFormat="false" ht="15" hidden="false" customHeight="false" outlineLevel="0" collapsed="false">
      <c r="A11" s="4" t="n">
        <v>8</v>
      </c>
      <c r="B11" s="18"/>
      <c r="C11" s="18"/>
      <c r="D11" s="18"/>
      <c r="E11" s="18"/>
      <c r="F11" s="19" t="n">
        <f aca="false">IF(D11&gt;0,E11/D11*100,0)</f>
        <v>0</v>
      </c>
      <c r="G11" s="18"/>
      <c r="H11" s="18"/>
      <c r="I11" s="19" t="n">
        <f aca="false">IF(D11&gt;0,H11/D11*100,0)</f>
        <v>0</v>
      </c>
      <c r="J11" s="49"/>
      <c r="K11" s="18"/>
    </row>
    <row r="12" customFormat="false" ht="15" hidden="false" customHeight="false" outlineLevel="0" collapsed="false">
      <c r="A12" s="8" t="n">
        <v>9</v>
      </c>
      <c r="B12" s="15"/>
      <c r="C12" s="15"/>
      <c r="D12" s="15"/>
      <c r="E12" s="15"/>
      <c r="F12" s="16" t="n">
        <f aca="false">IF(D12&gt;0,E12/D12*100,0)</f>
        <v>0</v>
      </c>
      <c r="G12" s="15"/>
      <c r="H12" s="15"/>
      <c r="I12" s="16" t="n">
        <f aca="false">IF(D12&gt;0,H12/D12*100,0)</f>
        <v>0</v>
      </c>
      <c r="J12" s="47"/>
      <c r="K12" s="15"/>
    </row>
    <row r="13" customFormat="false" ht="15" hidden="false" customHeight="false" outlineLevel="0" collapsed="false">
      <c r="A13" s="4" t="n">
        <v>10</v>
      </c>
      <c r="B13" s="18"/>
      <c r="C13" s="18"/>
      <c r="D13" s="18"/>
      <c r="E13" s="18"/>
      <c r="F13" s="19" t="n">
        <f aca="false">IF(D13&gt;0,E13/D13*100,0)</f>
        <v>0</v>
      </c>
      <c r="G13" s="18"/>
      <c r="H13" s="18"/>
      <c r="I13" s="19" t="n">
        <f aca="false">IF(D13&gt;0,H13/D13*100,0)</f>
        <v>0</v>
      </c>
      <c r="J13" s="49"/>
      <c r="K13" s="18"/>
    </row>
    <row r="14" customFormat="false" ht="15" hidden="false" customHeight="false" outlineLevel="0" collapsed="false">
      <c r="A14" s="8" t="n">
        <v>11</v>
      </c>
      <c r="B14" s="15"/>
      <c r="C14" s="15"/>
      <c r="D14" s="15"/>
      <c r="E14" s="15"/>
      <c r="F14" s="16" t="n">
        <f aca="false">IF(D14&gt;0,E14/D14*100,0)</f>
        <v>0</v>
      </c>
      <c r="G14" s="15"/>
      <c r="H14" s="15"/>
      <c r="I14" s="16" t="n">
        <f aca="false">IF(D14&gt;0,H14/D14*100,0)</f>
        <v>0</v>
      </c>
      <c r="J14" s="47"/>
      <c r="K14" s="15"/>
    </row>
    <row r="15" customFormat="false" ht="15" hidden="false" customHeight="false" outlineLevel="0" collapsed="false">
      <c r="A15" s="4" t="n">
        <v>12</v>
      </c>
      <c r="B15" s="18"/>
      <c r="C15" s="18"/>
      <c r="D15" s="18"/>
      <c r="E15" s="18"/>
      <c r="F15" s="19" t="n">
        <f aca="false">IF(D15&gt;0,E15/D15*100,0)</f>
        <v>0</v>
      </c>
      <c r="G15" s="18"/>
      <c r="H15" s="18"/>
      <c r="I15" s="19" t="n">
        <f aca="false">IF(D15&gt;0,H15/D15*100,0)</f>
        <v>0</v>
      </c>
      <c r="J15" s="49"/>
      <c r="K15" s="18"/>
    </row>
    <row r="16" customFormat="false" ht="15" hidden="false" customHeight="false" outlineLevel="0" collapsed="false">
      <c r="A16" s="8" t="n">
        <v>13</v>
      </c>
      <c r="B16" s="15"/>
      <c r="C16" s="15"/>
      <c r="D16" s="15"/>
      <c r="E16" s="15"/>
      <c r="F16" s="16" t="n">
        <f aca="false">IF(D16&gt;0,E16/D16*100,0)</f>
        <v>0</v>
      </c>
      <c r="G16" s="15"/>
      <c r="H16" s="15"/>
      <c r="I16" s="16" t="n">
        <f aca="false">IF(D16&gt;0,H16/D16*100,0)</f>
        <v>0</v>
      </c>
      <c r="J16" s="47"/>
      <c r="K16" s="15"/>
    </row>
    <row r="17" customFormat="false" ht="15" hidden="false" customHeight="false" outlineLevel="0" collapsed="false">
      <c r="A17" s="4" t="n">
        <v>14</v>
      </c>
      <c r="B17" s="18"/>
      <c r="C17" s="18"/>
      <c r="D17" s="18"/>
      <c r="E17" s="18"/>
      <c r="F17" s="19" t="n">
        <f aca="false">IF(D17&gt;0,E17/D17*100,0)</f>
        <v>0</v>
      </c>
      <c r="G17" s="18"/>
      <c r="H17" s="18"/>
      <c r="I17" s="19" t="n">
        <f aca="false">IF(D17&gt;0,H17/D17*100,0)</f>
        <v>0</v>
      </c>
      <c r="J17" s="49"/>
      <c r="K17" s="18"/>
    </row>
    <row r="18" customFormat="false" ht="15" hidden="false" customHeight="false" outlineLevel="0" collapsed="false">
      <c r="A18" s="8" t="n">
        <v>15</v>
      </c>
      <c r="B18" s="15"/>
      <c r="C18" s="15"/>
      <c r="D18" s="15"/>
      <c r="E18" s="15"/>
      <c r="F18" s="16" t="n">
        <f aca="false">IF(D18&gt;0,E18/D18*100,0)</f>
        <v>0</v>
      </c>
      <c r="G18" s="15"/>
      <c r="H18" s="15"/>
      <c r="I18" s="16" t="n">
        <f aca="false">IF(D18&gt;0,H18/D18*100,0)</f>
        <v>0</v>
      </c>
      <c r="J18" s="47"/>
      <c r="K18" s="15"/>
    </row>
    <row r="19" customFormat="false" ht="15" hidden="false" customHeight="false" outlineLevel="0" collapsed="false">
      <c r="A19" s="4" t="n">
        <v>16</v>
      </c>
      <c r="B19" s="18"/>
      <c r="C19" s="18"/>
      <c r="D19" s="18"/>
      <c r="E19" s="18"/>
      <c r="F19" s="19" t="n">
        <f aca="false">IF(D19&gt;0,E19/D19*100,0)</f>
        <v>0</v>
      </c>
      <c r="G19" s="18"/>
      <c r="H19" s="18"/>
      <c r="I19" s="19" t="n">
        <f aca="false">IF(D19&gt;0,H19/D19*100,0)</f>
        <v>0</v>
      </c>
      <c r="J19" s="49"/>
      <c r="K19" s="18"/>
    </row>
    <row r="20" customFormat="false" ht="15" hidden="false" customHeight="false" outlineLevel="0" collapsed="false">
      <c r="A20" s="8" t="n">
        <v>17</v>
      </c>
      <c r="B20" s="15"/>
      <c r="C20" s="15"/>
      <c r="D20" s="15"/>
      <c r="E20" s="15"/>
      <c r="F20" s="16" t="n">
        <f aca="false">IF(D20&gt;0,E20/D20*100,0)</f>
        <v>0</v>
      </c>
      <c r="G20" s="15"/>
      <c r="H20" s="15"/>
      <c r="I20" s="16" t="n">
        <f aca="false">IF(D20&gt;0,H20/D20*100,0)</f>
        <v>0</v>
      </c>
      <c r="J20" s="47"/>
      <c r="K20" s="15"/>
    </row>
    <row r="21" customFormat="false" ht="15" hidden="false" customHeight="false" outlineLevel="0" collapsed="false">
      <c r="A21" s="4" t="n">
        <v>18</v>
      </c>
      <c r="B21" s="18"/>
      <c r="C21" s="18"/>
      <c r="D21" s="18"/>
      <c r="E21" s="18"/>
      <c r="F21" s="19" t="n">
        <f aca="false">IF(D21&gt;0,E21/D21*100,0)</f>
        <v>0</v>
      </c>
      <c r="G21" s="18"/>
      <c r="H21" s="18"/>
      <c r="I21" s="19" t="n">
        <f aca="false">IF(D21&gt;0,H21/D21*100,0)</f>
        <v>0</v>
      </c>
      <c r="J21" s="49"/>
      <c r="K21" s="18"/>
    </row>
    <row r="22" customFormat="false" ht="15" hidden="false" customHeight="false" outlineLevel="0" collapsed="false">
      <c r="A22" s="8" t="n">
        <v>19</v>
      </c>
      <c r="B22" s="15"/>
      <c r="C22" s="15"/>
      <c r="D22" s="15"/>
      <c r="E22" s="15"/>
      <c r="F22" s="16" t="n">
        <f aca="false">IF(D22&gt;0,E22/D22*100,0)</f>
        <v>0</v>
      </c>
      <c r="G22" s="15"/>
      <c r="H22" s="15"/>
      <c r="I22" s="16" t="n">
        <f aca="false">IF(D22&gt;0,H22/D22*100,0)</f>
        <v>0</v>
      </c>
      <c r="J22" s="47"/>
      <c r="K22" s="15"/>
    </row>
    <row r="23" customFormat="false" ht="15" hidden="false" customHeight="false" outlineLevel="0" collapsed="false">
      <c r="A23" s="4" t="n">
        <v>20</v>
      </c>
      <c r="B23" s="18"/>
      <c r="C23" s="18"/>
      <c r="D23" s="18"/>
      <c r="E23" s="18"/>
      <c r="F23" s="19" t="n">
        <f aca="false">IF(D23&gt;0,E23/D23*100,0)</f>
        <v>0</v>
      </c>
      <c r="G23" s="18"/>
      <c r="H23" s="18"/>
      <c r="I23" s="19" t="n">
        <f aca="false">IF(D23&gt;0,H23/D23*100,0)</f>
        <v>0</v>
      </c>
      <c r="J23" s="49"/>
      <c r="K23" s="18"/>
    </row>
    <row r="24" customFormat="false" ht="15" hidden="false" customHeight="false" outlineLevel="0" collapsed="false">
      <c r="A24" s="8" t="n">
        <v>21</v>
      </c>
      <c r="B24" s="15"/>
      <c r="C24" s="15"/>
      <c r="D24" s="15"/>
      <c r="E24" s="15"/>
      <c r="F24" s="16" t="n">
        <f aca="false">IF(D24&gt;0,E24/D24*100,0)</f>
        <v>0</v>
      </c>
      <c r="G24" s="15"/>
      <c r="H24" s="15"/>
      <c r="I24" s="16" t="n">
        <f aca="false">IF(D24&gt;0,H24/D24*100,0)</f>
        <v>0</v>
      </c>
      <c r="J24" s="47"/>
      <c r="K24" s="15"/>
    </row>
    <row r="25" customFormat="false" ht="15" hidden="false" customHeight="false" outlineLevel="0" collapsed="false">
      <c r="A25" s="4" t="n">
        <v>22</v>
      </c>
      <c r="B25" s="18"/>
      <c r="C25" s="18"/>
      <c r="D25" s="18"/>
      <c r="E25" s="18"/>
      <c r="F25" s="19" t="n">
        <f aca="false">IF(D25&gt;0,E25/D25*100,0)</f>
        <v>0</v>
      </c>
      <c r="G25" s="18"/>
      <c r="H25" s="18"/>
      <c r="I25" s="19" t="n">
        <f aca="false">IF(D25&gt;0,H25/D25*100,0)</f>
        <v>0</v>
      </c>
      <c r="J25" s="49"/>
      <c r="K25" s="18"/>
    </row>
    <row r="26" customFormat="false" ht="15" hidden="false" customHeight="false" outlineLevel="0" collapsed="false">
      <c r="A26" s="8" t="n">
        <v>23</v>
      </c>
      <c r="B26" s="15"/>
      <c r="C26" s="15"/>
      <c r="D26" s="15"/>
      <c r="E26" s="15"/>
      <c r="F26" s="16" t="n">
        <f aca="false">IF(D26&gt;0,E26/D26*100,0)</f>
        <v>0</v>
      </c>
      <c r="G26" s="15"/>
      <c r="H26" s="15"/>
      <c r="I26" s="16" t="n">
        <f aca="false">IF(D26&gt;0,H26/D26*100,0)</f>
        <v>0</v>
      </c>
      <c r="J26" s="47"/>
      <c r="K26" s="15"/>
    </row>
    <row r="27" customFormat="false" ht="15" hidden="false" customHeight="false" outlineLevel="0" collapsed="false">
      <c r="A27" s="4" t="n">
        <v>24</v>
      </c>
      <c r="B27" s="18"/>
      <c r="C27" s="18"/>
      <c r="D27" s="18"/>
      <c r="E27" s="18"/>
      <c r="F27" s="19" t="n">
        <f aca="false">IF(D27&gt;0,E27/D27*100,0)</f>
        <v>0</v>
      </c>
      <c r="G27" s="18"/>
      <c r="H27" s="18"/>
      <c r="I27" s="19" t="n">
        <f aca="false">IF(D27&gt;0,H27/D27*100,0)</f>
        <v>0</v>
      </c>
      <c r="J27" s="49"/>
      <c r="K27" s="18"/>
    </row>
    <row r="28" customFormat="false" ht="15" hidden="false" customHeight="false" outlineLevel="0" collapsed="false">
      <c r="A28" s="8" t="n">
        <v>25</v>
      </c>
      <c r="B28" s="15"/>
      <c r="C28" s="15"/>
      <c r="D28" s="15"/>
      <c r="E28" s="15"/>
      <c r="F28" s="16" t="n">
        <f aca="false">IF(D28&gt;0,E28/D28*100,0)</f>
        <v>0</v>
      </c>
      <c r="G28" s="15"/>
      <c r="H28" s="15"/>
      <c r="I28" s="16" t="n">
        <f aca="false">IF(D28&gt;0,H28/D28*100,0)</f>
        <v>0</v>
      </c>
      <c r="J28" s="47"/>
      <c r="K28" s="15"/>
    </row>
    <row r="29" customFormat="false" ht="15" hidden="false" customHeight="false" outlineLevel="0" collapsed="false">
      <c r="A29" s="4" t="n">
        <v>26</v>
      </c>
      <c r="B29" s="18"/>
      <c r="C29" s="18"/>
      <c r="D29" s="18"/>
      <c r="E29" s="18"/>
      <c r="F29" s="19" t="n">
        <f aca="false">IF(D29&gt;0,E29/D29*100,0)</f>
        <v>0</v>
      </c>
      <c r="G29" s="18"/>
      <c r="H29" s="18"/>
      <c r="I29" s="19" t="n">
        <f aca="false">IF(D29&gt;0,H29/D29*100,0)</f>
        <v>0</v>
      </c>
      <c r="J29" s="49"/>
      <c r="K29" s="18"/>
    </row>
    <row r="30" customFormat="false" ht="15" hidden="false" customHeight="false" outlineLevel="0" collapsed="false">
      <c r="A30" s="8" t="n">
        <v>27</v>
      </c>
      <c r="B30" s="15"/>
      <c r="C30" s="15"/>
      <c r="D30" s="15"/>
      <c r="E30" s="15"/>
      <c r="F30" s="16" t="n">
        <f aca="false">IF(D30&gt;0,E30/D30*100,0)</f>
        <v>0</v>
      </c>
      <c r="G30" s="15"/>
      <c r="H30" s="15"/>
      <c r="I30" s="16" t="n">
        <f aca="false">IF(D30&gt;0,H30/D30*100,0)</f>
        <v>0</v>
      </c>
      <c r="J30" s="47"/>
      <c r="K30" s="15"/>
    </row>
    <row r="31" customFormat="false" ht="15" hidden="false" customHeight="false" outlineLevel="0" collapsed="false">
      <c r="A31" s="4" t="n">
        <v>28</v>
      </c>
      <c r="B31" s="18"/>
      <c r="C31" s="18"/>
      <c r="D31" s="18"/>
      <c r="E31" s="18"/>
      <c r="F31" s="19" t="n">
        <f aca="false">IF(D31&gt;0,E31/D31*100,0)</f>
        <v>0</v>
      </c>
      <c r="G31" s="18"/>
      <c r="H31" s="18"/>
      <c r="I31" s="19" t="n">
        <f aca="false">IF(D31&gt;0,H31/D31*100,0)</f>
        <v>0</v>
      </c>
      <c r="J31" s="49"/>
      <c r="K31" s="18"/>
    </row>
    <row r="32" customFormat="false" ht="15" hidden="false" customHeight="false" outlineLevel="0" collapsed="false">
      <c r="A32" s="8" t="n">
        <v>29</v>
      </c>
      <c r="B32" s="15"/>
      <c r="C32" s="15"/>
      <c r="D32" s="15"/>
      <c r="E32" s="15"/>
      <c r="F32" s="16" t="n">
        <f aca="false">IF(D32&gt;0,E32/D32*100,0)</f>
        <v>0</v>
      </c>
      <c r="G32" s="15"/>
      <c r="H32" s="15"/>
      <c r="I32" s="16" t="n">
        <f aca="false">IF(D32&gt;0,H32/D32*100,0)</f>
        <v>0</v>
      </c>
      <c r="J32" s="47"/>
      <c r="K32" s="15"/>
    </row>
    <row r="33" customFormat="false" ht="15" hidden="false" customHeight="false" outlineLevel="0" collapsed="false">
      <c r="A33" s="4" t="n">
        <v>30</v>
      </c>
      <c r="B33" s="18"/>
      <c r="C33" s="18"/>
      <c r="D33" s="18"/>
      <c r="E33" s="18"/>
      <c r="F33" s="19" t="n">
        <f aca="false">IF(D33&gt;0,E33/D33*100,0)</f>
        <v>0</v>
      </c>
      <c r="G33" s="18"/>
      <c r="H33" s="18"/>
      <c r="I33" s="19" t="n">
        <f aca="false">IF(D33&gt;0,H33/D33*100,0)</f>
        <v>0</v>
      </c>
      <c r="J33" s="49"/>
      <c r="K33" s="18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</row>
    <row r="3" customFormat="false" ht="35.05" hidden="false" customHeight="false" outlineLevel="0" collapsed="false">
      <c r="A3" s="54" t="s">
        <v>31</v>
      </c>
      <c r="B3" s="54" t="s">
        <v>32</v>
      </c>
      <c r="C3" s="54" t="s">
        <v>131</v>
      </c>
      <c r="D3" s="54" t="s">
        <v>132</v>
      </c>
      <c r="E3" s="54" t="s">
        <v>133</v>
      </c>
      <c r="F3" s="54" t="s">
        <v>134</v>
      </c>
      <c r="G3" s="54" t="s">
        <v>135</v>
      </c>
      <c r="H3" s="54" t="s">
        <v>136</v>
      </c>
      <c r="I3" s="54" t="s">
        <v>137</v>
      </c>
    </row>
    <row r="4" customFormat="false" ht="15" hidden="false" customHeight="false" outlineLevel="0" collapsed="false">
      <c r="B4" s="55" t="s">
        <v>138</v>
      </c>
      <c r="C4" s="56" t="n">
        <v>0.3</v>
      </c>
      <c r="D4" s="56" t="n">
        <v>0.2</v>
      </c>
      <c r="E4" s="56" t="n">
        <v>0.2</v>
      </c>
      <c r="F4" s="56" t="n">
        <v>0.175</v>
      </c>
      <c r="G4" s="56" t="n">
        <v>0.125</v>
      </c>
    </row>
    <row r="5" customFormat="false" ht="15" hidden="false" customHeight="false" outlineLevel="0" collapsed="false">
      <c r="A5" s="4" t="n">
        <v>1</v>
      </c>
      <c r="B5" s="18"/>
      <c r="C5" s="38"/>
      <c r="D5" s="38"/>
      <c r="E5" s="38"/>
      <c r="F5" s="38"/>
      <c r="G5" s="38"/>
      <c r="H5" s="57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5"/>
      <c r="C6" s="37"/>
      <c r="D6" s="37"/>
      <c r="E6" s="37"/>
      <c r="F6" s="37"/>
      <c r="G6" s="37"/>
      <c r="H6" s="58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8"/>
      <c r="C7" s="38"/>
      <c r="D7" s="38"/>
      <c r="E7" s="38"/>
      <c r="F7" s="38"/>
      <c r="G7" s="38"/>
      <c r="H7" s="57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5"/>
      <c r="C8" s="37"/>
      <c r="D8" s="37"/>
      <c r="E8" s="37"/>
      <c r="F8" s="37"/>
      <c r="G8" s="37"/>
      <c r="H8" s="58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8"/>
      <c r="C9" s="38"/>
      <c r="D9" s="38"/>
      <c r="E9" s="38"/>
      <c r="F9" s="38"/>
      <c r="G9" s="38"/>
      <c r="H9" s="57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5"/>
      <c r="C10" s="37"/>
      <c r="D10" s="37"/>
      <c r="E10" s="37"/>
      <c r="F10" s="37"/>
      <c r="G10" s="37"/>
      <c r="H10" s="58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8"/>
      <c r="C11" s="38"/>
      <c r="D11" s="38"/>
      <c r="E11" s="38"/>
      <c r="F11" s="38"/>
      <c r="G11" s="38"/>
      <c r="H11" s="57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5"/>
      <c r="C12" s="37"/>
      <c r="D12" s="37"/>
      <c r="E12" s="37"/>
      <c r="F12" s="37"/>
      <c r="G12" s="37"/>
      <c r="H12" s="58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8"/>
      <c r="C13" s="38"/>
      <c r="D13" s="38"/>
      <c r="E13" s="38"/>
      <c r="F13" s="38"/>
      <c r="G13" s="38"/>
      <c r="H13" s="57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5"/>
      <c r="C14" s="37"/>
      <c r="D14" s="37"/>
      <c r="E14" s="37"/>
      <c r="F14" s="37"/>
      <c r="G14" s="37"/>
      <c r="H14" s="58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8"/>
      <c r="C15" s="38"/>
      <c r="D15" s="38"/>
      <c r="E15" s="38"/>
      <c r="F15" s="38"/>
      <c r="G15" s="38"/>
      <c r="H15" s="57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5"/>
      <c r="C16" s="37"/>
      <c r="D16" s="37"/>
      <c r="E16" s="37"/>
      <c r="F16" s="37"/>
      <c r="G16" s="37"/>
      <c r="H16" s="58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8"/>
      <c r="C17" s="38"/>
      <c r="D17" s="38"/>
      <c r="E17" s="38"/>
      <c r="F17" s="38"/>
      <c r="G17" s="38"/>
      <c r="H17" s="57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5"/>
      <c r="C18" s="37"/>
      <c r="D18" s="37"/>
      <c r="E18" s="37"/>
      <c r="F18" s="37"/>
      <c r="G18" s="37"/>
      <c r="H18" s="58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8"/>
      <c r="C19" s="38"/>
      <c r="D19" s="38"/>
      <c r="E19" s="38"/>
      <c r="F19" s="38"/>
      <c r="G19" s="38"/>
      <c r="H19" s="57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5"/>
      <c r="C20" s="37"/>
      <c r="D20" s="37"/>
      <c r="E20" s="37"/>
      <c r="F20" s="37"/>
      <c r="G20" s="37"/>
      <c r="H20" s="58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8"/>
      <c r="C21" s="38"/>
      <c r="D21" s="38"/>
      <c r="E21" s="38"/>
      <c r="F21" s="38"/>
      <c r="G21" s="38"/>
      <c r="H21" s="57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5"/>
      <c r="C22" s="37"/>
      <c r="D22" s="37"/>
      <c r="E22" s="37"/>
      <c r="F22" s="37"/>
      <c r="G22" s="37"/>
      <c r="H22" s="58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8"/>
      <c r="C23" s="38"/>
      <c r="D23" s="38"/>
      <c r="E23" s="38"/>
      <c r="F23" s="38"/>
      <c r="G23" s="38"/>
      <c r="H23" s="57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5"/>
      <c r="C24" s="37"/>
      <c r="D24" s="37"/>
      <c r="E24" s="37"/>
      <c r="F24" s="37"/>
      <c r="G24" s="37"/>
      <c r="H24" s="58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8"/>
      <c r="C25" s="38"/>
      <c r="D25" s="38"/>
      <c r="E25" s="38"/>
      <c r="F25" s="38"/>
      <c r="G25" s="38"/>
      <c r="H25" s="57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5"/>
      <c r="C26" s="37"/>
      <c r="D26" s="37"/>
      <c r="E26" s="37"/>
      <c r="F26" s="37"/>
      <c r="G26" s="37"/>
      <c r="H26" s="58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8"/>
      <c r="C27" s="38"/>
      <c r="D27" s="38"/>
      <c r="E27" s="38"/>
      <c r="F27" s="38"/>
      <c r="G27" s="38"/>
      <c r="H27" s="57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5"/>
      <c r="C28" s="37"/>
      <c r="D28" s="37"/>
      <c r="E28" s="37"/>
      <c r="F28" s="37"/>
      <c r="G28" s="37"/>
      <c r="H28" s="58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8"/>
      <c r="C29" s="38"/>
      <c r="D29" s="38"/>
      <c r="E29" s="38"/>
      <c r="F29" s="38"/>
      <c r="G29" s="38"/>
      <c r="H29" s="57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5"/>
      <c r="C30" s="37"/>
      <c r="D30" s="37"/>
      <c r="E30" s="37"/>
      <c r="F30" s="37"/>
      <c r="G30" s="37"/>
      <c r="H30" s="58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8"/>
      <c r="C31" s="38"/>
      <c r="D31" s="38"/>
      <c r="E31" s="38"/>
      <c r="F31" s="38"/>
      <c r="G31" s="38"/>
      <c r="H31" s="57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5"/>
      <c r="C32" s="37"/>
      <c r="D32" s="37"/>
      <c r="E32" s="37"/>
      <c r="F32" s="37"/>
      <c r="G32" s="37"/>
      <c r="H32" s="58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8"/>
      <c r="C33" s="38"/>
      <c r="D33" s="38"/>
      <c r="E33" s="38"/>
      <c r="F33" s="38"/>
      <c r="G33" s="38"/>
      <c r="H33" s="57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5"/>
      <c r="C34" s="37"/>
      <c r="D34" s="37"/>
      <c r="E34" s="37"/>
      <c r="F34" s="37"/>
      <c r="G34" s="37"/>
      <c r="H34" s="58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5" t="s">
        <v>139</v>
      </c>
      <c r="B1" s="25"/>
      <c r="C1" s="25"/>
      <c r="D1" s="25"/>
      <c r="E1" s="25"/>
      <c r="F1" s="25"/>
      <c r="G1" s="25"/>
      <c r="H1" s="25"/>
      <c r="I1" s="25"/>
    </row>
    <row r="2" customFormat="false" ht="25.5" hidden="false" customHeight="true" outlineLevel="0" collapsed="false">
      <c r="A2" s="26" t="s">
        <v>140</v>
      </c>
      <c r="B2" s="26"/>
      <c r="C2" s="26"/>
      <c r="D2" s="26"/>
      <c r="E2" s="26"/>
      <c r="F2" s="26"/>
      <c r="G2" s="26"/>
      <c r="H2" s="26"/>
      <c r="I2" s="26"/>
    </row>
    <row r="3" customFormat="false" ht="23.85" hidden="false" customHeight="false" outlineLevel="0" collapsed="false">
      <c r="A3" s="27" t="s">
        <v>31</v>
      </c>
      <c r="B3" s="27" t="s">
        <v>141</v>
      </c>
      <c r="C3" s="27" t="s">
        <v>142</v>
      </c>
      <c r="D3" s="27" t="s">
        <v>143</v>
      </c>
      <c r="E3" s="27" t="s">
        <v>144</v>
      </c>
      <c r="F3" s="27" t="s">
        <v>145</v>
      </c>
      <c r="G3" s="27" t="s">
        <v>146</v>
      </c>
      <c r="H3" s="27" t="s">
        <v>147</v>
      </c>
      <c r="I3" s="27" t="s">
        <v>148</v>
      </c>
    </row>
    <row r="4" customFormat="false" ht="15" hidden="false" customHeight="false" outlineLevel="0" collapsed="false">
      <c r="A4" s="59" t="n">
        <v>1</v>
      </c>
      <c r="B4" s="60" t="s">
        <v>149</v>
      </c>
      <c r="C4" s="61"/>
      <c r="D4" s="61"/>
      <c r="E4" s="61"/>
      <c r="F4" s="61"/>
      <c r="G4" s="61"/>
      <c r="H4" s="61"/>
      <c r="I4" s="61" t="s">
        <v>150</v>
      </c>
    </row>
    <row r="5" customFormat="false" ht="15" hidden="false" customHeight="false" outlineLevel="0" collapsed="false">
      <c r="A5" s="4" t="n">
        <v>2</v>
      </c>
      <c r="B5" s="5" t="s">
        <v>151</v>
      </c>
      <c r="C5" s="18"/>
      <c r="D5" s="18"/>
      <c r="E5" s="18"/>
      <c r="F5" s="18"/>
      <c r="G5" s="18"/>
      <c r="H5" s="18"/>
      <c r="I5" s="18" t="s">
        <v>152</v>
      </c>
    </row>
    <row r="6" customFormat="false" ht="15" hidden="false" customHeight="false" outlineLevel="0" collapsed="false">
      <c r="A6" s="8" t="n">
        <v>3</v>
      </c>
      <c r="B6" s="9" t="s">
        <v>153</v>
      </c>
      <c r="C6" s="15"/>
      <c r="D6" s="15"/>
      <c r="E6" s="15"/>
      <c r="F6" s="15"/>
      <c r="G6" s="15"/>
      <c r="H6" s="15"/>
      <c r="I6" s="15" t="s">
        <v>154</v>
      </c>
    </row>
    <row r="7" customFormat="false" ht="15" hidden="false" customHeight="false" outlineLevel="0" collapsed="false">
      <c r="A7" s="4" t="n">
        <v>4</v>
      </c>
      <c r="B7" s="5" t="s">
        <v>155</v>
      </c>
      <c r="C7" s="18"/>
      <c r="D7" s="18"/>
      <c r="E7" s="18"/>
      <c r="F7" s="18"/>
      <c r="G7" s="18"/>
      <c r="H7" s="18"/>
      <c r="I7" s="18" t="s">
        <v>156</v>
      </c>
    </row>
    <row r="8" customFormat="false" ht="15" hidden="false" customHeight="false" outlineLevel="0" collapsed="false">
      <c r="A8" s="8" t="n">
        <v>5</v>
      </c>
      <c r="B8" s="9" t="s">
        <v>157</v>
      </c>
      <c r="C8" s="15" t="s">
        <v>158</v>
      </c>
      <c r="D8" s="15"/>
      <c r="E8" s="15"/>
      <c r="F8" s="15"/>
      <c r="G8" s="15"/>
      <c r="H8" s="15"/>
      <c r="I8" s="15" t="s">
        <v>159</v>
      </c>
    </row>
    <row r="9" customFormat="false" ht="15" hidden="false" customHeight="false" outlineLevel="0" collapsed="false">
      <c r="A9" s="4" t="n">
        <v>1</v>
      </c>
      <c r="B9" s="18"/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8" t="n">
        <v>2</v>
      </c>
      <c r="B10" s="15"/>
      <c r="C10" s="15"/>
      <c r="D10" s="15"/>
      <c r="E10" s="15"/>
      <c r="F10" s="15"/>
      <c r="G10" s="15"/>
      <c r="H10" s="15"/>
      <c r="I10" s="15"/>
    </row>
    <row r="11" customFormat="false" ht="15" hidden="false" customHeight="false" outlineLevel="0" collapsed="false">
      <c r="A11" s="4" t="n">
        <v>3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8" t="n">
        <v>4</v>
      </c>
      <c r="B12" s="15"/>
      <c r="C12" s="15"/>
      <c r="D12" s="15"/>
      <c r="E12" s="15"/>
      <c r="F12" s="15"/>
      <c r="G12" s="15"/>
      <c r="H12" s="15"/>
      <c r="I12" s="15"/>
    </row>
    <row r="13" customFormat="false" ht="15" hidden="false" customHeight="false" outlineLevel="0" collapsed="false">
      <c r="A13" s="4" t="n">
        <v>5</v>
      </c>
      <c r="B13" s="18"/>
      <c r="C13" s="18"/>
      <c r="D13" s="18"/>
      <c r="E13" s="18"/>
      <c r="F13" s="18"/>
      <c r="G13" s="18"/>
      <c r="H13" s="18"/>
      <c r="I13" s="18"/>
    </row>
    <row r="14" customFormat="false" ht="15" hidden="false" customHeight="false" outlineLevel="0" collapsed="false">
      <c r="A14" s="8" t="n">
        <v>6</v>
      </c>
      <c r="B14" s="15"/>
      <c r="C14" s="15"/>
      <c r="D14" s="15"/>
      <c r="E14" s="15"/>
      <c r="F14" s="15"/>
      <c r="G14" s="15"/>
      <c r="H14" s="15"/>
      <c r="I14" s="15"/>
    </row>
    <row r="15" customFormat="false" ht="15" hidden="false" customHeight="false" outlineLevel="0" collapsed="false">
      <c r="A15" s="4" t="n">
        <v>7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8" t="n">
        <v>8</v>
      </c>
      <c r="B16" s="15"/>
      <c r="C16" s="15"/>
      <c r="D16" s="15"/>
      <c r="E16" s="15"/>
      <c r="F16" s="15"/>
      <c r="G16" s="15"/>
      <c r="H16" s="15"/>
      <c r="I16" s="15"/>
    </row>
    <row r="17" customFormat="false" ht="15" hidden="false" customHeight="false" outlineLevel="0" collapsed="false">
      <c r="A17" s="4" t="n">
        <v>9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8" t="n">
        <v>10</v>
      </c>
      <c r="B18" s="15"/>
      <c r="C18" s="15"/>
      <c r="D18" s="15"/>
      <c r="E18" s="15"/>
      <c r="F18" s="15"/>
      <c r="G18" s="15"/>
      <c r="H18" s="15"/>
      <c r="I18" s="15"/>
    </row>
    <row r="19" customFormat="false" ht="15" hidden="false" customHeight="false" outlineLevel="0" collapsed="false">
      <c r="A19" s="4" t="n">
        <v>11</v>
      </c>
      <c r="B19" s="18"/>
      <c r="C19" s="18"/>
      <c r="D19" s="18"/>
      <c r="E19" s="18"/>
      <c r="F19" s="18"/>
      <c r="G19" s="18"/>
      <c r="H19" s="18"/>
      <c r="I19" s="18"/>
    </row>
    <row r="20" customFormat="false" ht="15" hidden="false" customHeight="false" outlineLevel="0" collapsed="false">
      <c r="A20" s="8" t="n">
        <v>12</v>
      </c>
      <c r="B20" s="15"/>
      <c r="C20" s="15"/>
      <c r="D20" s="15"/>
      <c r="E20" s="15"/>
      <c r="F20" s="15"/>
      <c r="G20" s="15"/>
      <c r="H20" s="15"/>
      <c r="I20" s="15"/>
    </row>
    <row r="21" customFormat="false" ht="15" hidden="false" customHeight="false" outlineLevel="0" collapsed="false">
      <c r="A21" s="4" t="n">
        <v>13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8" t="n">
        <v>14</v>
      </c>
      <c r="B22" s="15"/>
      <c r="C22" s="15"/>
      <c r="D22" s="15"/>
      <c r="E22" s="15"/>
      <c r="F22" s="15"/>
      <c r="G22" s="15"/>
      <c r="H22" s="15"/>
      <c r="I22" s="15"/>
    </row>
    <row r="23" customFormat="false" ht="15" hidden="false" customHeight="false" outlineLevel="0" collapsed="false">
      <c r="A23" s="4" t="n">
        <v>15</v>
      </c>
      <c r="B23" s="18"/>
      <c r="C23" s="18"/>
      <c r="D23" s="18"/>
      <c r="E23" s="18"/>
      <c r="F23" s="18"/>
      <c r="G23" s="18"/>
      <c r="H23" s="18"/>
      <c r="I23" s="18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160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2" t="s">
        <v>161</v>
      </c>
      <c r="B2" s="62"/>
      <c r="C2" s="62"/>
      <c r="D2" s="62"/>
      <c r="E2" s="62"/>
      <c r="F2" s="62"/>
    </row>
    <row r="3" customFormat="false" ht="15" hidden="false" customHeight="false" outlineLevel="0" collapsed="false">
      <c r="A3" s="3" t="s">
        <v>2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</row>
    <row r="4" customFormat="false" ht="31.5" hidden="false" customHeight="true" outlineLevel="0" collapsed="false">
      <c r="A4" s="8" t="n">
        <v>1</v>
      </c>
      <c r="B4" s="9" t="s">
        <v>167</v>
      </c>
      <c r="C4" s="10" t="s">
        <v>168</v>
      </c>
      <c r="D4" s="15"/>
      <c r="E4" s="15"/>
      <c r="F4" s="15"/>
    </row>
    <row r="5" customFormat="false" ht="31.5" hidden="false" customHeight="true" outlineLevel="0" collapsed="false">
      <c r="A5" s="4" t="n">
        <v>2</v>
      </c>
      <c r="B5" s="5" t="s">
        <v>169</v>
      </c>
      <c r="C5" s="6" t="s">
        <v>170</v>
      </c>
      <c r="D5" s="18"/>
      <c r="E5" s="18"/>
      <c r="F5" s="18"/>
    </row>
    <row r="6" customFormat="false" ht="31.5" hidden="false" customHeight="true" outlineLevel="0" collapsed="false">
      <c r="A6" s="8" t="n">
        <v>3</v>
      </c>
      <c r="B6" s="9" t="s">
        <v>171</v>
      </c>
      <c r="C6" s="10" t="s">
        <v>172</v>
      </c>
      <c r="D6" s="15"/>
      <c r="E6" s="15"/>
      <c r="F6" s="15"/>
    </row>
    <row r="7" customFormat="false" ht="31.5" hidden="false" customHeight="true" outlineLevel="0" collapsed="false">
      <c r="A7" s="4" t="n">
        <v>4</v>
      </c>
      <c r="B7" s="5" t="s">
        <v>173</v>
      </c>
      <c r="C7" s="6" t="s">
        <v>174</v>
      </c>
      <c r="D7" s="18"/>
      <c r="E7" s="18"/>
      <c r="F7" s="18"/>
    </row>
    <row r="8" customFormat="false" ht="31.5" hidden="false" customHeight="true" outlineLevel="0" collapsed="false">
      <c r="A8" s="8" t="n">
        <v>5</v>
      </c>
      <c r="B8" s="9" t="s">
        <v>175</v>
      </c>
      <c r="C8" s="10" t="s">
        <v>176</v>
      </c>
      <c r="D8" s="15"/>
      <c r="E8" s="15"/>
      <c r="F8" s="15"/>
    </row>
    <row r="9" customFormat="false" ht="31.5" hidden="false" customHeight="true" outlineLevel="0" collapsed="false">
      <c r="A9" s="4" t="n">
        <v>6</v>
      </c>
      <c r="B9" s="5" t="s">
        <v>177</v>
      </c>
      <c r="C9" s="6" t="s">
        <v>178</v>
      </c>
      <c r="D9" s="18"/>
      <c r="E9" s="18"/>
      <c r="F9" s="18"/>
    </row>
    <row r="10" customFormat="false" ht="31.5" hidden="false" customHeight="true" outlineLevel="0" collapsed="false">
      <c r="A10" s="8" t="n">
        <v>7</v>
      </c>
      <c r="B10" s="9" t="s">
        <v>179</v>
      </c>
      <c r="C10" s="10" t="s">
        <v>180</v>
      </c>
      <c r="D10" s="15"/>
      <c r="E10" s="15"/>
      <c r="F10" s="15"/>
    </row>
    <row r="11" customFormat="false" ht="31.5" hidden="false" customHeight="true" outlineLevel="0" collapsed="false">
      <c r="A11" s="4" t="n">
        <v>8</v>
      </c>
      <c r="B11" s="5" t="s">
        <v>181</v>
      </c>
      <c r="C11" s="6" t="s">
        <v>182</v>
      </c>
      <c r="D11" s="18"/>
      <c r="E11" s="18"/>
      <c r="F11" s="18"/>
    </row>
    <row r="12" customFormat="false" ht="31.5" hidden="false" customHeight="true" outlineLevel="0" collapsed="false">
      <c r="A12" s="8" t="n">
        <v>9</v>
      </c>
      <c r="B12" s="9" t="s">
        <v>183</v>
      </c>
      <c r="C12" s="10" t="s">
        <v>184</v>
      </c>
      <c r="D12" s="15"/>
      <c r="E12" s="15"/>
      <c r="F12" s="15"/>
    </row>
    <row r="13" customFormat="false" ht="31.5" hidden="false" customHeight="true" outlineLevel="0" collapsed="false">
      <c r="A13" s="4" t="n">
        <v>10</v>
      </c>
      <c r="B13" s="5" t="s">
        <v>185</v>
      </c>
      <c r="C13" s="6" t="s">
        <v>186</v>
      </c>
      <c r="D13" s="18"/>
      <c r="E13" s="18"/>
      <c r="F13" s="18"/>
    </row>
    <row r="14" customFormat="false" ht="31.5" hidden="false" customHeight="true" outlineLevel="0" collapsed="false">
      <c r="A14" s="8" t="n">
        <v>11</v>
      </c>
      <c r="B14" s="9" t="s">
        <v>187</v>
      </c>
      <c r="C14" s="10" t="s">
        <v>188</v>
      </c>
      <c r="D14" s="15"/>
      <c r="E14" s="15"/>
      <c r="F14" s="15"/>
    </row>
    <row r="15" customFormat="false" ht="31.5" hidden="false" customHeight="true" outlineLevel="0" collapsed="false">
      <c r="A15" s="4" t="n">
        <v>12</v>
      </c>
      <c r="B15" s="5" t="s">
        <v>189</v>
      </c>
      <c r="C15" s="6" t="s">
        <v>190</v>
      </c>
      <c r="D15" s="18"/>
      <c r="E15" s="18"/>
      <c r="F15" s="18"/>
    </row>
    <row r="16" customFormat="false" ht="31.5" hidden="false" customHeight="true" outlineLevel="0" collapsed="false">
      <c r="A16" s="8" t="n">
        <v>13</v>
      </c>
      <c r="B16" s="9" t="s">
        <v>191</v>
      </c>
      <c r="C16" s="10" t="s">
        <v>192</v>
      </c>
      <c r="D16" s="15"/>
      <c r="E16" s="15"/>
      <c r="F16" s="15"/>
    </row>
    <row r="17" customFormat="false" ht="31.5" hidden="false" customHeight="true" outlineLevel="0" collapsed="false">
      <c r="A17" s="4" t="n">
        <v>14</v>
      </c>
      <c r="B17" s="5" t="s">
        <v>193</v>
      </c>
      <c r="C17" s="6" t="s">
        <v>194</v>
      </c>
      <c r="D17" s="18"/>
      <c r="E17" s="18"/>
      <c r="F17" s="18"/>
    </row>
    <row r="18" customFormat="false" ht="31.5" hidden="false" customHeight="true" outlineLevel="0" collapsed="false">
      <c r="A18" s="8" t="n">
        <v>15</v>
      </c>
      <c r="B18" s="9" t="s">
        <v>195</v>
      </c>
      <c r="C18" s="10" t="s">
        <v>196</v>
      </c>
      <c r="D18" s="15"/>
      <c r="E18" s="15"/>
      <c r="F18" s="15"/>
    </row>
    <row r="19" customFormat="false" ht="31.5" hidden="false" customHeight="true" outlineLevel="0" collapsed="false">
      <c r="A19" s="4" t="n">
        <v>16</v>
      </c>
      <c r="B19" s="5" t="s">
        <v>197</v>
      </c>
      <c r="C19" s="6" t="s">
        <v>198</v>
      </c>
      <c r="D19" s="18"/>
      <c r="E19" s="18"/>
      <c r="F19" s="18"/>
    </row>
    <row r="20" customFormat="false" ht="31.5" hidden="false" customHeight="true" outlineLevel="0" collapsed="false">
      <c r="A20" s="8" t="n">
        <v>17</v>
      </c>
      <c r="B20" s="9" t="s">
        <v>199</v>
      </c>
      <c r="C20" s="10" t="s">
        <v>200</v>
      </c>
      <c r="D20" s="15"/>
      <c r="E20" s="15"/>
      <c r="F20" s="15"/>
    </row>
    <row r="21" customFormat="false" ht="31.5" hidden="false" customHeight="true" outlineLevel="0" collapsed="false">
      <c r="A21" s="4" t="n">
        <v>18</v>
      </c>
      <c r="B21" s="5" t="s">
        <v>201</v>
      </c>
      <c r="C21" s="6" t="s">
        <v>202</v>
      </c>
      <c r="D21" s="18"/>
      <c r="E21" s="18"/>
      <c r="F21" s="18"/>
    </row>
    <row r="22" customFormat="false" ht="31.5" hidden="false" customHeight="true" outlineLevel="0" collapsed="false">
      <c r="A22" s="8" t="n">
        <v>19</v>
      </c>
      <c r="B22" s="9" t="s">
        <v>203</v>
      </c>
      <c r="C22" s="10" t="s">
        <v>204</v>
      </c>
      <c r="D22" s="15"/>
      <c r="E22" s="15"/>
      <c r="F22" s="15"/>
    </row>
    <row r="23" customFormat="false" ht="31.5" hidden="false" customHeight="true" outlineLevel="0" collapsed="false">
      <c r="A23" s="4" t="n">
        <v>20</v>
      </c>
      <c r="B23" s="5" t="s">
        <v>205</v>
      </c>
      <c r="C23" s="6" t="s">
        <v>206</v>
      </c>
      <c r="D23" s="18"/>
      <c r="E23" s="18"/>
      <c r="F23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2026-05-04T09:37:07Z</dcterms:created>
  <dc:creator>openpyxl</dc:creator>
  <dc:description/>
  <dc:language>en-US</dc:language>
  <cp:lastModifiedBy/>
  <dcterms:modified xsi:type="dcterms:W3CDTF">2026-05-04T09:37:07Z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