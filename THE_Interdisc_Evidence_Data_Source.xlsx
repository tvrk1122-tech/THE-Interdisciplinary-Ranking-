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idence Overview" sheetId="1" state="visible" r:id="rId3"/>
    <sheet name="1. Document Inventory" sheetId="2" state="visible" r:id="rId4"/>
    <sheet name="2. P&amp;T Policy Evidence" sheetId="3" state="visible" r:id="rId5"/>
    <sheet name="3. Strategic Plan Evidence" sheetId="4" state="visible" r:id="rId6"/>
    <sheet name="4. Governance Evidence" sheetId="5" state="visible" r:id="rId7"/>
    <sheet name="5. Curriculum Evidence" sheetId="6" state="visible" r:id="rId8"/>
    <sheet name="6. Research &amp; IP Evidence" sheetId="7" state="visible" r:id="rId9"/>
    <sheet name="7. Scoring Rubric" sheetId="8" state="visible" r:id="rId10"/>
    <sheet name="8. Evidence Scorecard" sheetId="9" state="visible" r:id="rId11"/>
    <sheet name="9. Submission Checklist" sheetId="10" state="visible" r:id="rId12"/>
    <sheet name="10. Data Quality Audi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<sst xmlns="http://schemas.openxmlformats.org/spreadsheetml/2006/main" count="304" uniqueCount="282">
  <si>
    <t xml:space="preserve">THE Interdisciplinary Rankings — Data Sources: Evidence (16%)</t>
  </si>
  <si>
    <t xml:space="preserve">Publicly Accessible Qualitative Documents → Supports Process-Related Indicators (16% of Total)</t>
  </si>
  <si>
    <t xml:space="preserve">#</t>
  </si>
  <si>
    <t xml:space="preserve">Evidence Category</t>
  </si>
  <si>
    <t xml:space="preserve">Description &amp; What THE Assessors Look For</t>
  </si>
  <si>
    <t xml:space="preserve">Process Indicator Fed</t>
  </si>
  <si>
    <t xml:space="preserve">Promotion &amp; Tenure / CAS Policy Documents</t>
  </si>
  <si>
    <t xml:space="preserve">Official university regulations, Board resolutions, ordinances, and statutes governing faculty promotion, tenure, and career advancement. THE assessors verify whether these documents explicitly mention interdisciplinary criteria (cross-domain publications, joint supervision, team-teaching, cross-dept service). Must be current, Board-approved, and publicly accessible.</t>
  </si>
  <si>
    <t xml:space="preserve">Promotion &amp; Tenure (4%)</t>
  </si>
  <si>
    <t xml:space="preserve">Strategic Plan / Development Plan</t>
  </si>
  <si>
    <t xml:space="preserve">Institutional strategic plan (typically 5–10 years) with stated goals for interdisciplinary research, teaching, and collaboration. Assessors look for: specific interdisciplinary targets, resource allocation commitments, cross-department structure plans, and measurable KPIs for convergent science.</t>
  </si>
  <si>
    <t xml:space="preserve">Admin Support (4%) + IRE (20%)</t>
  </si>
  <si>
    <t xml:space="preserve">Annual Reports &amp; SDG Reports</t>
  </si>
  <si>
    <t xml:space="preserve">Published annual institutional reports and dedicated SDG / sustainability reports documenting cross-disciplinary activities, outcomes, community impact, and progress against targets. Must be publicly accessible (website or repository).</t>
  </si>
  <si>
    <t xml:space="preserve">Measure of Success (4%) + SDG (10%)</t>
  </si>
  <si>
    <t xml:space="preserve">Curriculum &amp; Programme Regulations</t>
  </si>
  <si>
    <t xml:space="preserve">Academic regulations governing interdisciplinary programmes: joint degree frameworks, CBCS/ABC regulations, cross-listed course policies, minor/honours pathways, multiple entry-exit rules. Board-approved and publicly available.</t>
  </si>
  <si>
    <t xml:space="preserve">Physical Facilities (4%) + TCI (20%)</t>
  </si>
  <si>
    <t xml:space="preserve">Research Policy &amp; IP Policy</t>
  </si>
  <si>
    <t xml:space="preserve">Institutional research policy, intellectual property policy, technology transfer guidelines, and industry partnership frameworks. Assessors verify: cross-department co-PI eligibility, joint IP ownership rules, interdisciplinary seed grant policies, and shared facility access policies.</t>
  </si>
  <si>
    <t xml:space="preserve">Admin Support (4%) + IKTIL (10%)</t>
  </si>
  <si>
    <t xml:space="preserve">Faculty Handbook / HR Regulations</t>
  </si>
  <si>
    <t xml:space="preserve">Official handbook covering appointment procedures, workload policies, joint appointment frameworks, sabbatical policies, and faculty development programme requirements. Assessors look for interdisciplinary provisions: dual appointments, cross-dept workload credit, team-teaching recognition.</t>
  </si>
  <si>
    <t xml:space="preserve">Governance &amp; Committee Constitutions</t>
  </si>
  <si>
    <t xml:space="preserve">Official constitutions, terms of reference (TOR), and membership lists for interdisciplinary governance bodies: IRC, joint programme boards, shared facility committees, cross-dept budget panels. Must show decision authority scope and meeting frequency.</t>
  </si>
  <si>
    <t xml:space="preserve">Admin Support (4%)</t>
  </si>
  <si>
    <t xml:space="preserve">Accreditation &amp; Quality Reports</t>
  </si>
  <si>
    <t xml:space="preserve">NAAC SSR/SAR, NBA SAR, AISHE submissions, NIRF data, and THE Impact Rankings submissions. These contain verified institutional data on interdisciplinary programmes, research, and outcomes that THE can cross-reference against portal submissions.</t>
  </si>
  <si>
    <t xml:space="preserve">All Process indicators</t>
  </si>
  <si>
    <t xml:space="preserve">MoU Register &amp; Partnership Agreements</t>
  </si>
  <si>
    <t xml:space="preserve">Publicly listed or institutionally registered MoUs with industry, government, international agencies, and peer universities. Assessors verify that agreements explicitly require multi-domain expertise and are currently active.</t>
  </si>
  <si>
    <t xml:space="preserve">IKTIL (10%) + IRE (20%)</t>
  </si>
  <si>
    <t xml:space="preserve">Community Engagement &amp; Outreach Documentation</t>
  </si>
  <si>
    <t xml:space="preserve">Reports, photo documentation, media coverage, and beneficiary records from community-based interdisciplinary initiatives. Must demonstrate multi-department involvement and measurable impact.</t>
  </si>
  <si>
    <t xml:space="preserve">SDG Alignment (10%)</t>
  </si>
  <si>
    <t xml:space="preserve">Key Notes on Evidence Data Source</t>
  </si>
  <si>
    <t xml:space="preserve">• Evidence accounts for 16% of total ranking — the entire Process pillar is scored using qualitative evidence documents.</t>
  </si>
  <si>
    <t xml:space="preserve">• Evidence must be PUBLICLY ACCESSIBLE — on institutional website, official repository, or gazette notification.</t>
  </si>
  <si>
    <t xml:space="preserve">• THE assessors review documents for EXPLICIT mention of interdisciplinary/cross-domain provisions (not implied).</t>
  </si>
  <si>
    <t xml:space="preserve">• Documents must be CURRENT — superseded policies, expired MoUs, or draft documents do not qualify.</t>
  </si>
  <si>
    <t xml:space="preserve">• Evidence is QUALITATIVE — assessed by trained reviewers using structured rubrics, not algorithmic scoring.</t>
  </si>
  <si>
    <t xml:space="preserve">• Cross-referencing: THE validates evidence documents against Portal-submitted quantitative data for consistency.</t>
  </si>
  <si>
    <t xml:space="preserve">• Language: documents in regional languages must have official English translations or summaries available.</t>
  </si>
  <si>
    <t xml:space="preserve">• Evidence supports Process pillar (16%) but also strengthens IRE (20%), TCI (20%), IKTIL (10%), and SDG (10%) pillars.</t>
  </si>
  <si>
    <t xml:space="preserve">Evidence Document Inventory — Master Repository Log</t>
  </si>
  <si>
    <t xml:space="preserve">Complete catalogue of all qualitative evidence documents available for THE submission</t>
  </si>
  <si>
    <t xml:space="preserve">S.No.</t>
  </si>
  <si>
    <t xml:space="preserve">Document Title</t>
  </si>
  <si>
    <t xml:space="preserve">Category (Policy/Report/Regulation/MoU/Handbook/Other)</t>
  </si>
  <si>
    <t xml:space="preserve">Issuing Authority (Board/AC/VC/Registrar/Govt)</t>
  </si>
  <si>
    <t xml:space="preserve">Date of Issue / Last Revision</t>
  </si>
  <si>
    <t xml:space="preserve">Public URL / Repository Location</t>
  </si>
  <si>
    <t xml:space="preserve">Language</t>
  </si>
  <si>
    <t xml:space="preserve">Interdisc. Content (Explicit/Implicit/None)</t>
  </si>
  <si>
    <t xml:space="preserve">Process Indicator Supported</t>
  </si>
  <si>
    <t xml:space="preserve">University Name</t>
  </si>
  <si>
    <t xml:space="preserve">Promotion &amp; Tenure Policy — Evidence Extraction Template</t>
  </si>
  <si>
    <t xml:space="preserve">Extract specific clauses/sections from P&amp;T / CAS policy that mention interdisciplinary criteria</t>
  </si>
  <si>
    <t xml:space="preserve">P&amp;T Criterion / Clause Extracted</t>
  </si>
  <si>
    <t xml:space="preserve">Section / Page Reference</t>
  </si>
  <si>
    <t xml:space="preserve">Exact Wording (Paraphrased)</t>
  </si>
  <si>
    <t xml:space="preserve">Interdisc. Specificity (Explicit/Implicit)</t>
  </si>
  <si>
    <t xml:space="preserve">Assessor Notes</t>
  </si>
  <si>
    <t xml:space="preserve">Clause on cross-disciplinary publications in promotion criteria</t>
  </si>
  <si>
    <t xml:space="preserve">Clause on co-authorship treatment (full value vs. fractional) for cross-dept papers</t>
  </si>
  <si>
    <t xml:space="preserve">Clause on joint / co-supervision of PhDs across departments</t>
  </si>
  <si>
    <t xml:space="preserve">Clause on team-teaching workload credit across departments</t>
  </si>
  <si>
    <t xml:space="preserve">Clause on cross-department committee service in promotion criteria</t>
  </si>
  <si>
    <t xml:space="preserve">Clause on industry-engaged cross-domain R&amp;D recognition</t>
  </si>
  <si>
    <t xml:space="preserve">Clause on interdisciplinary patents / IP in innovation criteria</t>
  </si>
  <si>
    <t xml:space="preserve">Clause on joint appointment tenure-clock treatment</t>
  </si>
  <si>
    <t xml:space="preserve">Clause on SDG-linked interdisciplinary contributions</t>
  </si>
  <si>
    <t xml:space="preserve">General clause encouraging interdisciplinary research / collaboration</t>
  </si>
  <si>
    <t xml:space="preserve">Clause on annual performance review including interdisc. KPIs</t>
  </si>
  <si>
    <t xml:space="preserve">Clause on cross-domain grant acquisition as promotion criterion</t>
  </si>
  <si>
    <t xml:space="preserve">Strategic / Development Plan — Evidence Extraction Template</t>
  </si>
  <si>
    <t xml:space="preserve">Extract goals, targets, and KPIs related to interdisciplinary activities from the strategic plan</t>
  </si>
  <si>
    <t xml:space="preserve">Strategic Goal / Target Extracted</t>
  </si>
  <si>
    <t xml:space="preserve">KPI / Measurable Target</t>
  </si>
  <si>
    <t xml:space="preserve">Timeline / Milestone</t>
  </si>
  <si>
    <t xml:space="preserve">Vision / mission statement explicitly mentions interdisciplinary / multidisciplinary / convergent research</t>
  </si>
  <si>
    <t xml:space="preserve">Strategic goal on establishing cross-department research centres or clusters</t>
  </si>
  <si>
    <t xml:space="preserve">Target for % of research funding allocated to interdisciplinary projects</t>
  </si>
  <si>
    <t xml:space="preserve">Goal for launching interdisciplinary degree programmes (UG/PG/PhD)</t>
  </si>
  <si>
    <t xml:space="preserve">Target for faculty joint appointments across departments</t>
  </si>
  <si>
    <t xml:space="preserve">KPI for cross-disciplinary publications as % of total output</t>
  </si>
  <si>
    <t xml:space="preserve">Goal for industry partnerships requiring multi-domain expertise</t>
  </si>
  <si>
    <t xml:space="preserve">Target for shared infrastructure investment (labs, maker spaces, HPC)</t>
  </si>
  <si>
    <t xml:space="preserve">Goal for cross-department co-supervision of PhD students</t>
  </si>
  <si>
    <t xml:space="preserve">KPI for graduate employment in hybrid / cross-domain roles</t>
  </si>
  <si>
    <t xml:space="preserve">Target for SDG-linked interdisciplinary research outputs</t>
  </si>
  <si>
    <t xml:space="preserve">Goal for NEP-2020 multidisciplinary compliance milestones</t>
  </si>
  <si>
    <t xml:space="preserve">Budget allocation commitment for interdisciplinary initiatives</t>
  </si>
  <si>
    <t xml:space="preserve">Goal for international cross-disciplinary collaboration partnerships</t>
  </si>
  <si>
    <t xml:space="preserve">KPI for innovation output (patents, start-ups) from cross-domain research</t>
  </si>
  <si>
    <t xml:space="preserve">Governance Bodies — Evidence of Constitution, Authority &amp; Activity</t>
  </si>
  <si>
    <t xml:space="preserve">Document references for each interdisciplinary governance body: TOR, membership, minutes, decisions</t>
  </si>
  <si>
    <t xml:space="preserve">Governance Body Name</t>
  </si>
  <si>
    <t xml:space="preserve">Constitution Document Reference</t>
  </si>
  <si>
    <t xml:space="preserve">TOR Available (Y/N)</t>
  </si>
  <si>
    <t xml:space="preserve">Decision Authority Evidence (Binding/Advisory + source)</t>
  </si>
  <si>
    <t xml:space="preserve">Minutes / Meeting Records Available</t>
  </si>
  <si>
    <t xml:space="preserve">Interdisciplinary Research Committee (IRC)</t>
  </si>
  <si>
    <t xml:space="preserve">Cross-Department Academic Board / Joint Programme Committee</t>
  </si>
  <si>
    <t xml:space="preserve">Interdisciplinary Budget Allocation Committee</t>
  </si>
  <si>
    <t xml:space="preserve">Joint Appointment Review Panel</t>
  </si>
  <si>
    <t xml:space="preserve">Shared Facility Governance Board</t>
  </si>
  <si>
    <t xml:space="preserve">Cross-Department Curriculum Design Committee</t>
  </si>
  <si>
    <t xml:space="preserve">Interdisciplinary PhD Co-Supervision Committee</t>
  </si>
  <si>
    <t xml:space="preserve">Industry-Academia Cross-Domain Steering Committee</t>
  </si>
  <si>
    <t xml:space="preserve">Interdisciplinary Ethics Review Board</t>
  </si>
  <si>
    <t xml:space="preserve">SDG / Sustainability Steering Committee</t>
  </si>
  <si>
    <t xml:space="preserve">Student Interdisciplinary Experience Advisory Board</t>
  </si>
  <si>
    <t xml:space="preserve">IP &amp; Technology Transfer Committee (cross-domain)</t>
  </si>
  <si>
    <t xml:space="preserve">External Advisory Board with interdisciplinary representation</t>
  </si>
  <si>
    <t xml:space="preserve">Data Governance Committee for shared research data</t>
  </si>
  <si>
    <t xml:space="preserve">International Collaboration Committee for cross-domain partnerships</t>
  </si>
  <si>
    <t xml:space="preserve">Curriculum &amp; Programme Regulations — Evidence Extraction</t>
  </si>
  <si>
    <t xml:space="preserve">Board-approved regulations enabling interdisciplinary teaching: CBCS, ABC, joint degrees, minors/honours</t>
  </si>
  <si>
    <t xml:space="preserve">Regulation / Framework Extracted</t>
  </si>
  <si>
    <t xml:space="preserve">Board Resolution / Ref</t>
  </si>
  <si>
    <t xml:space="preserve">Key Provision (Paraphrased)</t>
  </si>
  <si>
    <t xml:space="preserve">CBCS regulation enabling cross-department elective selection</t>
  </si>
  <si>
    <t xml:space="preserve">Academic Bank of Credits (ABC) registration and credit transfer rules</t>
  </si>
  <si>
    <t xml:space="preserve">Multiple Entry &amp; Exit (MEE) framework regulation</t>
  </si>
  <si>
    <t xml:space="preserve">Minor / Honours in cross-discipline framework (Board approval)</t>
  </si>
  <si>
    <t xml:space="preserve">Joint degree / dual degree programme regulation (across departments)</t>
  </si>
  <si>
    <t xml:space="preserve">Integrated BS-MS / BS-MBA / BTech-MBA programme regulation</t>
  </si>
  <si>
    <t xml:space="preserve">Cross-listed course approval and credit-sharing mechanism</t>
  </si>
  <si>
    <t xml:space="preserve">Modular curriculum / stackable credentials framework</t>
  </si>
  <si>
    <t xml:space="preserve">Interdisciplinary capstone project guidelines</t>
  </si>
  <si>
    <t xml:space="preserve">Project-based learning (PBL) involving 2+ departments — course regulation</t>
  </si>
  <si>
    <t xml:space="preserve">Open elective catalogue publication policy</t>
  </si>
  <si>
    <t xml:space="preserve">Industry co-designed course approval framework</t>
  </si>
  <si>
    <t xml:space="preserve">Graduate attributes / learning outcomes including 'interdisciplinary problem-solving'</t>
  </si>
  <si>
    <t xml:space="preserve">Semester exchange / study abroad with interdisciplinary partner regulation</t>
  </si>
  <si>
    <t xml:space="preserve">OER / MOOC development policy for cross-domain courses</t>
  </si>
  <si>
    <t xml:space="preserve">Research Policy &amp; IP Policy — Evidence Extraction</t>
  </si>
  <si>
    <t xml:space="preserve">Policies on co-PI eligibility, joint IP ownership, seed grants, shared facility access, TTO frameworks</t>
  </si>
  <si>
    <t xml:space="preserve">Policy Clause / Provision Extracted</t>
  </si>
  <si>
    <t xml:space="preserve">Document / Section Reference</t>
  </si>
  <si>
    <t xml:space="preserve">Research policy allowing co-PI from different departments on same grant</t>
  </si>
  <si>
    <t xml:space="preserve">Seed grant policy specifically for cross-department pilot research</t>
  </si>
  <si>
    <t xml:space="preserve">IP policy on joint ownership for multi-department inventions</t>
  </si>
  <si>
    <t xml:space="preserve">Technology transfer policy for cross-domain commercialization</t>
  </si>
  <si>
    <t xml:space="preserve">Revenue-sharing policy incentivizing multi-department IP</t>
  </si>
  <si>
    <t xml:space="preserve">Shared facility access policy (open to all departments)</t>
  </si>
  <si>
    <t xml:space="preserve">Research data sharing policy across departments</t>
  </si>
  <si>
    <t xml:space="preserve">Industry partnership MoU template requiring cross-domain scope</t>
  </si>
  <si>
    <t xml:space="preserve">Cross-department ethics clearance framework for multi-domain research</t>
  </si>
  <si>
    <t xml:space="preserve">Publication policy crediting cross-disciplinary co-authorship at full value</t>
  </si>
  <si>
    <t xml:space="preserve">Sabbatical / exchange policy enabling faculty to work in other departments</t>
  </si>
  <si>
    <t xml:space="preserve">Interdisciplinary research centre establishment policy</t>
  </si>
  <si>
    <t xml:space="preserve">Green-channel approval policy for interdisciplinary project proposals</t>
  </si>
  <si>
    <t xml:space="preserve">Evidence Assessment Rubric — Scoring Framework for Qualitative Documents</t>
  </si>
  <si>
    <t xml:space="preserve">How THE assessors score each evidence category | 5-level rubric (0–4)</t>
  </si>
  <si>
    <t xml:space="preserve">Score</t>
  </si>
  <si>
    <t xml:space="preserve">Level</t>
  </si>
  <si>
    <t xml:space="preserve">Criteria — P&amp;T Policy</t>
  </si>
  <si>
    <t xml:space="preserve">Criteria — Strategic Plan</t>
  </si>
  <si>
    <t xml:space="preserve">Criteria — Governance</t>
  </si>
  <si>
    <t xml:space="preserve">Criteria — Curriculum</t>
  </si>
  <si>
    <t xml:space="preserve">Exemplary</t>
  </si>
  <si>
    <t xml:space="preserve">≥14 of 18 criteria explicitly present; detailed, specific, Board-approved, regularly reviewed</t>
  </si>
  <si>
    <t xml:space="preserve">Clear interdisc. vision with ≥12 measurable KPIs, dedicated budget, timeline, annual progress tracking</t>
  </si>
  <si>
    <t xml:space="preserve">≥12 active governance bodies with binding authority, regular meetings, cross-dept representation, documented decisions</t>
  </si>
  <si>
    <t xml:space="preserve">≥13 flexibility features implemented; ABC active, CBCS with cross-dept pool, joint degrees, PBL, OBE with interdisc. attributes</t>
  </si>
  <si>
    <t xml:space="preserve">Advanced</t>
  </si>
  <si>
    <t xml:space="preserve">10–13 criteria present; most explicit; policy is current and documented</t>
  </si>
  <si>
    <t xml:space="preserve">Interdisc. goals present with 8–11 KPIs; budget partially allocated; some milestones set</t>
  </si>
  <si>
    <t xml:space="preserve">8–11 active bodies; most with documented TOR; advisory + some binding authority</t>
  </si>
  <si>
    <t xml:space="preserve">9–12 features implemented; progressive flexibility with documented regulations</t>
  </si>
  <si>
    <t xml:space="preserve">Developing</t>
  </si>
  <si>
    <t xml:space="preserve">6–9 criteria present; mix of explicit and implicit; some gaps in documentation</t>
  </si>
  <si>
    <t xml:space="preserve">Interdisc. mentioned in strategic goals but limited KPIs (&lt;8); aspirational language</t>
  </si>
  <si>
    <t xml:space="preserve">5–7 active bodies; some TOR gaps; predominantly advisory</t>
  </si>
  <si>
    <t xml:space="preserve">5–8 features implemented; basic CBCS in place but cross-dept options limited</t>
  </si>
  <si>
    <t xml:space="preserve">Nascent</t>
  </si>
  <si>
    <t xml:space="preserve">3–5 criteria present; mostly implicit; policy may be outdated or not Board-approved</t>
  </si>
  <si>
    <t xml:space="preserve">Vague reference to interdisciplinarity; no specific KPIs or budget; general language only</t>
  </si>
  <si>
    <t xml:space="preserve">2–4 bodies exist; informal constitution; sporadic meetings</t>
  </si>
  <si>
    <t xml:space="preserve">2–4 features; limited flexibility; interdisciplinary options ad-hoc</t>
  </si>
  <si>
    <t xml:space="preserve">Absent</t>
  </si>
  <si>
    <t xml:space="preserve">≤2 criteria; no explicit mention; no evidence of interdisc. in P&amp;T framework</t>
  </si>
  <si>
    <t xml:space="preserve">No interdisciplinary goals in strategic plan</t>
  </si>
  <si>
    <t xml:space="preserve">0–1 governance body for cross-dept matters</t>
  </si>
  <si>
    <t xml:space="preserve">≤1 feature; no structural flexibility for cross-dept learning</t>
  </si>
  <si>
    <t xml:space="preserve">University Evidence Scorecard — Per-Category Assessment (0–4 Rubric)</t>
  </si>
  <si>
    <t xml:space="preserve">Rate each evidence category 0–4 using the rubric | Auto-calculates composite evidence score</t>
  </si>
  <si>
    <t xml:space="preserve">P&amp;T Policy (0–4)</t>
  </si>
  <si>
    <t xml:space="preserve">Strategic Plan (0–4)</t>
  </si>
  <si>
    <t xml:space="preserve">Annual/SDG Reports (0–4)</t>
  </si>
  <si>
    <t xml:space="preserve">Curriculum Regs (0–4)</t>
  </si>
  <si>
    <t xml:space="preserve">Research &amp; IP Policy (0–4)</t>
  </si>
  <si>
    <t xml:space="preserve">HR / Faculty Handbook (0–4)</t>
  </si>
  <si>
    <t xml:space="preserve">Governance Docs (0–4)</t>
  </si>
  <si>
    <t xml:space="preserve">Composite Evidence Score (0–100)</t>
  </si>
  <si>
    <t xml:space="preserve">Evidence Tier</t>
  </si>
  <si>
    <t xml:space="preserve">Evidence Submission Readiness Checklist</t>
  </si>
  <si>
    <t xml:space="preserve">Pre-submission verification — all evidence documents catalogued, current, accessible, and compliant</t>
  </si>
  <si>
    <t xml:space="preserve">Responsible Person</t>
  </si>
  <si>
    <t xml:space="preserve">Checklist Item</t>
  </si>
  <si>
    <t xml:space="preserve">Status (Done/Pending)</t>
  </si>
  <si>
    <t xml:space="preserve">URL / Location</t>
  </si>
  <si>
    <t xml:space="preserve">Date Verified</t>
  </si>
  <si>
    <t xml:space="preserve">Remarks</t>
  </si>
  <si>
    <t xml:space="preserve">P&amp;T / CAS policy document is the current Board-approved version (not draft)</t>
  </si>
  <si>
    <t xml:space="preserve">P&amp;T policy is publicly accessible on institutional website</t>
  </si>
  <si>
    <t xml:space="preserve">Strategic plan / development plan uploaded or linked (current version)</t>
  </si>
  <si>
    <t xml:space="preserve">Strategic plan contains measurable interdisciplinary KPIs</t>
  </si>
  <si>
    <t xml:space="preserve">Annual report (latest year) published and accessible</t>
  </si>
  <si>
    <t xml:space="preserve">SDG / sustainability report published (if applicable)</t>
  </si>
  <si>
    <t xml:space="preserve">CBCS / ABC / MEE regulations uploaded (Board-approved version)</t>
  </si>
  <si>
    <t xml:space="preserve">Joint degree / dual degree regulation available</t>
  </si>
  <si>
    <t xml:space="preserve">Research policy document uploaded (co-PI eligibility, seed grants)</t>
  </si>
  <si>
    <t xml:space="preserve">IP / TTO policy document uploaded (joint IP provisions)</t>
  </si>
  <si>
    <t xml:space="preserve">Faculty handbook / HR regulations available (joint appointment provisions)</t>
  </si>
  <si>
    <t xml:space="preserve">All governance body constitutions / TOR documents uploaded</t>
  </si>
  <si>
    <t xml:space="preserve">Meeting minutes for key governance bodies available (past 12 months)</t>
  </si>
  <si>
    <t xml:space="preserve">MoU register or partnership list publicly accessible</t>
  </si>
  <si>
    <t xml:space="preserve">Community engagement documentation / reports available</t>
  </si>
  <si>
    <t xml:space="preserve">NAAC SSR / NBA SAR / AISHE data accessible for cross-referencing</t>
  </si>
  <si>
    <t xml:space="preserve">NIRF submission data available for cross-referencing</t>
  </si>
  <si>
    <t xml:space="preserve">THE Impact Rankings submission data consistent with this evidence</t>
  </si>
  <si>
    <t xml:space="preserve">All documents in English or with official English translation / summary</t>
  </si>
  <si>
    <t xml:space="preserve">Document URLs verified as active (no broken links)</t>
  </si>
  <si>
    <t xml:space="preserve">All documents dated within past 3 years (or last revision within 3 years)</t>
  </si>
  <si>
    <t xml:space="preserve">Evidence inventory (Sheet 1) complete — all documents catalogued</t>
  </si>
  <si>
    <t xml:space="preserve">Internal review of evidence quality completed by designated reviewer</t>
  </si>
  <si>
    <t xml:space="preserve">Contact person designated for THE evidence audit queries</t>
  </si>
  <si>
    <t xml:space="preserve">Readiness Summary</t>
  </si>
  <si>
    <t xml:space="preserve">Items Completed</t>
  </si>
  <si>
    <t xml:space="preserve">Completion Rate (%)</t>
  </si>
  <si>
    <t xml:space="preserve">Items Pending</t>
  </si>
  <si>
    <t xml:space="preserve">Submission Ready?</t>
  </si>
  <si>
    <t xml:space="preserve">Evidence Data Source — Data Quality &amp; Audit Checklist</t>
  </si>
  <si>
    <t xml:space="preserve">Validation checks for all qualitative evidence documents (16% of total ranking)</t>
  </si>
  <si>
    <t xml:space="preserve">Quality Check</t>
  </si>
  <si>
    <t xml:space="preserve">Description</t>
  </si>
  <si>
    <t xml:space="preserve">Status (✓/✗/IP)</t>
  </si>
  <si>
    <t xml:space="preserve">Date</t>
  </si>
  <si>
    <t xml:space="preserve">Reviewer</t>
  </si>
  <si>
    <t xml:space="preserve">Document currency</t>
  </si>
  <si>
    <t xml:space="preserve">All policy documents are the current Board-approved version (check issue date / revision date within 3 years)</t>
  </si>
  <si>
    <t xml:space="preserve">Public accessibility</t>
  </si>
  <si>
    <t xml:space="preserve">All documents accessible via public URL or institutional repository (not behind login/paywall)</t>
  </si>
  <si>
    <t xml:space="preserve">Board / authority approval</t>
  </si>
  <si>
    <t xml:space="preserve">Each policy/regulation backed by a documented Board resolution, Academic Council approval, or statutory order</t>
  </si>
  <si>
    <t xml:space="preserve">Explicit vs implicit language</t>
  </si>
  <si>
    <t xml:space="preserve">'Interdisciplinary' or 'cross-disciplinary' or 'multidisciplinary' explicitly appears in the document text (not just inferred)</t>
  </si>
  <si>
    <t xml:space="preserve">English availability</t>
  </si>
  <si>
    <t xml:space="preserve">Documents in regional languages have official English translations or executive summaries</t>
  </si>
  <si>
    <t xml:space="preserve">Cross-reference with Portal data</t>
  </si>
  <si>
    <t xml:space="preserve">Evidence claims are consistent with quantitative data submitted via THE Portal (no contradictions)</t>
  </si>
  <si>
    <t xml:space="preserve">Cross-reference with NAAC/NBA/NIRF</t>
  </si>
  <si>
    <t xml:space="preserve">Evidence consistent with data submitted to national accreditation/ranking bodies</t>
  </si>
  <si>
    <t xml:space="preserve">Governance body activity verification</t>
  </si>
  <si>
    <t xml:space="preserve">Meeting minutes exist for the past 12 months for each governance body listed</t>
  </si>
  <si>
    <t xml:space="preserve">MoU active status</t>
  </si>
  <si>
    <t xml:space="preserve">Partnership agreements listed as 'active' have demonstrable activity in the past 24 months</t>
  </si>
  <si>
    <t xml:space="preserve">Community impact documentation</t>
  </si>
  <si>
    <t xml:space="preserve">Outreach claims supported by beneficiary records, media coverage, or third-party evaluation</t>
  </si>
  <si>
    <t xml:space="preserve">SDG report quality</t>
  </si>
  <si>
    <t xml:space="preserve">SDG report follows recognized framework (UN PRME, SDSN, THE Impact Rankings template)</t>
  </si>
  <si>
    <t xml:space="preserve">Strategic plan KPI measurability</t>
  </si>
  <si>
    <t xml:space="preserve">KPIs in strategic plan are specific, measurable, time-bound (not vague aspirational language)</t>
  </si>
  <si>
    <t xml:space="preserve">P&amp;T policy depth assessment</t>
  </si>
  <si>
    <t xml:space="preserve">P&amp;T policy assessed using the 18-criterion checklist with inter-rater reliability documented</t>
  </si>
  <si>
    <t xml:space="preserve">Rubric consistency</t>
  </si>
  <si>
    <t xml:space="preserve">5-level scoring rubric (0–4) applied consistently across all evidence categories by trained assessor(s)</t>
  </si>
  <si>
    <t xml:space="preserve">Document inventory completeness</t>
  </si>
  <si>
    <t xml:space="preserve">All relevant institutional documents catalogued in the inventory (Sheet 1) — no significant gaps</t>
  </si>
  <si>
    <t xml:space="preserve">Broken link check</t>
  </si>
  <si>
    <t xml:space="preserve">All URLs in document inventory tested and confirmed active (no 404 errors)</t>
  </si>
  <si>
    <t xml:space="preserve">Version control</t>
  </si>
  <si>
    <t xml:space="preserve">Superseded policy versions clearly marked; only current versions assessed</t>
  </si>
  <si>
    <t xml:space="preserve">Inter-rater reliability</t>
  </si>
  <si>
    <t xml:space="preserve">If multiple assessors used, inter-rater reliability ≥0.70 (Cohen's kappa or equivalent)</t>
  </si>
  <si>
    <t xml:space="preserve">Sensitivity to institutional type</t>
  </si>
  <si>
    <t xml:space="preserve">Assessment accounts for differences between central/state/private and research/teaching-focused institutions</t>
  </si>
  <si>
    <t xml:space="preserve">Reproducibility test</t>
  </si>
  <si>
    <t xml:space="preserve">An independent assessor can reach the same rubric scores ±1 level using this workbook and the documents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</si>
</sst>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1A2E4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00695C"/>
        <bgColor rgb="FF00808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1A2E4F"/>
        <bgColor rgb="FF404040"/>
      </patternFill>
    </fill>
    <fill>
      <patternFill patternType="solid">
        <fgColor rgb="FFC8102E"/>
        <bgColor rgb="FF8B0000"/>
      </patternFill>
    </fill>
    <fill>
      <patternFill patternType="solid">
        <fgColor rgb="FF7030A0"/>
        <bgColor rgb="FF993366"/>
      </patternFill>
    </fill>
    <fill>
      <patternFill patternType="solid">
        <fgColor rgb="FF3F51B5"/>
        <bgColor rgb="FF666699"/>
      </patternFill>
    </fill>
    <fill>
      <patternFill patternType="solid">
        <fgColor rgb="FF2F8F9D"/>
        <bgColor rgb="FF2E75B6"/>
      </patternFill>
    </fill>
    <fill>
      <patternFill patternType="solid">
        <fgColor rgb="FFED7D31"/>
        <bgColor rgb="FFFF8080"/>
      </patternFill>
    </fill>
    <fill>
      <patternFill patternType="solid">
        <fgColor rgb="FF8B0000"/>
        <bgColor rgb="FF800000"/>
      </patternFill>
    </fill>
    <fill>
      <patternFill patternType="solid">
        <fgColor rgb="FFBF8F00"/>
        <bgColor rgb="FFED7D31"/>
      </patternFill>
    </fill>
    <fill>
      <patternFill patternType="solid">
        <fgColor rgb="FF548235"/>
        <bgColor rgb="FF808080"/>
      </patternFill>
    </fill>
    <fill>
      <patternFill patternType="solid">
        <fgColor rgb="FFE2EFDA"/>
        <bgColor rgb="FFF2F2F2"/>
      </patternFill>
    </fill>
    <fill>
      <patternFill patternType="solid">
        <fgColor rgb="FF2E75B6"/>
        <bgColor rgb="FF2F8F9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548235"/>
      <rgbColor rgb="FF800080"/>
      <rgbColor rgb="FF00695C"/>
      <rgbColor rgb="FFB4B4B4"/>
      <rgbColor rgb="FF808080"/>
      <rgbColor rgb="FF9999FF"/>
      <rgbColor rgb="FF7030A0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ED7D31"/>
      <rgbColor rgb="FF666699"/>
      <rgbColor rgb="FF969696"/>
      <rgbColor rgb="FF1A2E4F"/>
      <rgbColor rgb="FF2F8F9D"/>
      <rgbColor rgb="FF003300"/>
      <rgbColor rgb="FF333300"/>
      <rgbColor rgb="FF993300"/>
      <rgbColor rgb="FF993366"/>
      <rgbColor rgb="FF3F51B5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95C"/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18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25.5" hidden="false" customHeight="true" outlineLevel="0" collapsed="false">
      <c r="A2" s="2" t="s">
        <v>1</v>
      </c>
      <c r="B2" s="2"/>
      <c r="C2" s="2"/>
      <c r="D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79.5" hidden="false" customHeight="true" outlineLevel="0" collapsed="false">
      <c r="A5" s="4" t="n">
        <v>1</v>
      </c>
      <c r="B5" s="5" t="s">
        <v>6</v>
      </c>
      <c r="C5" s="6" t="s">
        <v>7</v>
      </c>
      <c r="D5" s="7" t="s">
        <v>8</v>
      </c>
    </row>
    <row r="6" customFormat="false" ht="79.5" hidden="false" customHeight="true" outlineLevel="0" collapsed="false">
      <c r="A6" s="8" t="n">
        <v>2</v>
      </c>
      <c r="B6" s="9" t="s">
        <v>9</v>
      </c>
      <c r="C6" s="10" t="s">
        <v>10</v>
      </c>
      <c r="D6" s="11" t="s">
        <v>11</v>
      </c>
    </row>
    <row r="7" customFormat="false" ht="79.5" hidden="false" customHeight="true" outlineLevel="0" collapsed="false">
      <c r="A7" s="4" t="n">
        <v>3</v>
      </c>
      <c r="B7" s="5" t="s">
        <v>12</v>
      </c>
      <c r="C7" s="6" t="s">
        <v>13</v>
      </c>
      <c r="D7" s="7" t="s">
        <v>14</v>
      </c>
    </row>
    <row r="8" customFormat="false" ht="79.5" hidden="false" customHeight="true" outlineLevel="0" collapsed="false">
      <c r="A8" s="8" t="n">
        <v>4</v>
      </c>
      <c r="B8" s="9" t="s">
        <v>15</v>
      </c>
      <c r="C8" s="10" t="s">
        <v>16</v>
      </c>
      <c r="D8" s="11" t="s">
        <v>17</v>
      </c>
    </row>
    <row r="9" customFormat="false" ht="79.5" hidden="false" customHeight="true" outlineLevel="0" collapsed="false">
      <c r="A9" s="4" t="n">
        <v>5</v>
      </c>
      <c r="B9" s="5" t="s">
        <v>18</v>
      </c>
      <c r="C9" s="6" t="s">
        <v>19</v>
      </c>
      <c r="D9" s="7" t="s">
        <v>20</v>
      </c>
    </row>
    <row r="10" customFormat="false" ht="79.5" hidden="false" customHeight="true" outlineLevel="0" collapsed="false">
      <c r="A10" s="8" t="n">
        <v>6</v>
      </c>
      <c r="B10" s="9" t="s">
        <v>21</v>
      </c>
      <c r="C10" s="10" t="s">
        <v>22</v>
      </c>
      <c r="D10" s="11" t="s">
        <v>8</v>
      </c>
    </row>
    <row r="11" customFormat="false" ht="79.5" hidden="false" customHeight="true" outlineLevel="0" collapsed="false">
      <c r="A11" s="4" t="n">
        <v>7</v>
      </c>
      <c r="B11" s="5" t="s">
        <v>23</v>
      </c>
      <c r="C11" s="6" t="s">
        <v>24</v>
      </c>
      <c r="D11" s="7" t="s">
        <v>25</v>
      </c>
    </row>
    <row r="12" customFormat="false" ht="79.5" hidden="false" customHeight="true" outlineLevel="0" collapsed="false">
      <c r="A12" s="8" t="n">
        <v>8</v>
      </c>
      <c r="B12" s="9" t="s">
        <v>26</v>
      </c>
      <c r="C12" s="10" t="s">
        <v>27</v>
      </c>
      <c r="D12" s="11" t="s">
        <v>28</v>
      </c>
    </row>
    <row r="13" customFormat="false" ht="79.5" hidden="false" customHeight="true" outlineLevel="0" collapsed="false">
      <c r="A13" s="4" t="n">
        <v>9</v>
      </c>
      <c r="B13" s="5" t="s">
        <v>29</v>
      </c>
      <c r="C13" s="6" t="s">
        <v>30</v>
      </c>
      <c r="D13" s="7" t="s">
        <v>31</v>
      </c>
    </row>
    <row r="14" customFormat="false" ht="79.5" hidden="false" customHeight="true" outlineLevel="0" collapsed="false">
      <c r="A14" s="8" t="n">
        <v>10</v>
      </c>
      <c r="B14" s="9" t="s">
        <v>32</v>
      </c>
      <c r="C14" s="10" t="s">
        <v>33</v>
      </c>
      <c r="D14" s="11" t="s">
        <v>34</v>
      </c>
    </row>
    <row r="16" customFormat="false" ht="25.5" hidden="false" customHeight="true" outlineLevel="0" collapsed="false">
      <c r="A16" s="12" t="s">
        <v>35</v>
      </c>
      <c r="B16" s="12"/>
      <c r="C16" s="12"/>
      <c r="D16" s="12"/>
    </row>
    <row r="17" customFormat="false" ht="15" hidden="false" customHeight="true" outlineLevel="0" collapsed="false">
      <c r="A17" s="13" t="s">
        <v>36</v>
      </c>
      <c r="B17" s="13"/>
      <c r="C17" s="13"/>
      <c r="D17" s="13"/>
    </row>
    <row r="18" customFormat="false" ht="15" hidden="false" customHeight="true" outlineLevel="0" collapsed="false">
      <c r="A18" s="13" t="s">
        <v>37</v>
      </c>
      <c r="B18" s="13"/>
      <c r="C18" s="13"/>
      <c r="D18" s="13"/>
    </row>
    <row r="19" customFormat="false" ht="15" hidden="false" customHeight="true" outlineLevel="0" collapsed="false">
      <c r="A19" s="13" t="s">
        <v>38</v>
      </c>
      <c r="B19" s="13"/>
      <c r="C19" s="13"/>
      <c r="D19" s="13"/>
    </row>
    <row r="20" customFormat="false" ht="15" hidden="false" customHeight="true" outlineLevel="0" collapsed="false">
      <c r="A20" s="13" t="s">
        <v>39</v>
      </c>
      <c r="B20" s="13"/>
      <c r="C20" s="13"/>
      <c r="D20" s="13"/>
    </row>
    <row r="21" customFormat="false" ht="15" hidden="false" customHeight="true" outlineLevel="0" collapsed="false">
      <c r="A21" s="13" t="s">
        <v>40</v>
      </c>
      <c r="B21" s="13"/>
      <c r="C21" s="13"/>
      <c r="D21" s="13"/>
    </row>
    <row r="22" customFormat="false" ht="15" hidden="false" customHeight="true" outlineLevel="0" collapsed="false">
      <c r="A22" s="13" t="s">
        <v>41</v>
      </c>
      <c r="B22" s="13"/>
      <c r="C22" s="13"/>
      <c r="D22" s="13"/>
    </row>
    <row r="23" customFormat="false" ht="15" hidden="false" customHeight="true" outlineLevel="0" collapsed="false">
      <c r="A23" s="13" t="s">
        <v>42</v>
      </c>
      <c r="B23" s="13"/>
      <c r="C23" s="13"/>
      <c r="D23" s="13"/>
    </row>
    <row r="24" customFormat="false" ht="15" hidden="false" customHeight="true" outlineLevel="0" collapsed="false">
      <c r="A24" s="13" t="s">
        <v>43</v>
      </c>
      <c r="B24" s="13"/>
      <c r="C24" s="13"/>
      <c r="D24" s="13"/>
    </row>
  </sheetData>
  <mergeCells count="11">
    <mergeCell ref="A1:D1"/>
    <mergeCell ref="A2:D2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J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4" min="3" style="0" width="22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9" min="8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14" t="s">
        <v>44</v>
      </c>
      <c r="B1" s="14"/>
      <c r="C1" s="14"/>
      <c r="D1" s="14"/>
      <c r="E1" s="14"/>
      <c r="F1" s="14"/>
      <c r="G1" s="14"/>
      <c r="H1" s="14"/>
      <c r="I1" s="14"/>
      <c r="J1" s="14"/>
    </row>
    <row r="2" customFormat="false" ht="25.5" hidden="false" customHeight="true" outlineLevel="0" collapsed="false">
      <c r="A2" s="15" t="s">
        <v>45</v>
      </c>
      <c r="B2" s="15"/>
      <c r="C2" s="15"/>
      <c r="D2" s="15"/>
      <c r="E2" s="15"/>
      <c r="F2" s="15"/>
      <c r="G2" s="15"/>
      <c r="H2" s="15"/>
      <c r="I2" s="15"/>
      <c r="J2" s="15"/>
    </row>
    <row r="3" customFormat="false" ht="35.05" hidden="false" customHeight="false" outlineLevel="0" collapsed="false">
      <c r="A3" s="16" t="s">
        <v>46</v>
      </c>
      <c r="B3" s="16" t="s">
        <v>47</v>
      </c>
      <c r="C3" s="16" t="s">
        <v>48</v>
      </c>
      <c r="D3" s="16" t="s">
        <v>49</v>
      </c>
      <c r="E3" s="16" t="s">
        <v>50</v>
      </c>
      <c r="F3" s="16" t="s">
        <v>51</v>
      </c>
      <c r="G3" s="16" t="s">
        <v>52</v>
      </c>
      <c r="H3" s="16" t="s">
        <v>53</v>
      </c>
      <c r="I3" s="16" t="s">
        <v>54</v>
      </c>
      <c r="J3" s="16" t="s">
        <v>55</v>
      </c>
    </row>
    <row r="4" customFormat="false" ht="31.5" hidden="false" customHeight="true" outlineLevel="0" collapsed="false">
      <c r="A4" s="8" t="n">
        <v>1</v>
      </c>
      <c r="B4" s="17"/>
      <c r="C4" s="17"/>
      <c r="D4" s="17"/>
      <c r="E4" s="17"/>
      <c r="F4" s="17"/>
      <c r="G4" s="17"/>
      <c r="H4" s="17"/>
      <c r="I4" s="17"/>
      <c r="J4" s="17"/>
    </row>
    <row r="5" customFormat="false" ht="31.5" hidden="false" customHeight="true" outlineLevel="0" collapsed="false">
      <c r="A5" s="4" t="n">
        <v>2</v>
      </c>
      <c r="B5" s="18"/>
      <c r="C5" s="18"/>
      <c r="D5" s="18"/>
      <c r="E5" s="18"/>
      <c r="F5" s="18"/>
      <c r="G5" s="18"/>
      <c r="H5" s="18"/>
      <c r="I5" s="18"/>
      <c r="J5" s="18"/>
    </row>
    <row r="6" customFormat="false" ht="31.5" hidden="false" customHeight="true" outlineLevel="0" collapsed="false">
      <c r="A6" s="8" t="n">
        <v>3</v>
      </c>
      <c r="B6" s="17"/>
      <c r="C6" s="17"/>
      <c r="D6" s="17"/>
      <c r="E6" s="17"/>
      <c r="F6" s="17"/>
      <c r="G6" s="17"/>
      <c r="H6" s="17"/>
      <c r="I6" s="17"/>
      <c r="J6" s="17"/>
    </row>
    <row r="7" customFormat="false" ht="31.5" hidden="false" customHeight="true" outlineLevel="0" collapsed="false">
      <c r="A7" s="4" t="n">
        <v>4</v>
      </c>
      <c r="B7" s="18"/>
      <c r="C7" s="18"/>
      <c r="D7" s="18"/>
      <c r="E7" s="18"/>
      <c r="F7" s="18"/>
      <c r="G7" s="18"/>
      <c r="H7" s="18"/>
      <c r="I7" s="18"/>
      <c r="J7" s="18"/>
    </row>
    <row r="8" customFormat="false" ht="31.5" hidden="false" customHeight="true" outlineLevel="0" collapsed="false">
      <c r="A8" s="8" t="n">
        <v>5</v>
      </c>
      <c r="B8" s="17"/>
      <c r="C8" s="17"/>
      <c r="D8" s="17"/>
      <c r="E8" s="17"/>
      <c r="F8" s="17"/>
      <c r="G8" s="17"/>
      <c r="H8" s="17"/>
      <c r="I8" s="17"/>
      <c r="J8" s="17"/>
    </row>
    <row r="9" customFormat="false" ht="31.5" hidden="false" customHeight="true" outlineLevel="0" collapsed="false">
      <c r="A9" s="4" t="n">
        <v>6</v>
      </c>
      <c r="B9" s="18"/>
      <c r="C9" s="18"/>
      <c r="D9" s="18"/>
      <c r="E9" s="18"/>
      <c r="F9" s="18"/>
      <c r="G9" s="18"/>
      <c r="H9" s="18"/>
      <c r="I9" s="18"/>
      <c r="J9" s="18"/>
    </row>
    <row r="10" customFormat="false" ht="31.5" hidden="false" customHeight="true" outlineLevel="0" collapsed="false">
      <c r="A10" s="8" t="n">
        <v>7</v>
      </c>
      <c r="B10" s="17"/>
      <c r="C10" s="17"/>
      <c r="D10" s="17"/>
      <c r="E10" s="17"/>
      <c r="F10" s="17"/>
      <c r="G10" s="17"/>
      <c r="H10" s="17"/>
      <c r="I10" s="17"/>
      <c r="J10" s="17"/>
    </row>
    <row r="11" customFormat="false" ht="31.5" hidden="false" customHeight="true" outlineLevel="0" collapsed="false">
      <c r="A11" s="4" t="n">
        <v>8</v>
      </c>
      <c r="B11" s="18"/>
      <c r="C11" s="18"/>
      <c r="D11" s="18"/>
      <c r="E11" s="18"/>
      <c r="F11" s="18"/>
      <c r="G11" s="18"/>
      <c r="H11" s="18"/>
      <c r="I11" s="18"/>
      <c r="J11" s="18"/>
    </row>
    <row r="12" customFormat="false" ht="31.5" hidden="false" customHeight="true" outlineLevel="0" collapsed="false">
      <c r="A12" s="8" t="n">
        <v>9</v>
      </c>
      <c r="B12" s="17"/>
      <c r="C12" s="17"/>
      <c r="D12" s="17"/>
      <c r="E12" s="17"/>
      <c r="F12" s="17"/>
      <c r="G12" s="17"/>
      <c r="H12" s="17"/>
      <c r="I12" s="17"/>
      <c r="J12" s="17"/>
    </row>
    <row r="13" customFormat="false" ht="31.5" hidden="false" customHeight="true" outlineLevel="0" collapsed="false">
      <c r="A13" s="4" t="n">
        <v>10</v>
      </c>
      <c r="B13" s="18"/>
      <c r="C13" s="18"/>
      <c r="D13" s="18"/>
      <c r="E13" s="18"/>
      <c r="F13" s="18"/>
      <c r="G13" s="18"/>
      <c r="H13" s="18"/>
      <c r="I13" s="18"/>
      <c r="J13" s="18"/>
    </row>
    <row r="14" customFormat="false" ht="31.5" hidden="false" customHeight="true" outlineLevel="0" collapsed="false">
      <c r="A14" s="8" t="n">
        <v>11</v>
      </c>
      <c r="B14" s="17"/>
      <c r="C14" s="17"/>
      <c r="D14" s="17"/>
      <c r="E14" s="17"/>
      <c r="F14" s="17"/>
      <c r="G14" s="17"/>
      <c r="H14" s="17"/>
      <c r="I14" s="17"/>
      <c r="J14" s="17"/>
    </row>
    <row r="15" customFormat="false" ht="31.5" hidden="false" customHeight="true" outlineLevel="0" collapsed="false">
      <c r="A15" s="4" t="n">
        <v>12</v>
      </c>
      <c r="B15" s="18"/>
      <c r="C15" s="18"/>
      <c r="D15" s="18"/>
      <c r="E15" s="18"/>
      <c r="F15" s="18"/>
      <c r="G15" s="18"/>
      <c r="H15" s="18"/>
      <c r="I15" s="18"/>
      <c r="J15" s="18"/>
    </row>
    <row r="16" customFormat="false" ht="31.5" hidden="false" customHeight="true" outlineLevel="0" collapsed="false">
      <c r="A16" s="8" t="n">
        <v>13</v>
      </c>
      <c r="B16" s="17"/>
      <c r="C16" s="17"/>
      <c r="D16" s="17"/>
      <c r="E16" s="17"/>
      <c r="F16" s="17"/>
      <c r="G16" s="17"/>
      <c r="H16" s="17"/>
      <c r="I16" s="17"/>
      <c r="J16" s="17"/>
    </row>
    <row r="17" customFormat="false" ht="31.5" hidden="false" customHeight="true" outlineLevel="0" collapsed="false">
      <c r="A17" s="4" t="n">
        <v>14</v>
      </c>
      <c r="B17" s="18"/>
      <c r="C17" s="18"/>
      <c r="D17" s="18"/>
      <c r="E17" s="18"/>
      <c r="F17" s="18"/>
      <c r="G17" s="18"/>
      <c r="H17" s="18"/>
      <c r="I17" s="18"/>
      <c r="J17" s="18"/>
    </row>
    <row r="18" customFormat="false" ht="31.5" hidden="false" customHeight="true" outlineLevel="0" collapsed="false">
      <c r="A18" s="8" t="n">
        <v>15</v>
      </c>
      <c r="B18" s="17"/>
      <c r="C18" s="17"/>
      <c r="D18" s="17"/>
      <c r="E18" s="17"/>
      <c r="F18" s="17"/>
      <c r="G18" s="17"/>
      <c r="H18" s="17"/>
      <c r="I18" s="17"/>
      <c r="J18" s="17"/>
    </row>
    <row r="19" customFormat="false" ht="31.5" hidden="false" customHeight="true" outlineLevel="0" collapsed="false">
      <c r="A19" s="4" t="n">
        <v>16</v>
      </c>
      <c r="B19" s="18"/>
      <c r="C19" s="18"/>
      <c r="D19" s="18"/>
      <c r="E19" s="18"/>
      <c r="F19" s="18"/>
      <c r="G19" s="18"/>
      <c r="H19" s="18"/>
      <c r="I19" s="18"/>
      <c r="J19" s="18"/>
    </row>
    <row r="20" customFormat="false" ht="31.5" hidden="false" customHeight="true" outlineLevel="0" collapsed="false">
      <c r="A20" s="8" t="n">
        <v>17</v>
      </c>
      <c r="B20" s="17"/>
      <c r="C20" s="17"/>
      <c r="D20" s="17"/>
      <c r="E20" s="17"/>
      <c r="F20" s="17"/>
      <c r="G20" s="17"/>
      <c r="H20" s="17"/>
      <c r="I20" s="17"/>
      <c r="J20" s="17"/>
    </row>
    <row r="21" customFormat="false" ht="31.5" hidden="false" customHeight="true" outlineLevel="0" collapsed="false">
      <c r="A21" s="4" t="n">
        <v>18</v>
      </c>
      <c r="B21" s="18"/>
      <c r="C21" s="18"/>
      <c r="D21" s="18"/>
      <c r="E21" s="18"/>
      <c r="F21" s="18"/>
      <c r="G21" s="18"/>
      <c r="H21" s="18"/>
      <c r="I21" s="18"/>
      <c r="J21" s="18"/>
    </row>
    <row r="22" customFormat="false" ht="31.5" hidden="false" customHeight="true" outlineLevel="0" collapsed="false">
      <c r="A22" s="8" t="n">
        <v>19</v>
      </c>
      <c r="B22" s="17"/>
      <c r="C22" s="17"/>
      <c r="D22" s="17"/>
      <c r="E22" s="17"/>
      <c r="F22" s="17"/>
      <c r="G22" s="17"/>
      <c r="H22" s="17"/>
      <c r="I22" s="17"/>
      <c r="J22" s="17"/>
    </row>
    <row r="23" customFormat="false" ht="31.5" hidden="false" customHeight="true" outlineLevel="0" collapsed="false">
      <c r="A23" s="4" t="n">
        <v>20</v>
      </c>
      <c r="B23" s="18"/>
      <c r="C23" s="18"/>
      <c r="D23" s="18"/>
      <c r="E23" s="18"/>
      <c r="F23" s="18"/>
      <c r="G23" s="18"/>
      <c r="H23" s="18"/>
      <c r="I23" s="18"/>
      <c r="J23" s="18"/>
    </row>
    <row r="24" customFormat="false" ht="31.5" hidden="false" customHeight="true" outlineLevel="0" collapsed="false">
      <c r="A24" s="8" t="n">
        <v>21</v>
      </c>
      <c r="B24" s="17"/>
      <c r="C24" s="17"/>
      <c r="D24" s="17"/>
      <c r="E24" s="17"/>
      <c r="F24" s="17"/>
      <c r="G24" s="17"/>
      <c r="H24" s="17"/>
      <c r="I24" s="17"/>
      <c r="J24" s="17"/>
    </row>
    <row r="25" customFormat="false" ht="31.5" hidden="false" customHeight="true" outlineLevel="0" collapsed="false">
      <c r="A25" s="4" t="n">
        <v>22</v>
      </c>
      <c r="B25" s="18"/>
      <c r="C25" s="18"/>
      <c r="D25" s="18"/>
      <c r="E25" s="18"/>
      <c r="F25" s="18"/>
      <c r="G25" s="18"/>
      <c r="H25" s="18"/>
      <c r="I25" s="18"/>
      <c r="J25" s="18"/>
    </row>
    <row r="26" customFormat="false" ht="31.5" hidden="false" customHeight="true" outlineLevel="0" collapsed="false">
      <c r="A26" s="8" t="n">
        <v>23</v>
      </c>
      <c r="B26" s="17"/>
      <c r="C26" s="17"/>
      <c r="D26" s="17"/>
      <c r="E26" s="17"/>
      <c r="F26" s="17"/>
      <c r="G26" s="17"/>
      <c r="H26" s="17"/>
      <c r="I26" s="17"/>
      <c r="J26" s="17"/>
    </row>
    <row r="27" customFormat="false" ht="31.5" hidden="false" customHeight="true" outlineLevel="0" collapsed="false">
      <c r="A27" s="4" t="n">
        <v>24</v>
      </c>
      <c r="B27" s="18"/>
      <c r="C27" s="18"/>
      <c r="D27" s="18"/>
      <c r="E27" s="18"/>
      <c r="F27" s="18"/>
      <c r="G27" s="18"/>
      <c r="H27" s="18"/>
      <c r="I27" s="18"/>
      <c r="J27" s="18"/>
    </row>
    <row r="28" customFormat="false" ht="31.5" hidden="false" customHeight="true" outlineLevel="0" collapsed="false">
      <c r="A28" s="8" t="n">
        <v>25</v>
      </c>
      <c r="B28" s="17"/>
      <c r="C28" s="17"/>
      <c r="D28" s="17"/>
      <c r="E28" s="17"/>
      <c r="F28" s="17"/>
      <c r="G28" s="17"/>
      <c r="H28" s="17"/>
      <c r="I28" s="17"/>
      <c r="J28" s="17"/>
    </row>
    <row r="29" customFormat="false" ht="31.5" hidden="false" customHeight="true" outlineLevel="0" collapsed="false">
      <c r="A29" s="4" t="n">
        <v>26</v>
      </c>
      <c r="B29" s="18"/>
      <c r="C29" s="18"/>
      <c r="D29" s="18"/>
      <c r="E29" s="18"/>
      <c r="F29" s="18"/>
      <c r="G29" s="18"/>
      <c r="H29" s="18"/>
      <c r="I29" s="18"/>
      <c r="J29" s="18"/>
    </row>
    <row r="30" customFormat="false" ht="31.5" hidden="false" customHeight="true" outlineLevel="0" collapsed="false">
      <c r="A30" s="8" t="n">
        <v>27</v>
      </c>
      <c r="B30" s="17"/>
      <c r="C30" s="17"/>
      <c r="D30" s="17"/>
      <c r="E30" s="17"/>
      <c r="F30" s="17"/>
      <c r="G30" s="17"/>
      <c r="H30" s="17"/>
      <c r="I30" s="17"/>
      <c r="J30" s="17"/>
    </row>
    <row r="31" customFormat="false" ht="31.5" hidden="false" customHeight="true" outlineLevel="0" collapsed="false">
      <c r="A31" s="4" t="n">
        <v>28</v>
      </c>
      <c r="B31" s="18"/>
      <c r="C31" s="18"/>
      <c r="D31" s="18"/>
      <c r="E31" s="18"/>
      <c r="F31" s="18"/>
      <c r="G31" s="18"/>
      <c r="H31" s="18"/>
      <c r="I31" s="18"/>
      <c r="J31" s="18"/>
    </row>
    <row r="32" customFormat="false" ht="31.5" hidden="false" customHeight="true" outlineLevel="0" collapsed="false">
      <c r="A32" s="8" t="n">
        <v>29</v>
      </c>
      <c r="B32" s="17"/>
      <c r="C32" s="17"/>
      <c r="D32" s="17"/>
      <c r="E32" s="17"/>
      <c r="F32" s="17"/>
      <c r="G32" s="17"/>
      <c r="H32" s="17"/>
      <c r="I32" s="17"/>
      <c r="J32" s="17"/>
    </row>
    <row r="33" customFormat="false" ht="31.5" hidden="false" customHeight="true" outlineLevel="0" collapsed="false">
      <c r="A33" s="4" t="n">
        <v>30</v>
      </c>
      <c r="B33" s="18"/>
      <c r="C33" s="18"/>
      <c r="D33" s="18"/>
      <c r="E33" s="18"/>
      <c r="F33" s="18"/>
      <c r="G33" s="18"/>
      <c r="H33" s="18"/>
      <c r="I33" s="18"/>
      <c r="J33" s="18"/>
    </row>
    <row r="34" customFormat="false" ht="31.5" hidden="false" customHeight="true" outlineLevel="0" collapsed="false">
      <c r="A34" s="8" t="n">
        <v>31</v>
      </c>
      <c r="B34" s="17"/>
      <c r="C34" s="17"/>
      <c r="D34" s="17"/>
      <c r="E34" s="17"/>
      <c r="F34" s="17"/>
      <c r="G34" s="17"/>
      <c r="H34" s="17"/>
      <c r="I34" s="17"/>
      <c r="J34" s="17"/>
    </row>
    <row r="35" customFormat="false" ht="31.5" hidden="false" customHeight="true" outlineLevel="0" collapsed="false">
      <c r="A35" s="4" t="n">
        <v>32</v>
      </c>
      <c r="B35" s="18"/>
      <c r="C35" s="18"/>
      <c r="D35" s="18"/>
      <c r="E35" s="18"/>
      <c r="F35" s="18"/>
      <c r="G35" s="18"/>
      <c r="H35" s="18"/>
      <c r="I35" s="18"/>
      <c r="J35" s="18"/>
    </row>
    <row r="36" customFormat="false" ht="31.5" hidden="false" customHeight="true" outlineLevel="0" collapsed="false">
      <c r="A36" s="8" t="n">
        <v>33</v>
      </c>
      <c r="B36" s="17"/>
      <c r="C36" s="17"/>
      <c r="D36" s="17"/>
      <c r="E36" s="17"/>
      <c r="F36" s="17"/>
      <c r="G36" s="17"/>
      <c r="H36" s="17"/>
      <c r="I36" s="17"/>
      <c r="J36" s="17"/>
    </row>
    <row r="37" customFormat="false" ht="31.5" hidden="false" customHeight="true" outlineLevel="0" collapsed="false">
      <c r="A37" s="4" t="n">
        <v>34</v>
      </c>
      <c r="B37" s="18"/>
      <c r="C37" s="18"/>
      <c r="D37" s="18"/>
      <c r="E37" s="18"/>
      <c r="F37" s="18"/>
      <c r="G37" s="18"/>
      <c r="H37" s="18"/>
      <c r="I37" s="18"/>
      <c r="J37" s="18"/>
    </row>
    <row r="38" customFormat="false" ht="31.5" hidden="false" customHeight="true" outlineLevel="0" collapsed="false">
      <c r="A38" s="8" t="n">
        <v>35</v>
      </c>
      <c r="B38" s="17"/>
      <c r="C38" s="17"/>
      <c r="D38" s="17"/>
      <c r="E38" s="17"/>
      <c r="F38" s="17"/>
      <c r="G38" s="17"/>
      <c r="H38" s="17"/>
      <c r="I38" s="17"/>
      <c r="J38" s="17"/>
    </row>
    <row r="39" customFormat="false" ht="31.5" hidden="false" customHeight="true" outlineLevel="0" collapsed="false">
      <c r="A39" s="4" t="n">
        <v>36</v>
      </c>
      <c r="B39" s="18"/>
      <c r="C39" s="18"/>
      <c r="D39" s="18"/>
      <c r="E39" s="18"/>
      <c r="F39" s="18"/>
      <c r="G39" s="18"/>
      <c r="H39" s="18"/>
      <c r="I39" s="18"/>
      <c r="J39" s="18"/>
    </row>
    <row r="40" customFormat="false" ht="31.5" hidden="false" customHeight="true" outlineLevel="0" collapsed="false">
      <c r="A40" s="8" t="n">
        <v>37</v>
      </c>
      <c r="B40" s="17"/>
      <c r="C40" s="17"/>
      <c r="D40" s="17"/>
      <c r="E40" s="17"/>
      <c r="F40" s="17"/>
      <c r="G40" s="17"/>
      <c r="H40" s="17"/>
      <c r="I40" s="17"/>
      <c r="J40" s="17"/>
    </row>
    <row r="41" customFormat="false" ht="31.5" hidden="false" customHeight="true" outlineLevel="0" collapsed="false">
      <c r="A41" s="4" t="n">
        <v>38</v>
      </c>
      <c r="B41" s="18"/>
      <c r="C41" s="18"/>
      <c r="D41" s="18"/>
      <c r="E41" s="18"/>
      <c r="F41" s="18"/>
      <c r="G41" s="18"/>
      <c r="H41" s="18"/>
      <c r="I41" s="18"/>
      <c r="J41" s="18"/>
    </row>
    <row r="42" customFormat="false" ht="31.5" hidden="false" customHeight="true" outlineLevel="0" collapsed="false">
      <c r="A42" s="8" t="n">
        <v>39</v>
      </c>
      <c r="B42" s="17"/>
      <c r="C42" s="17"/>
      <c r="D42" s="17"/>
      <c r="E42" s="17"/>
      <c r="F42" s="17"/>
      <c r="G42" s="17"/>
      <c r="H42" s="17"/>
      <c r="I42" s="17"/>
      <c r="J42" s="17"/>
    </row>
    <row r="43" customFormat="false" ht="31.5" hidden="false" customHeight="true" outlineLevel="0" collapsed="false">
      <c r="A43" s="4" t="n">
        <v>40</v>
      </c>
      <c r="B43" s="18"/>
      <c r="C43" s="18"/>
      <c r="D43" s="18"/>
      <c r="E43" s="18"/>
      <c r="F43" s="18"/>
      <c r="G43" s="18"/>
      <c r="H43" s="18"/>
      <c r="I43" s="18"/>
      <c r="J43" s="18"/>
    </row>
    <row r="44" customFormat="false" ht="31.5" hidden="false" customHeight="true" outlineLevel="0" collapsed="false">
      <c r="A44" s="8" t="n">
        <v>41</v>
      </c>
      <c r="B44" s="17"/>
      <c r="C44" s="17"/>
      <c r="D44" s="17"/>
      <c r="E44" s="17"/>
      <c r="F44" s="17"/>
      <c r="G44" s="17"/>
      <c r="H44" s="17"/>
      <c r="I44" s="17"/>
      <c r="J44" s="17"/>
    </row>
    <row r="45" customFormat="false" ht="31.5" hidden="false" customHeight="true" outlineLevel="0" collapsed="false">
      <c r="A45" s="4" t="n">
        <v>42</v>
      </c>
      <c r="B45" s="18"/>
      <c r="C45" s="18"/>
      <c r="D45" s="18"/>
      <c r="E45" s="18"/>
      <c r="F45" s="18"/>
      <c r="G45" s="18"/>
      <c r="H45" s="18"/>
      <c r="I45" s="18"/>
      <c r="J45" s="18"/>
    </row>
    <row r="46" customFormat="false" ht="31.5" hidden="false" customHeight="true" outlineLevel="0" collapsed="false">
      <c r="A46" s="8" t="n">
        <v>43</v>
      </c>
      <c r="B46" s="17"/>
      <c r="C46" s="17"/>
      <c r="D46" s="17"/>
      <c r="E46" s="17"/>
      <c r="F46" s="17"/>
      <c r="G46" s="17"/>
      <c r="H46" s="17"/>
      <c r="I46" s="17"/>
      <c r="J46" s="17"/>
    </row>
    <row r="47" customFormat="false" ht="31.5" hidden="false" customHeight="true" outlineLevel="0" collapsed="false">
      <c r="A47" s="4" t="n">
        <v>44</v>
      </c>
      <c r="B47" s="18"/>
      <c r="C47" s="18"/>
      <c r="D47" s="18"/>
      <c r="E47" s="18"/>
      <c r="F47" s="18"/>
      <c r="G47" s="18"/>
      <c r="H47" s="18"/>
      <c r="I47" s="18"/>
      <c r="J47" s="18"/>
    </row>
    <row r="48" customFormat="false" ht="31.5" hidden="false" customHeight="true" outlineLevel="0" collapsed="false">
      <c r="A48" s="8" t="n">
        <v>45</v>
      </c>
      <c r="B48" s="17"/>
      <c r="C48" s="17"/>
      <c r="D48" s="17"/>
      <c r="E48" s="17"/>
      <c r="F48" s="17"/>
      <c r="G48" s="17"/>
      <c r="H48" s="17"/>
      <c r="I48" s="17"/>
      <c r="J48" s="17"/>
    </row>
    <row r="49" customFormat="false" ht="31.5" hidden="false" customHeight="true" outlineLevel="0" collapsed="false">
      <c r="A49" s="4" t="n">
        <v>46</v>
      </c>
      <c r="B49" s="18"/>
      <c r="C49" s="18"/>
      <c r="D49" s="18"/>
      <c r="E49" s="18"/>
      <c r="F49" s="18"/>
      <c r="G49" s="18"/>
      <c r="H49" s="18"/>
      <c r="I49" s="18"/>
      <c r="J49" s="18"/>
    </row>
    <row r="50" customFormat="false" ht="31.5" hidden="false" customHeight="true" outlineLevel="0" collapsed="false">
      <c r="A50" s="8" t="n">
        <v>47</v>
      </c>
      <c r="B50" s="17"/>
      <c r="C50" s="17"/>
      <c r="D50" s="17"/>
      <c r="E50" s="17"/>
      <c r="F50" s="17"/>
      <c r="G50" s="17"/>
      <c r="H50" s="17"/>
      <c r="I50" s="17"/>
      <c r="J50" s="17"/>
    </row>
    <row r="51" customFormat="false" ht="31.5" hidden="false" customHeight="true" outlineLevel="0" collapsed="false">
      <c r="A51" s="4" t="n">
        <v>48</v>
      </c>
      <c r="B51" s="18"/>
      <c r="C51" s="18"/>
      <c r="D51" s="18"/>
      <c r="E51" s="18"/>
      <c r="F51" s="18"/>
      <c r="G51" s="18"/>
      <c r="H51" s="18"/>
      <c r="I51" s="18"/>
      <c r="J51" s="18"/>
    </row>
    <row r="52" customFormat="false" ht="31.5" hidden="false" customHeight="true" outlineLevel="0" collapsed="false">
      <c r="A52" s="8" t="n">
        <v>49</v>
      </c>
      <c r="B52" s="17"/>
      <c r="C52" s="17"/>
      <c r="D52" s="17"/>
      <c r="E52" s="17"/>
      <c r="F52" s="17"/>
      <c r="G52" s="17"/>
      <c r="H52" s="17"/>
      <c r="I52" s="17"/>
      <c r="J52" s="17"/>
    </row>
    <row r="53" customFormat="false" ht="31.5" hidden="false" customHeight="true" outlineLevel="0" collapsed="false">
      <c r="A53" s="4" t="n">
        <v>50</v>
      </c>
      <c r="B53" s="18"/>
      <c r="C53" s="18"/>
      <c r="D53" s="18"/>
      <c r="E53" s="18"/>
      <c r="F53" s="18"/>
      <c r="G53" s="18"/>
      <c r="H53" s="18"/>
      <c r="I53" s="18"/>
      <c r="J53" s="18"/>
    </row>
    <row r="54" customFormat="false" ht="31.5" hidden="false" customHeight="true" outlineLevel="0" collapsed="false">
      <c r="A54" s="8" t="n">
        <v>51</v>
      </c>
      <c r="B54" s="17"/>
      <c r="C54" s="17"/>
      <c r="D54" s="17"/>
      <c r="E54" s="17"/>
      <c r="F54" s="17"/>
      <c r="G54" s="17"/>
      <c r="H54" s="17"/>
      <c r="I54" s="17"/>
      <c r="J54" s="17"/>
    </row>
    <row r="55" customFormat="false" ht="31.5" hidden="false" customHeight="true" outlineLevel="0" collapsed="false">
      <c r="A55" s="4" t="n">
        <v>52</v>
      </c>
      <c r="B55" s="18"/>
      <c r="C55" s="18"/>
      <c r="D55" s="18"/>
      <c r="E55" s="18"/>
      <c r="F55" s="18"/>
      <c r="G55" s="18"/>
      <c r="H55" s="18"/>
      <c r="I55" s="18"/>
      <c r="J55" s="18"/>
    </row>
    <row r="56" customFormat="false" ht="31.5" hidden="false" customHeight="true" outlineLevel="0" collapsed="false">
      <c r="A56" s="8" t="n">
        <v>53</v>
      </c>
      <c r="B56" s="17"/>
      <c r="C56" s="17"/>
      <c r="D56" s="17"/>
      <c r="E56" s="17"/>
      <c r="F56" s="17"/>
      <c r="G56" s="17"/>
      <c r="H56" s="17"/>
      <c r="I56" s="17"/>
      <c r="J56" s="17"/>
    </row>
    <row r="57" customFormat="false" ht="31.5" hidden="false" customHeight="true" outlineLevel="0" collapsed="false">
      <c r="A57" s="4" t="n">
        <v>54</v>
      </c>
      <c r="B57" s="18"/>
      <c r="C57" s="18"/>
      <c r="D57" s="18"/>
      <c r="E57" s="18"/>
      <c r="F57" s="18"/>
      <c r="G57" s="18"/>
      <c r="H57" s="18"/>
      <c r="I57" s="18"/>
      <c r="J57" s="18"/>
    </row>
    <row r="58" customFormat="false" ht="31.5" hidden="false" customHeight="true" outlineLevel="0" collapsed="false">
      <c r="A58" s="8" t="n">
        <v>55</v>
      </c>
      <c r="B58" s="17"/>
      <c r="C58" s="17"/>
      <c r="D58" s="17"/>
      <c r="E58" s="17"/>
      <c r="F58" s="17"/>
      <c r="G58" s="17"/>
      <c r="H58" s="17"/>
      <c r="I58" s="17"/>
      <c r="J58" s="17"/>
    </row>
    <row r="59" customFormat="false" ht="31.5" hidden="false" customHeight="true" outlineLevel="0" collapsed="false">
      <c r="A59" s="4" t="n">
        <v>56</v>
      </c>
      <c r="B59" s="18"/>
      <c r="C59" s="18"/>
      <c r="D59" s="18"/>
      <c r="E59" s="18"/>
      <c r="F59" s="18"/>
      <c r="G59" s="18"/>
      <c r="H59" s="18"/>
      <c r="I59" s="18"/>
      <c r="J59" s="18"/>
    </row>
    <row r="60" customFormat="false" ht="31.5" hidden="false" customHeight="true" outlineLevel="0" collapsed="false">
      <c r="A60" s="8" t="n">
        <v>57</v>
      </c>
      <c r="B60" s="17"/>
      <c r="C60" s="17"/>
      <c r="D60" s="17"/>
      <c r="E60" s="17"/>
      <c r="F60" s="17"/>
      <c r="G60" s="17"/>
      <c r="H60" s="17"/>
      <c r="I60" s="17"/>
      <c r="J60" s="17"/>
    </row>
    <row r="61" customFormat="false" ht="31.5" hidden="false" customHeight="true" outlineLevel="0" collapsed="false">
      <c r="A61" s="4" t="n">
        <v>58</v>
      </c>
      <c r="B61" s="18"/>
      <c r="C61" s="18"/>
      <c r="D61" s="18"/>
      <c r="E61" s="18"/>
      <c r="F61" s="18"/>
      <c r="G61" s="18"/>
      <c r="H61" s="18"/>
      <c r="I61" s="18"/>
      <c r="J61" s="18"/>
    </row>
    <row r="62" customFormat="false" ht="31.5" hidden="false" customHeight="true" outlineLevel="0" collapsed="false">
      <c r="A62" s="8" t="n">
        <v>59</v>
      </c>
      <c r="B62" s="17"/>
      <c r="C62" s="17"/>
      <c r="D62" s="17"/>
      <c r="E62" s="17"/>
      <c r="F62" s="17"/>
      <c r="G62" s="17"/>
      <c r="H62" s="17"/>
      <c r="I62" s="17"/>
      <c r="J62" s="17"/>
    </row>
    <row r="63" customFormat="false" ht="31.5" hidden="false" customHeight="true" outlineLevel="0" collapsed="false">
      <c r="A63" s="4" t="n">
        <v>60</v>
      </c>
      <c r="B63" s="18"/>
      <c r="C63" s="18"/>
      <c r="D63" s="18"/>
      <c r="E63" s="18"/>
      <c r="F63" s="18"/>
      <c r="G63" s="18"/>
      <c r="H63" s="18"/>
      <c r="I63" s="18"/>
      <c r="J63" s="18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19" t="s">
        <v>56</v>
      </c>
      <c r="B1" s="19"/>
      <c r="C1" s="19"/>
      <c r="D1" s="19"/>
      <c r="E1" s="19"/>
      <c r="F1" s="19"/>
      <c r="G1" s="19"/>
    </row>
    <row r="2" customFormat="false" ht="25.5" hidden="false" customHeight="true" outlineLevel="0" collapsed="false">
      <c r="A2" s="20" t="s">
        <v>57</v>
      </c>
      <c r="B2" s="20"/>
      <c r="C2" s="20"/>
      <c r="D2" s="20"/>
      <c r="E2" s="20"/>
      <c r="F2" s="20"/>
      <c r="G2" s="20"/>
    </row>
    <row r="3" customFormat="false" ht="23.85" hidden="false" customHeight="false" outlineLevel="0" collapsed="false">
      <c r="A3" s="21" t="s">
        <v>2</v>
      </c>
      <c r="B3" s="21" t="s">
        <v>55</v>
      </c>
      <c r="C3" s="21" t="s">
        <v>58</v>
      </c>
      <c r="D3" s="21" t="s">
        <v>59</v>
      </c>
      <c r="E3" s="21" t="s">
        <v>60</v>
      </c>
      <c r="F3" s="21" t="s">
        <v>61</v>
      </c>
      <c r="G3" s="21" t="s">
        <v>62</v>
      </c>
    </row>
    <row r="4" customFormat="false" ht="33.75" hidden="false" customHeight="true" outlineLevel="0" collapsed="false">
      <c r="A4" s="8" t="n">
        <v>1</v>
      </c>
      <c r="B4" s="17"/>
      <c r="C4" s="10" t="s">
        <v>63</v>
      </c>
      <c r="D4" s="17"/>
      <c r="E4" s="22"/>
      <c r="F4" s="17"/>
      <c r="G4" s="17"/>
    </row>
    <row r="5" customFormat="false" ht="33.75" hidden="false" customHeight="true" outlineLevel="0" collapsed="false">
      <c r="A5" s="4" t="n">
        <v>2</v>
      </c>
      <c r="B5" s="18"/>
      <c r="C5" s="6" t="s">
        <v>64</v>
      </c>
      <c r="D5" s="18"/>
      <c r="E5" s="23"/>
      <c r="F5" s="18"/>
      <c r="G5" s="18"/>
    </row>
    <row r="6" customFormat="false" ht="33.75" hidden="false" customHeight="true" outlineLevel="0" collapsed="false">
      <c r="A6" s="8" t="n">
        <v>3</v>
      </c>
      <c r="B6" s="17"/>
      <c r="C6" s="10" t="s">
        <v>65</v>
      </c>
      <c r="D6" s="17"/>
      <c r="E6" s="22"/>
      <c r="F6" s="17"/>
      <c r="G6" s="17"/>
    </row>
    <row r="7" customFormat="false" ht="33.75" hidden="false" customHeight="true" outlineLevel="0" collapsed="false">
      <c r="A7" s="4" t="n">
        <v>4</v>
      </c>
      <c r="B7" s="18"/>
      <c r="C7" s="6" t="s">
        <v>66</v>
      </c>
      <c r="D7" s="18"/>
      <c r="E7" s="23"/>
      <c r="F7" s="18"/>
      <c r="G7" s="18"/>
    </row>
    <row r="8" customFormat="false" ht="33.75" hidden="false" customHeight="true" outlineLevel="0" collapsed="false">
      <c r="A8" s="8" t="n">
        <v>5</v>
      </c>
      <c r="B8" s="17"/>
      <c r="C8" s="10" t="s">
        <v>67</v>
      </c>
      <c r="D8" s="17"/>
      <c r="E8" s="22"/>
      <c r="F8" s="17"/>
      <c r="G8" s="17"/>
    </row>
    <row r="9" customFormat="false" ht="33.75" hidden="false" customHeight="true" outlineLevel="0" collapsed="false">
      <c r="A9" s="4" t="n">
        <v>6</v>
      </c>
      <c r="B9" s="18"/>
      <c r="C9" s="6" t="s">
        <v>68</v>
      </c>
      <c r="D9" s="18"/>
      <c r="E9" s="23"/>
      <c r="F9" s="18"/>
      <c r="G9" s="18"/>
    </row>
    <row r="10" customFormat="false" ht="33.75" hidden="false" customHeight="true" outlineLevel="0" collapsed="false">
      <c r="A10" s="8" t="n">
        <v>7</v>
      </c>
      <c r="B10" s="17"/>
      <c r="C10" s="10" t="s">
        <v>69</v>
      </c>
      <c r="D10" s="17"/>
      <c r="E10" s="22"/>
      <c r="F10" s="17"/>
      <c r="G10" s="17"/>
    </row>
    <row r="11" customFormat="false" ht="33.75" hidden="false" customHeight="true" outlineLevel="0" collapsed="false">
      <c r="A11" s="4" t="n">
        <v>8</v>
      </c>
      <c r="B11" s="18"/>
      <c r="C11" s="6" t="s">
        <v>70</v>
      </c>
      <c r="D11" s="18"/>
      <c r="E11" s="23"/>
      <c r="F11" s="18"/>
      <c r="G11" s="18"/>
    </row>
    <row r="12" customFormat="false" ht="33.75" hidden="false" customHeight="true" outlineLevel="0" collapsed="false">
      <c r="A12" s="8" t="n">
        <v>9</v>
      </c>
      <c r="B12" s="17"/>
      <c r="C12" s="10" t="s">
        <v>71</v>
      </c>
      <c r="D12" s="17"/>
      <c r="E12" s="22"/>
      <c r="F12" s="17"/>
      <c r="G12" s="17"/>
    </row>
    <row r="13" customFormat="false" ht="33.75" hidden="false" customHeight="true" outlineLevel="0" collapsed="false">
      <c r="A13" s="4" t="n">
        <v>10</v>
      </c>
      <c r="B13" s="18"/>
      <c r="C13" s="6" t="s">
        <v>72</v>
      </c>
      <c r="D13" s="18"/>
      <c r="E13" s="23"/>
      <c r="F13" s="18"/>
      <c r="G13" s="18"/>
    </row>
    <row r="14" customFormat="false" ht="33.75" hidden="false" customHeight="true" outlineLevel="0" collapsed="false">
      <c r="A14" s="8" t="n">
        <v>11</v>
      </c>
      <c r="B14" s="17"/>
      <c r="C14" s="10" t="s">
        <v>73</v>
      </c>
      <c r="D14" s="17"/>
      <c r="E14" s="22"/>
      <c r="F14" s="17"/>
      <c r="G14" s="17"/>
    </row>
    <row r="15" customFormat="false" ht="33.75" hidden="false" customHeight="true" outlineLevel="0" collapsed="false">
      <c r="A15" s="4" t="n">
        <v>12</v>
      </c>
      <c r="B15" s="18"/>
      <c r="C15" s="6" t="s">
        <v>74</v>
      </c>
      <c r="D15" s="18"/>
      <c r="E15" s="23"/>
      <c r="F15" s="18"/>
      <c r="G15" s="18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51B5"/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24" t="s">
        <v>75</v>
      </c>
      <c r="B1" s="24"/>
      <c r="C1" s="24"/>
      <c r="D1" s="24"/>
      <c r="E1" s="24"/>
      <c r="F1" s="24"/>
      <c r="G1" s="24"/>
    </row>
    <row r="2" customFormat="false" ht="25.5" hidden="false" customHeight="true" outlineLevel="0" collapsed="false">
      <c r="A2" s="25" t="s">
        <v>76</v>
      </c>
      <c r="B2" s="25"/>
      <c r="C2" s="25"/>
      <c r="D2" s="25"/>
      <c r="E2" s="25"/>
      <c r="F2" s="25"/>
      <c r="G2" s="25"/>
    </row>
    <row r="3" customFormat="false" ht="23.85" hidden="false" customHeight="false" outlineLevel="0" collapsed="false">
      <c r="A3" s="26" t="s">
        <v>2</v>
      </c>
      <c r="B3" s="26" t="s">
        <v>55</v>
      </c>
      <c r="C3" s="26" t="s">
        <v>77</v>
      </c>
      <c r="D3" s="26" t="s">
        <v>59</v>
      </c>
      <c r="E3" s="26" t="s">
        <v>78</v>
      </c>
      <c r="F3" s="26" t="s">
        <v>79</v>
      </c>
      <c r="G3" s="26" t="s">
        <v>62</v>
      </c>
    </row>
    <row r="4" customFormat="false" ht="33.75" hidden="false" customHeight="true" outlineLevel="0" collapsed="false">
      <c r="A4" s="8" t="n">
        <v>1</v>
      </c>
      <c r="B4" s="17"/>
      <c r="C4" s="10" t="s">
        <v>80</v>
      </c>
      <c r="D4" s="17"/>
      <c r="E4" s="22"/>
      <c r="F4" s="17"/>
      <c r="G4" s="17"/>
    </row>
    <row r="5" customFormat="false" ht="33.75" hidden="false" customHeight="true" outlineLevel="0" collapsed="false">
      <c r="A5" s="4" t="n">
        <v>2</v>
      </c>
      <c r="B5" s="18"/>
      <c r="C5" s="6" t="s">
        <v>81</v>
      </c>
      <c r="D5" s="18"/>
      <c r="E5" s="23"/>
      <c r="F5" s="18"/>
      <c r="G5" s="18"/>
    </row>
    <row r="6" customFormat="false" ht="33.75" hidden="false" customHeight="true" outlineLevel="0" collapsed="false">
      <c r="A6" s="8" t="n">
        <v>3</v>
      </c>
      <c r="B6" s="17"/>
      <c r="C6" s="10" t="s">
        <v>82</v>
      </c>
      <c r="D6" s="17"/>
      <c r="E6" s="22"/>
      <c r="F6" s="17"/>
      <c r="G6" s="17"/>
    </row>
    <row r="7" customFormat="false" ht="33.75" hidden="false" customHeight="true" outlineLevel="0" collapsed="false">
      <c r="A7" s="4" t="n">
        <v>4</v>
      </c>
      <c r="B7" s="18"/>
      <c r="C7" s="6" t="s">
        <v>83</v>
      </c>
      <c r="D7" s="18"/>
      <c r="E7" s="23"/>
      <c r="F7" s="18"/>
      <c r="G7" s="18"/>
    </row>
    <row r="8" customFormat="false" ht="33.75" hidden="false" customHeight="true" outlineLevel="0" collapsed="false">
      <c r="A8" s="8" t="n">
        <v>5</v>
      </c>
      <c r="B8" s="17"/>
      <c r="C8" s="10" t="s">
        <v>84</v>
      </c>
      <c r="D8" s="17"/>
      <c r="E8" s="22"/>
      <c r="F8" s="17"/>
      <c r="G8" s="17"/>
    </row>
    <row r="9" customFormat="false" ht="33.75" hidden="false" customHeight="true" outlineLevel="0" collapsed="false">
      <c r="A9" s="4" t="n">
        <v>6</v>
      </c>
      <c r="B9" s="18"/>
      <c r="C9" s="6" t="s">
        <v>85</v>
      </c>
      <c r="D9" s="18"/>
      <c r="E9" s="23"/>
      <c r="F9" s="18"/>
      <c r="G9" s="18"/>
    </row>
    <row r="10" customFormat="false" ht="33.75" hidden="false" customHeight="true" outlineLevel="0" collapsed="false">
      <c r="A10" s="8" t="n">
        <v>7</v>
      </c>
      <c r="B10" s="17"/>
      <c r="C10" s="10" t="s">
        <v>86</v>
      </c>
      <c r="D10" s="17"/>
      <c r="E10" s="22"/>
      <c r="F10" s="17"/>
      <c r="G10" s="17"/>
    </row>
    <row r="11" customFormat="false" ht="33.75" hidden="false" customHeight="true" outlineLevel="0" collapsed="false">
      <c r="A11" s="4" t="n">
        <v>8</v>
      </c>
      <c r="B11" s="18"/>
      <c r="C11" s="6" t="s">
        <v>87</v>
      </c>
      <c r="D11" s="18"/>
      <c r="E11" s="23"/>
      <c r="F11" s="18"/>
      <c r="G11" s="18"/>
    </row>
    <row r="12" customFormat="false" ht="33.75" hidden="false" customHeight="true" outlineLevel="0" collapsed="false">
      <c r="A12" s="8" t="n">
        <v>9</v>
      </c>
      <c r="B12" s="17"/>
      <c r="C12" s="10" t="s">
        <v>88</v>
      </c>
      <c r="D12" s="17"/>
      <c r="E12" s="22"/>
      <c r="F12" s="17"/>
      <c r="G12" s="17"/>
    </row>
    <row r="13" customFormat="false" ht="33.75" hidden="false" customHeight="true" outlineLevel="0" collapsed="false">
      <c r="A13" s="4" t="n">
        <v>10</v>
      </c>
      <c r="B13" s="18"/>
      <c r="C13" s="6" t="s">
        <v>89</v>
      </c>
      <c r="D13" s="18"/>
      <c r="E13" s="23"/>
      <c r="F13" s="18"/>
      <c r="G13" s="18"/>
    </row>
    <row r="14" customFormat="false" ht="33.75" hidden="false" customHeight="true" outlineLevel="0" collapsed="false">
      <c r="A14" s="8" t="n">
        <v>11</v>
      </c>
      <c r="B14" s="17"/>
      <c r="C14" s="10" t="s">
        <v>90</v>
      </c>
      <c r="D14" s="17"/>
      <c r="E14" s="22"/>
      <c r="F14" s="17"/>
      <c r="G14" s="17"/>
    </row>
    <row r="15" customFormat="false" ht="33.75" hidden="false" customHeight="true" outlineLevel="0" collapsed="false">
      <c r="A15" s="4" t="n">
        <v>12</v>
      </c>
      <c r="B15" s="18"/>
      <c r="C15" s="6" t="s">
        <v>91</v>
      </c>
      <c r="D15" s="18"/>
      <c r="E15" s="23"/>
      <c r="F15" s="18"/>
      <c r="G15" s="18"/>
    </row>
    <row r="16" customFormat="false" ht="33.75" hidden="false" customHeight="true" outlineLevel="0" collapsed="false">
      <c r="A16" s="8" t="n">
        <v>13</v>
      </c>
      <c r="B16" s="17"/>
      <c r="C16" s="10" t="s">
        <v>92</v>
      </c>
      <c r="D16" s="17"/>
      <c r="E16" s="22"/>
      <c r="F16" s="17"/>
      <c r="G16" s="17"/>
    </row>
    <row r="17" customFormat="false" ht="33.75" hidden="false" customHeight="true" outlineLevel="0" collapsed="false">
      <c r="A17" s="4" t="n">
        <v>14</v>
      </c>
      <c r="B17" s="18"/>
      <c r="C17" s="6" t="s">
        <v>93</v>
      </c>
      <c r="D17" s="18"/>
      <c r="E17" s="23"/>
      <c r="F17" s="18"/>
      <c r="G17" s="18"/>
    </row>
    <row r="18" customFormat="false" ht="33.75" hidden="false" customHeight="true" outlineLevel="0" collapsed="false">
      <c r="A18" s="8" t="n">
        <v>15</v>
      </c>
      <c r="B18" s="17"/>
      <c r="C18" s="10" t="s">
        <v>94</v>
      </c>
      <c r="D18" s="17"/>
      <c r="E18" s="22"/>
      <c r="F18" s="17"/>
      <c r="G18" s="17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8F9D"/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27" t="s">
        <v>95</v>
      </c>
      <c r="B1" s="27"/>
      <c r="C1" s="27"/>
      <c r="D1" s="27"/>
      <c r="E1" s="27"/>
      <c r="F1" s="27"/>
      <c r="G1" s="27"/>
    </row>
    <row r="2" customFormat="false" ht="25.5" hidden="false" customHeight="true" outlineLevel="0" collapsed="false">
      <c r="A2" s="28" t="s">
        <v>96</v>
      </c>
      <c r="B2" s="28"/>
      <c r="C2" s="28"/>
      <c r="D2" s="28"/>
      <c r="E2" s="28"/>
      <c r="F2" s="28"/>
      <c r="G2" s="28"/>
    </row>
    <row r="3" customFormat="false" ht="23.85" hidden="false" customHeight="false" outlineLevel="0" collapsed="false">
      <c r="A3" s="29" t="s">
        <v>2</v>
      </c>
      <c r="B3" s="29" t="s">
        <v>97</v>
      </c>
      <c r="C3" s="29" t="s">
        <v>98</v>
      </c>
      <c r="D3" s="29" t="s">
        <v>99</v>
      </c>
      <c r="E3" s="29" t="s">
        <v>100</v>
      </c>
      <c r="F3" s="29" t="s">
        <v>101</v>
      </c>
      <c r="G3" s="29" t="s">
        <v>62</v>
      </c>
    </row>
    <row r="4" customFormat="false" ht="30" hidden="false" customHeight="true" outlineLevel="0" collapsed="false">
      <c r="A4" s="8" t="n">
        <v>1</v>
      </c>
      <c r="B4" s="9" t="s">
        <v>102</v>
      </c>
      <c r="C4" s="22"/>
      <c r="D4" s="17"/>
      <c r="E4" s="22"/>
      <c r="F4" s="22"/>
      <c r="G4" s="22"/>
    </row>
    <row r="5" customFormat="false" ht="30" hidden="false" customHeight="true" outlineLevel="0" collapsed="false">
      <c r="A5" s="4" t="n">
        <v>2</v>
      </c>
      <c r="B5" s="5" t="s">
        <v>103</v>
      </c>
      <c r="C5" s="23"/>
      <c r="D5" s="18"/>
      <c r="E5" s="23"/>
      <c r="F5" s="23"/>
      <c r="G5" s="23"/>
    </row>
    <row r="6" customFormat="false" ht="30" hidden="false" customHeight="true" outlineLevel="0" collapsed="false">
      <c r="A6" s="8" t="n">
        <v>3</v>
      </c>
      <c r="B6" s="9" t="s">
        <v>104</v>
      </c>
      <c r="C6" s="22"/>
      <c r="D6" s="17"/>
      <c r="E6" s="22"/>
      <c r="F6" s="22"/>
      <c r="G6" s="22"/>
    </row>
    <row r="7" customFormat="false" ht="30" hidden="false" customHeight="true" outlineLevel="0" collapsed="false">
      <c r="A7" s="4" t="n">
        <v>4</v>
      </c>
      <c r="B7" s="5" t="s">
        <v>105</v>
      </c>
      <c r="C7" s="23"/>
      <c r="D7" s="18"/>
      <c r="E7" s="23"/>
      <c r="F7" s="23"/>
      <c r="G7" s="23"/>
    </row>
    <row r="8" customFormat="false" ht="30" hidden="false" customHeight="true" outlineLevel="0" collapsed="false">
      <c r="A8" s="8" t="n">
        <v>5</v>
      </c>
      <c r="B8" s="9" t="s">
        <v>106</v>
      </c>
      <c r="C8" s="22"/>
      <c r="D8" s="17"/>
      <c r="E8" s="22"/>
      <c r="F8" s="22"/>
      <c r="G8" s="22"/>
    </row>
    <row r="9" customFormat="false" ht="30" hidden="false" customHeight="true" outlineLevel="0" collapsed="false">
      <c r="A9" s="4" t="n">
        <v>6</v>
      </c>
      <c r="B9" s="5" t="s">
        <v>107</v>
      </c>
      <c r="C9" s="23"/>
      <c r="D9" s="18"/>
      <c r="E9" s="23"/>
      <c r="F9" s="23"/>
      <c r="G9" s="23"/>
    </row>
    <row r="10" customFormat="false" ht="30" hidden="false" customHeight="true" outlineLevel="0" collapsed="false">
      <c r="A10" s="8" t="n">
        <v>7</v>
      </c>
      <c r="B10" s="9" t="s">
        <v>108</v>
      </c>
      <c r="C10" s="22"/>
      <c r="D10" s="17"/>
      <c r="E10" s="22"/>
      <c r="F10" s="22"/>
      <c r="G10" s="22"/>
    </row>
    <row r="11" customFormat="false" ht="30" hidden="false" customHeight="true" outlineLevel="0" collapsed="false">
      <c r="A11" s="4" t="n">
        <v>8</v>
      </c>
      <c r="B11" s="5" t="s">
        <v>109</v>
      </c>
      <c r="C11" s="23"/>
      <c r="D11" s="18"/>
      <c r="E11" s="23"/>
      <c r="F11" s="23"/>
      <c r="G11" s="23"/>
    </row>
    <row r="12" customFormat="false" ht="30" hidden="false" customHeight="true" outlineLevel="0" collapsed="false">
      <c r="A12" s="8" t="n">
        <v>9</v>
      </c>
      <c r="B12" s="9" t="s">
        <v>110</v>
      </c>
      <c r="C12" s="22"/>
      <c r="D12" s="17"/>
      <c r="E12" s="22"/>
      <c r="F12" s="22"/>
      <c r="G12" s="22"/>
    </row>
    <row r="13" customFormat="false" ht="30" hidden="false" customHeight="true" outlineLevel="0" collapsed="false">
      <c r="A13" s="4" t="n">
        <v>10</v>
      </c>
      <c r="B13" s="5" t="s">
        <v>111</v>
      </c>
      <c r="C13" s="23"/>
      <c r="D13" s="18"/>
      <c r="E13" s="23"/>
      <c r="F13" s="23"/>
      <c r="G13" s="23"/>
    </row>
    <row r="14" customFormat="false" ht="30" hidden="false" customHeight="true" outlineLevel="0" collapsed="false">
      <c r="A14" s="8" t="n">
        <v>11</v>
      </c>
      <c r="B14" s="9" t="s">
        <v>112</v>
      </c>
      <c r="C14" s="22"/>
      <c r="D14" s="17"/>
      <c r="E14" s="22"/>
      <c r="F14" s="22"/>
      <c r="G14" s="22"/>
    </row>
    <row r="15" customFormat="false" ht="30" hidden="false" customHeight="true" outlineLevel="0" collapsed="false">
      <c r="A15" s="4" t="n">
        <v>12</v>
      </c>
      <c r="B15" s="5" t="s">
        <v>113</v>
      </c>
      <c r="C15" s="23"/>
      <c r="D15" s="18"/>
      <c r="E15" s="23"/>
      <c r="F15" s="23"/>
      <c r="G15" s="23"/>
    </row>
    <row r="16" customFormat="false" ht="30" hidden="false" customHeight="true" outlineLevel="0" collapsed="false">
      <c r="A16" s="8" t="n">
        <v>13</v>
      </c>
      <c r="B16" s="9" t="s">
        <v>114</v>
      </c>
      <c r="C16" s="22"/>
      <c r="D16" s="17"/>
      <c r="E16" s="22"/>
      <c r="F16" s="22"/>
      <c r="G16" s="22"/>
    </row>
    <row r="17" customFormat="false" ht="30" hidden="false" customHeight="true" outlineLevel="0" collapsed="false">
      <c r="A17" s="4" t="n">
        <v>14</v>
      </c>
      <c r="B17" s="5" t="s">
        <v>115</v>
      </c>
      <c r="C17" s="23"/>
      <c r="D17" s="18"/>
      <c r="E17" s="23"/>
      <c r="F17" s="23"/>
      <c r="G17" s="23"/>
    </row>
    <row r="18" customFormat="false" ht="30" hidden="false" customHeight="true" outlineLevel="0" collapsed="false">
      <c r="A18" s="8" t="n">
        <v>15</v>
      </c>
      <c r="B18" s="9" t="s">
        <v>116</v>
      </c>
      <c r="C18" s="22"/>
      <c r="D18" s="17"/>
      <c r="E18" s="22"/>
      <c r="F18" s="22"/>
      <c r="G18" s="22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30" t="s">
        <v>117</v>
      </c>
      <c r="B1" s="30"/>
      <c r="C1" s="30"/>
      <c r="D1" s="30"/>
      <c r="E1" s="30"/>
      <c r="F1" s="30"/>
      <c r="G1" s="30"/>
    </row>
    <row r="2" customFormat="false" ht="25.5" hidden="false" customHeight="true" outlineLevel="0" collapsed="false">
      <c r="A2" s="31" t="s">
        <v>118</v>
      </c>
      <c r="B2" s="31"/>
      <c r="C2" s="31"/>
      <c r="D2" s="31"/>
      <c r="E2" s="31"/>
      <c r="F2" s="31"/>
      <c r="G2" s="31"/>
    </row>
    <row r="3" customFormat="false" ht="23.85" hidden="false" customHeight="false" outlineLevel="0" collapsed="false">
      <c r="A3" s="32" t="s">
        <v>2</v>
      </c>
      <c r="B3" s="32" t="s">
        <v>55</v>
      </c>
      <c r="C3" s="32" t="s">
        <v>119</v>
      </c>
      <c r="D3" s="32" t="s">
        <v>120</v>
      </c>
      <c r="E3" s="32" t="s">
        <v>121</v>
      </c>
      <c r="F3" s="32" t="s">
        <v>61</v>
      </c>
      <c r="G3" s="32" t="s">
        <v>62</v>
      </c>
    </row>
    <row r="4" customFormat="false" ht="31.5" hidden="false" customHeight="true" outlineLevel="0" collapsed="false">
      <c r="A4" s="8" t="n">
        <v>1</v>
      </c>
      <c r="B4" s="22"/>
      <c r="C4" s="10" t="s">
        <v>122</v>
      </c>
      <c r="D4" s="17"/>
      <c r="E4" s="22"/>
      <c r="F4" s="17"/>
      <c r="G4" s="22"/>
    </row>
    <row r="5" customFormat="false" ht="31.5" hidden="false" customHeight="true" outlineLevel="0" collapsed="false">
      <c r="A5" s="4" t="n">
        <v>2</v>
      </c>
      <c r="B5" s="23"/>
      <c r="C5" s="6" t="s">
        <v>123</v>
      </c>
      <c r="D5" s="18"/>
      <c r="E5" s="23"/>
      <c r="F5" s="18"/>
      <c r="G5" s="23"/>
    </row>
    <row r="6" customFormat="false" ht="31.5" hidden="false" customHeight="true" outlineLevel="0" collapsed="false">
      <c r="A6" s="8" t="n">
        <v>3</v>
      </c>
      <c r="B6" s="22"/>
      <c r="C6" s="10" t="s">
        <v>124</v>
      </c>
      <c r="D6" s="17"/>
      <c r="E6" s="22"/>
      <c r="F6" s="17"/>
      <c r="G6" s="22"/>
    </row>
    <row r="7" customFormat="false" ht="31.5" hidden="false" customHeight="true" outlineLevel="0" collapsed="false">
      <c r="A7" s="4" t="n">
        <v>4</v>
      </c>
      <c r="B7" s="23"/>
      <c r="C7" s="6" t="s">
        <v>125</v>
      </c>
      <c r="D7" s="18"/>
      <c r="E7" s="23"/>
      <c r="F7" s="18"/>
      <c r="G7" s="23"/>
    </row>
    <row r="8" customFormat="false" ht="31.5" hidden="false" customHeight="true" outlineLevel="0" collapsed="false">
      <c r="A8" s="8" t="n">
        <v>5</v>
      </c>
      <c r="B8" s="22"/>
      <c r="C8" s="10" t="s">
        <v>126</v>
      </c>
      <c r="D8" s="17"/>
      <c r="E8" s="22"/>
      <c r="F8" s="17"/>
      <c r="G8" s="22"/>
    </row>
    <row r="9" customFormat="false" ht="31.5" hidden="false" customHeight="true" outlineLevel="0" collapsed="false">
      <c r="A9" s="4" t="n">
        <v>6</v>
      </c>
      <c r="B9" s="23"/>
      <c r="C9" s="6" t="s">
        <v>127</v>
      </c>
      <c r="D9" s="18"/>
      <c r="E9" s="23"/>
      <c r="F9" s="18"/>
      <c r="G9" s="23"/>
    </row>
    <row r="10" customFormat="false" ht="31.5" hidden="false" customHeight="true" outlineLevel="0" collapsed="false">
      <c r="A10" s="8" t="n">
        <v>7</v>
      </c>
      <c r="B10" s="22"/>
      <c r="C10" s="10" t="s">
        <v>128</v>
      </c>
      <c r="D10" s="17"/>
      <c r="E10" s="22"/>
      <c r="F10" s="17"/>
      <c r="G10" s="22"/>
    </row>
    <row r="11" customFormat="false" ht="31.5" hidden="false" customHeight="true" outlineLevel="0" collapsed="false">
      <c r="A11" s="4" t="n">
        <v>8</v>
      </c>
      <c r="B11" s="23"/>
      <c r="C11" s="6" t="s">
        <v>129</v>
      </c>
      <c r="D11" s="18"/>
      <c r="E11" s="23"/>
      <c r="F11" s="18"/>
      <c r="G11" s="23"/>
    </row>
    <row r="12" customFormat="false" ht="31.5" hidden="false" customHeight="true" outlineLevel="0" collapsed="false">
      <c r="A12" s="8" t="n">
        <v>9</v>
      </c>
      <c r="B12" s="22"/>
      <c r="C12" s="10" t="s">
        <v>130</v>
      </c>
      <c r="D12" s="17"/>
      <c r="E12" s="22"/>
      <c r="F12" s="17"/>
      <c r="G12" s="22"/>
    </row>
    <row r="13" customFormat="false" ht="31.5" hidden="false" customHeight="true" outlineLevel="0" collapsed="false">
      <c r="A13" s="4" t="n">
        <v>10</v>
      </c>
      <c r="B13" s="23"/>
      <c r="C13" s="6" t="s">
        <v>131</v>
      </c>
      <c r="D13" s="18"/>
      <c r="E13" s="23"/>
      <c r="F13" s="18"/>
      <c r="G13" s="23"/>
    </row>
    <row r="14" customFormat="false" ht="31.5" hidden="false" customHeight="true" outlineLevel="0" collapsed="false">
      <c r="A14" s="8" t="n">
        <v>11</v>
      </c>
      <c r="B14" s="22"/>
      <c r="C14" s="10" t="s">
        <v>132</v>
      </c>
      <c r="D14" s="17"/>
      <c r="E14" s="22"/>
      <c r="F14" s="17"/>
      <c r="G14" s="22"/>
    </row>
    <row r="15" customFormat="false" ht="31.5" hidden="false" customHeight="true" outlineLevel="0" collapsed="false">
      <c r="A15" s="4" t="n">
        <v>12</v>
      </c>
      <c r="B15" s="23"/>
      <c r="C15" s="6" t="s">
        <v>133</v>
      </c>
      <c r="D15" s="18"/>
      <c r="E15" s="23"/>
      <c r="F15" s="18"/>
      <c r="G15" s="23"/>
    </row>
    <row r="16" customFormat="false" ht="31.5" hidden="false" customHeight="true" outlineLevel="0" collapsed="false">
      <c r="A16" s="8" t="n">
        <v>13</v>
      </c>
      <c r="B16" s="22"/>
      <c r="C16" s="10" t="s">
        <v>134</v>
      </c>
      <c r="D16" s="17"/>
      <c r="E16" s="22"/>
      <c r="F16" s="17"/>
      <c r="G16" s="22"/>
    </row>
    <row r="17" customFormat="false" ht="31.5" hidden="false" customHeight="true" outlineLevel="0" collapsed="false">
      <c r="A17" s="4" t="n">
        <v>14</v>
      </c>
      <c r="B17" s="23"/>
      <c r="C17" s="6" t="s">
        <v>135</v>
      </c>
      <c r="D17" s="18"/>
      <c r="E17" s="23"/>
      <c r="F17" s="18"/>
      <c r="G17" s="23"/>
    </row>
    <row r="18" customFormat="false" ht="31.5" hidden="false" customHeight="true" outlineLevel="0" collapsed="false">
      <c r="A18" s="8" t="n">
        <v>15</v>
      </c>
      <c r="B18" s="22"/>
      <c r="C18" s="10" t="s">
        <v>136</v>
      </c>
      <c r="D18" s="17"/>
      <c r="E18" s="22"/>
      <c r="F18" s="17"/>
      <c r="G18" s="22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0000"/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33" t="s">
        <v>137</v>
      </c>
      <c r="B1" s="33"/>
      <c r="C1" s="33"/>
      <c r="D1" s="33"/>
      <c r="E1" s="33"/>
      <c r="F1" s="33"/>
      <c r="G1" s="33"/>
    </row>
    <row r="2" customFormat="false" ht="25.5" hidden="false" customHeight="true" outlineLevel="0" collapsed="false">
      <c r="A2" s="34" t="s">
        <v>138</v>
      </c>
      <c r="B2" s="34"/>
      <c r="C2" s="34"/>
      <c r="D2" s="34"/>
      <c r="E2" s="34"/>
      <c r="F2" s="34"/>
      <c r="G2" s="34"/>
    </row>
    <row r="3" customFormat="false" ht="23.85" hidden="false" customHeight="false" outlineLevel="0" collapsed="false">
      <c r="A3" s="35" t="s">
        <v>2</v>
      </c>
      <c r="B3" s="35" t="s">
        <v>55</v>
      </c>
      <c r="C3" s="35" t="s">
        <v>139</v>
      </c>
      <c r="D3" s="35" t="s">
        <v>140</v>
      </c>
      <c r="E3" s="35" t="s">
        <v>121</v>
      </c>
      <c r="F3" s="35" t="s">
        <v>61</v>
      </c>
      <c r="G3" s="35" t="s">
        <v>62</v>
      </c>
    </row>
    <row r="4" customFormat="false" ht="31.5" hidden="false" customHeight="true" outlineLevel="0" collapsed="false">
      <c r="A4" s="8" t="n">
        <v>1</v>
      </c>
      <c r="B4" s="22"/>
      <c r="C4" s="10" t="s">
        <v>141</v>
      </c>
      <c r="D4" s="17"/>
      <c r="E4" s="22"/>
      <c r="F4" s="17"/>
      <c r="G4" s="22"/>
    </row>
    <row r="5" customFormat="false" ht="31.5" hidden="false" customHeight="true" outlineLevel="0" collapsed="false">
      <c r="A5" s="4" t="n">
        <v>2</v>
      </c>
      <c r="B5" s="23"/>
      <c r="C5" s="6" t="s">
        <v>142</v>
      </c>
      <c r="D5" s="18"/>
      <c r="E5" s="23"/>
      <c r="F5" s="18"/>
      <c r="G5" s="23"/>
    </row>
    <row r="6" customFormat="false" ht="31.5" hidden="false" customHeight="true" outlineLevel="0" collapsed="false">
      <c r="A6" s="8" t="n">
        <v>3</v>
      </c>
      <c r="B6" s="22"/>
      <c r="C6" s="10" t="s">
        <v>143</v>
      </c>
      <c r="D6" s="17"/>
      <c r="E6" s="22"/>
      <c r="F6" s="17"/>
      <c r="G6" s="22"/>
    </row>
    <row r="7" customFormat="false" ht="31.5" hidden="false" customHeight="true" outlineLevel="0" collapsed="false">
      <c r="A7" s="4" t="n">
        <v>4</v>
      </c>
      <c r="B7" s="23"/>
      <c r="C7" s="6" t="s">
        <v>144</v>
      </c>
      <c r="D7" s="18"/>
      <c r="E7" s="23"/>
      <c r="F7" s="18"/>
      <c r="G7" s="23"/>
    </row>
    <row r="8" customFormat="false" ht="31.5" hidden="false" customHeight="true" outlineLevel="0" collapsed="false">
      <c r="A8" s="8" t="n">
        <v>5</v>
      </c>
      <c r="B8" s="22"/>
      <c r="C8" s="10" t="s">
        <v>145</v>
      </c>
      <c r="D8" s="17"/>
      <c r="E8" s="22"/>
      <c r="F8" s="17"/>
      <c r="G8" s="22"/>
    </row>
    <row r="9" customFormat="false" ht="31.5" hidden="false" customHeight="true" outlineLevel="0" collapsed="false">
      <c r="A9" s="4" t="n">
        <v>6</v>
      </c>
      <c r="B9" s="23"/>
      <c r="C9" s="6" t="s">
        <v>146</v>
      </c>
      <c r="D9" s="18"/>
      <c r="E9" s="23"/>
      <c r="F9" s="18"/>
      <c r="G9" s="23"/>
    </row>
    <row r="10" customFormat="false" ht="31.5" hidden="false" customHeight="true" outlineLevel="0" collapsed="false">
      <c r="A10" s="8" t="n">
        <v>7</v>
      </c>
      <c r="B10" s="22"/>
      <c r="C10" s="10" t="s">
        <v>147</v>
      </c>
      <c r="D10" s="17"/>
      <c r="E10" s="22"/>
      <c r="F10" s="17"/>
      <c r="G10" s="22"/>
    </row>
    <row r="11" customFormat="false" ht="31.5" hidden="false" customHeight="true" outlineLevel="0" collapsed="false">
      <c r="A11" s="4" t="n">
        <v>8</v>
      </c>
      <c r="B11" s="23"/>
      <c r="C11" s="6" t="s">
        <v>148</v>
      </c>
      <c r="D11" s="18"/>
      <c r="E11" s="23"/>
      <c r="F11" s="18"/>
      <c r="G11" s="23"/>
    </row>
    <row r="12" customFormat="false" ht="31.5" hidden="false" customHeight="true" outlineLevel="0" collapsed="false">
      <c r="A12" s="8" t="n">
        <v>9</v>
      </c>
      <c r="B12" s="22"/>
      <c r="C12" s="10" t="s">
        <v>149</v>
      </c>
      <c r="D12" s="17"/>
      <c r="E12" s="22"/>
      <c r="F12" s="17"/>
      <c r="G12" s="22"/>
    </row>
    <row r="13" customFormat="false" ht="31.5" hidden="false" customHeight="true" outlineLevel="0" collapsed="false">
      <c r="A13" s="4" t="n">
        <v>10</v>
      </c>
      <c r="B13" s="23"/>
      <c r="C13" s="6" t="s">
        <v>150</v>
      </c>
      <c r="D13" s="18"/>
      <c r="E13" s="23"/>
      <c r="F13" s="18"/>
      <c r="G13" s="23"/>
    </row>
    <row r="14" customFormat="false" ht="31.5" hidden="false" customHeight="true" outlineLevel="0" collapsed="false">
      <c r="A14" s="8" t="n">
        <v>11</v>
      </c>
      <c r="B14" s="22"/>
      <c r="C14" s="10" t="s">
        <v>151</v>
      </c>
      <c r="D14" s="17"/>
      <c r="E14" s="22"/>
      <c r="F14" s="17"/>
      <c r="G14" s="22"/>
    </row>
    <row r="15" customFormat="false" ht="31.5" hidden="false" customHeight="true" outlineLevel="0" collapsed="false">
      <c r="A15" s="4" t="n">
        <v>12</v>
      </c>
      <c r="B15" s="23"/>
      <c r="C15" s="6" t="s">
        <v>152</v>
      </c>
      <c r="D15" s="18"/>
      <c r="E15" s="23"/>
      <c r="F15" s="18"/>
      <c r="G15" s="23"/>
    </row>
    <row r="16" customFormat="false" ht="31.5" hidden="false" customHeight="true" outlineLevel="0" collapsed="false">
      <c r="A16" s="8" t="n">
        <v>13</v>
      </c>
      <c r="B16" s="22"/>
      <c r="C16" s="10" t="s">
        <v>153</v>
      </c>
      <c r="D16" s="17"/>
      <c r="E16" s="22"/>
      <c r="F16" s="17"/>
      <c r="G16" s="22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6" min="3" style="0" width="40"/>
  </cols>
  <sheetData>
    <row r="1" customFormat="false" ht="33.75" hidden="false" customHeight="true" outlineLevel="0" collapsed="false">
      <c r="A1" s="36" t="s">
        <v>154</v>
      </c>
      <c r="B1" s="36"/>
      <c r="C1" s="36"/>
      <c r="D1" s="36"/>
      <c r="E1" s="36"/>
      <c r="F1" s="36"/>
    </row>
    <row r="2" customFormat="false" ht="25.5" hidden="false" customHeight="true" outlineLevel="0" collapsed="false">
      <c r="A2" s="37" t="s">
        <v>155</v>
      </c>
      <c r="B2" s="37"/>
      <c r="C2" s="37"/>
      <c r="D2" s="37"/>
      <c r="E2" s="37"/>
      <c r="F2" s="37"/>
    </row>
    <row r="3" customFormat="false" ht="23.85" hidden="false" customHeight="false" outlineLevel="0" collapsed="false">
      <c r="A3" s="38" t="s">
        <v>156</v>
      </c>
      <c r="B3" s="38" t="s">
        <v>157</v>
      </c>
      <c r="C3" s="38" t="s">
        <v>158</v>
      </c>
      <c r="D3" s="38" t="s">
        <v>159</v>
      </c>
      <c r="E3" s="38" t="s">
        <v>160</v>
      </c>
      <c r="F3" s="38" t="s">
        <v>161</v>
      </c>
    </row>
    <row r="4" customFormat="false" ht="64.5" hidden="false" customHeight="true" outlineLevel="0" collapsed="false">
      <c r="A4" s="11" t="n">
        <v>4</v>
      </c>
      <c r="B4" s="11" t="s">
        <v>162</v>
      </c>
      <c r="C4" s="10" t="s">
        <v>163</v>
      </c>
      <c r="D4" s="10" t="s">
        <v>164</v>
      </c>
      <c r="E4" s="10" t="s">
        <v>165</v>
      </c>
      <c r="F4" s="10" t="s">
        <v>166</v>
      </c>
    </row>
    <row r="5" customFormat="false" ht="64.5" hidden="false" customHeight="true" outlineLevel="0" collapsed="false">
      <c r="A5" s="7" t="n">
        <v>3</v>
      </c>
      <c r="B5" s="7" t="s">
        <v>167</v>
      </c>
      <c r="C5" s="6" t="s">
        <v>168</v>
      </c>
      <c r="D5" s="6" t="s">
        <v>169</v>
      </c>
      <c r="E5" s="6" t="s">
        <v>170</v>
      </c>
      <c r="F5" s="6" t="s">
        <v>171</v>
      </c>
    </row>
    <row r="6" customFormat="false" ht="64.5" hidden="false" customHeight="true" outlineLevel="0" collapsed="false">
      <c r="A6" s="11" t="n">
        <v>2</v>
      </c>
      <c r="B6" s="11" t="s">
        <v>172</v>
      </c>
      <c r="C6" s="10" t="s">
        <v>173</v>
      </c>
      <c r="D6" s="10" t="s">
        <v>174</v>
      </c>
      <c r="E6" s="10" t="s">
        <v>175</v>
      </c>
      <c r="F6" s="10" t="s">
        <v>176</v>
      </c>
    </row>
    <row r="7" customFormat="false" ht="64.5" hidden="false" customHeight="true" outlineLevel="0" collapsed="false">
      <c r="A7" s="7" t="n">
        <v>1</v>
      </c>
      <c r="B7" s="7" t="s">
        <v>177</v>
      </c>
      <c r="C7" s="6" t="s">
        <v>178</v>
      </c>
      <c r="D7" s="6" t="s">
        <v>179</v>
      </c>
      <c r="E7" s="6" t="s">
        <v>180</v>
      </c>
      <c r="F7" s="6" t="s">
        <v>181</v>
      </c>
    </row>
    <row r="8" customFormat="false" ht="64.5" hidden="false" customHeight="true" outlineLevel="0" collapsed="false">
      <c r="A8" s="11" t="n">
        <v>0</v>
      </c>
      <c r="B8" s="11" t="s">
        <v>182</v>
      </c>
      <c r="C8" s="10" t="s">
        <v>183</v>
      </c>
      <c r="D8" s="10" t="s">
        <v>184</v>
      </c>
      <c r="E8" s="10" t="s">
        <v>185</v>
      </c>
      <c r="F8" s="10" t="s">
        <v>186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E4F"/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9" min="3" style="0" width="18"/>
    <col collapsed="false" customWidth="true" hidden="false" outlineLevel="0" max="10" min="10" style="0" width="20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39" t="s">
        <v>187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customFormat="false" ht="25.5" hidden="false" customHeight="true" outlineLevel="0" collapsed="false">
      <c r="A2" s="15" t="s">
        <v>188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customFormat="false" ht="23.85" hidden="false" customHeight="false" outlineLevel="0" collapsed="false">
      <c r="A3" s="40" t="s">
        <v>46</v>
      </c>
      <c r="B3" s="40" t="s">
        <v>55</v>
      </c>
      <c r="C3" s="40" t="s">
        <v>189</v>
      </c>
      <c r="D3" s="40" t="s">
        <v>190</v>
      </c>
      <c r="E3" s="40" t="s">
        <v>191</v>
      </c>
      <c r="F3" s="40" t="s">
        <v>192</v>
      </c>
      <c r="G3" s="40" t="s">
        <v>193</v>
      </c>
      <c r="H3" s="40" t="s">
        <v>194</v>
      </c>
      <c r="I3" s="40" t="s">
        <v>195</v>
      </c>
      <c r="J3" s="40" t="s">
        <v>196</v>
      </c>
      <c r="K3" s="40" t="s">
        <v>197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17"/>
      <c r="I4" s="17"/>
      <c r="J4" s="41" t="n">
        <f aca="false">IF(COUNTA(C4:I4)&gt;0,SUM(C4:I4)/(7*4)*100,0)</f>
        <v>0</v>
      </c>
      <c r="K4" s="11" t="str">
        <f aca="false">IF(J4&gt;=80,"Exemplary",IF(J4&gt;=60,"Advanced",IF(J4&gt;=40,"Developing",IF(J4&gt;=20,"Nascent","Absent"))))</f>
        <v>Absent</v>
      </c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18"/>
      <c r="F5" s="18"/>
      <c r="G5" s="18"/>
      <c r="H5" s="18"/>
      <c r="I5" s="18"/>
      <c r="J5" s="42" t="n">
        <f aca="false">IF(COUNTA(C5:I5)&gt;0,SUM(C5:I5)/(7*4)*100,0)</f>
        <v>0</v>
      </c>
      <c r="K5" s="7" t="str">
        <f aca="false">IF(J5&gt;=80,"Exemplary",IF(J5&gt;=60,"Advanced",IF(J5&gt;=40,"Developing",IF(J5&gt;=20,"Nascent","Absent"))))</f>
        <v>Absent</v>
      </c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17"/>
      <c r="I6" s="17"/>
      <c r="J6" s="41" t="n">
        <f aca="false">IF(COUNTA(C6:I6)&gt;0,SUM(C6:I6)/(7*4)*100,0)</f>
        <v>0</v>
      </c>
      <c r="K6" s="11" t="str">
        <f aca="false">IF(J6&gt;=80,"Exemplary",IF(J6&gt;=60,"Advanced",IF(J6&gt;=40,"Developing",IF(J6&gt;=20,"Nascent","Absent"))))</f>
        <v>Absent</v>
      </c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18"/>
      <c r="F7" s="18"/>
      <c r="G7" s="18"/>
      <c r="H7" s="18"/>
      <c r="I7" s="18"/>
      <c r="J7" s="42" t="n">
        <f aca="false">IF(COUNTA(C7:I7)&gt;0,SUM(C7:I7)/(7*4)*100,0)</f>
        <v>0</v>
      </c>
      <c r="K7" s="7" t="str">
        <f aca="false">IF(J7&gt;=80,"Exemplary",IF(J7&gt;=60,"Advanced",IF(J7&gt;=40,"Developing",IF(J7&gt;=20,"Nascent","Absent"))))</f>
        <v>Absent</v>
      </c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17"/>
      <c r="I8" s="17"/>
      <c r="J8" s="41" t="n">
        <f aca="false">IF(COUNTA(C8:I8)&gt;0,SUM(C8:I8)/(7*4)*100,0)</f>
        <v>0</v>
      </c>
      <c r="K8" s="11" t="str">
        <f aca="false">IF(J8&gt;=80,"Exemplary",IF(J8&gt;=60,"Advanced",IF(J8&gt;=40,"Developing",IF(J8&gt;=20,"Nascent","Absent"))))</f>
        <v>Absent</v>
      </c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18"/>
      <c r="F9" s="18"/>
      <c r="G9" s="18"/>
      <c r="H9" s="18"/>
      <c r="I9" s="18"/>
      <c r="J9" s="42" t="n">
        <f aca="false">IF(COUNTA(C9:I9)&gt;0,SUM(C9:I9)/(7*4)*100,0)</f>
        <v>0</v>
      </c>
      <c r="K9" s="7" t="str">
        <f aca="false">IF(J9&gt;=80,"Exemplary",IF(J9&gt;=60,"Advanced",IF(J9&gt;=40,"Developing",IF(J9&gt;=20,"Nascent","Absent"))))</f>
        <v>Absent</v>
      </c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17"/>
      <c r="I10" s="17"/>
      <c r="J10" s="41" t="n">
        <f aca="false">IF(COUNTA(C10:I10)&gt;0,SUM(C10:I10)/(7*4)*100,0)</f>
        <v>0</v>
      </c>
      <c r="K10" s="11" t="str">
        <f aca="false">IF(J10&gt;=80,"Exemplary",IF(J10&gt;=60,"Advanced",IF(J10&gt;=40,"Developing",IF(J10&gt;=20,"Nascent","Absent"))))</f>
        <v>Absent</v>
      </c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18"/>
      <c r="F11" s="18"/>
      <c r="G11" s="18"/>
      <c r="H11" s="18"/>
      <c r="I11" s="18"/>
      <c r="J11" s="42" t="n">
        <f aca="false">IF(COUNTA(C11:I11)&gt;0,SUM(C11:I11)/(7*4)*100,0)</f>
        <v>0</v>
      </c>
      <c r="K11" s="7" t="str">
        <f aca="false">IF(J11&gt;=80,"Exemplary",IF(J11&gt;=60,"Advanced",IF(J11&gt;=40,"Developing",IF(J11&gt;=20,"Nascent","Absent"))))</f>
        <v>Absent</v>
      </c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17"/>
      <c r="I12" s="17"/>
      <c r="J12" s="41" t="n">
        <f aca="false">IF(COUNTA(C12:I12)&gt;0,SUM(C12:I12)/(7*4)*100,0)</f>
        <v>0</v>
      </c>
      <c r="K12" s="11" t="str">
        <f aca="false">IF(J12&gt;=80,"Exemplary",IF(J12&gt;=60,"Advanced",IF(J12&gt;=40,"Developing",IF(J12&gt;=20,"Nascent","Absent"))))</f>
        <v>Absent</v>
      </c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18"/>
      <c r="F13" s="18"/>
      <c r="G13" s="18"/>
      <c r="H13" s="18"/>
      <c r="I13" s="18"/>
      <c r="J13" s="42" t="n">
        <f aca="false">IF(COUNTA(C13:I13)&gt;0,SUM(C13:I13)/(7*4)*100,0)</f>
        <v>0</v>
      </c>
      <c r="K13" s="7" t="str">
        <f aca="false">IF(J13&gt;=80,"Exemplary",IF(J13&gt;=60,"Advanced",IF(J13&gt;=40,"Developing",IF(J13&gt;=20,"Nascent","Absent"))))</f>
        <v>Absent</v>
      </c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17"/>
      <c r="I14" s="17"/>
      <c r="J14" s="41" t="n">
        <f aca="false">IF(COUNTA(C14:I14)&gt;0,SUM(C14:I14)/(7*4)*100,0)</f>
        <v>0</v>
      </c>
      <c r="K14" s="11" t="str">
        <f aca="false">IF(J14&gt;=80,"Exemplary",IF(J14&gt;=60,"Advanced",IF(J14&gt;=40,"Developing",IF(J14&gt;=20,"Nascent","Absent"))))</f>
        <v>Absent</v>
      </c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18"/>
      <c r="F15" s="18"/>
      <c r="G15" s="18"/>
      <c r="H15" s="18"/>
      <c r="I15" s="18"/>
      <c r="J15" s="42" t="n">
        <f aca="false">IF(COUNTA(C15:I15)&gt;0,SUM(C15:I15)/(7*4)*100,0)</f>
        <v>0</v>
      </c>
      <c r="K15" s="7" t="str">
        <f aca="false">IF(J15&gt;=80,"Exemplary",IF(J15&gt;=60,"Advanced",IF(J15&gt;=40,"Developing",IF(J15&gt;=20,"Nascent","Absent"))))</f>
        <v>Absent</v>
      </c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17"/>
      <c r="I16" s="17"/>
      <c r="J16" s="41" t="n">
        <f aca="false">IF(COUNTA(C16:I16)&gt;0,SUM(C16:I16)/(7*4)*100,0)</f>
        <v>0</v>
      </c>
      <c r="K16" s="11" t="str">
        <f aca="false">IF(J16&gt;=80,"Exemplary",IF(J16&gt;=60,"Advanced",IF(J16&gt;=40,"Developing",IF(J16&gt;=20,"Nascent","Absent"))))</f>
        <v>Absent</v>
      </c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18"/>
      <c r="F17" s="18"/>
      <c r="G17" s="18"/>
      <c r="H17" s="18"/>
      <c r="I17" s="18"/>
      <c r="J17" s="42" t="n">
        <f aca="false">IF(COUNTA(C17:I17)&gt;0,SUM(C17:I17)/(7*4)*100,0)</f>
        <v>0</v>
      </c>
      <c r="K17" s="7" t="str">
        <f aca="false">IF(J17&gt;=80,"Exemplary",IF(J17&gt;=60,"Advanced",IF(J17&gt;=40,"Developing",IF(J17&gt;=20,"Nascent","Absent"))))</f>
        <v>Absent</v>
      </c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17"/>
      <c r="I18" s="17"/>
      <c r="J18" s="41" t="n">
        <f aca="false">IF(COUNTA(C18:I18)&gt;0,SUM(C18:I18)/(7*4)*100,0)</f>
        <v>0</v>
      </c>
      <c r="K18" s="11" t="str">
        <f aca="false">IF(J18&gt;=80,"Exemplary",IF(J18&gt;=60,"Advanced",IF(J18&gt;=40,"Developing",IF(J18&gt;=20,"Nascent","Absent"))))</f>
        <v>Absent</v>
      </c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18"/>
      <c r="F19" s="18"/>
      <c r="G19" s="18"/>
      <c r="H19" s="18"/>
      <c r="I19" s="18"/>
      <c r="J19" s="42" t="n">
        <f aca="false">IF(COUNTA(C19:I19)&gt;0,SUM(C19:I19)/(7*4)*100,0)</f>
        <v>0</v>
      </c>
      <c r="K19" s="7" t="str">
        <f aca="false">IF(J19&gt;=80,"Exemplary",IF(J19&gt;=60,"Advanced",IF(J19&gt;=40,"Developing",IF(J19&gt;=20,"Nascent","Absent"))))</f>
        <v>Absent</v>
      </c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17"/>
      <c r="I20" s="17"/>
      <c r="J20" s="41" t="n">
        <f aca="false">IF(COUNTA(C20:I20)&gt;0,SUM(C20:I20)/(7*4)*100,0)</f>
        <v>0</v>
      </c>
      <c r="K20" s="11" t="str">
        <f aca="false">IF(J20&gt;=80,"Exemplary",IF(J20&gt;=60,"Advanced",IF(J20&gt;=40,"Developing",IF(J20&gt;=20,"Nascent","Absent"))))</f>
        <v>Absent</v>
      </c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18"/>
      <c r="F21" s="18"/>
      <c r="G21" s="18"/>
      <c r="H21" s="18"/>
      <c r="I21" s="18"/>
      <c r="J21" s="42" t="n">
        <f aca="false">IF(COUNTA(C21:I21)&gt;0,SUM(C21:I21)/(7*4)*100,0)</f>
        <v>0</v>
      </c>
      <c r="K21" s="7" t="str">
        <f aca="false">IF(J21&gt;=80,"Exemplary",IF(J21&gt;=60,"Advanced",IF(J21&gt;=40,"Developing",IF(J21&gt;=20,"Nascent","Absent"))))</f>
        <v>Absent</v>
      </c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17"/>
      <c r="I22" s="17"/>
      <c r="J22" s="41" t="n">
        <f aca="false">IF(COUNTA(C22:I22)&gt;0,SUM(C22:I22)/(7*4)*100,0)</f>
        <v>0</v>
      </c>
      <c r="K22" s="11" t="str">
        <f aca="false">IF(J22&gt;=80,"Exemplary",IF(J22&gt;=60,"Advanced",IF(J22&gt;=40,"Developing",IF(J22&gt;=20,"Nascent","Absent"))))</f>
        <v>Absent</v>
      </c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18"/>
      <c r="F23" s="18"/>
      <c r="G23" s="18"/>
      <c r="H23" s="18"/>
      <c r="I23" s="18"/>
      <c r="J23" s="42" t="n">
        <f aca="false">IF(COUNTA(C23:I23)&gt;0,SUM(C23:I23)/(7*4)*100,0)</f>
        <v>0</v>
      </c>
      <c r="K23" s="7" t="str">
        <f aca="false">IF(J23&gt;=80,"Exemplary",IF(J23&gt;=60,"Advanced",IF(J23&gt;=40,"Developing",IF(J23&gt;=20,"Nascent","Absent"))))</f>
        <v>Absent</v>
      </c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17"/>
      <c r="I24" s="17"/>
      <c r="J24" s="41" t="n">
        <f aca="false">IF(COUNTA(C24:I24)&gt;0,SUM(C24:I24)/(7*4)*100,0)</f>
        <v>0</v>
      </c>
      <c r="K24" s="11" t="str">
        <f aca="false">IF(J24&gt;=80,"Exemplary",IF(J24&gt;=60,"Advanced",IF(J24&gt;=40,"Developing",IF(J24&gt;=20,"Nascent","Absent"))))</f>
        <v>Absent</v>
      </c>
    </row>
    <row r="25" customFormat="false" ht="15" hidden="false" customHeight="false" outlineLevel="0" collapsed="false">
      <c r="A25" s="4" t="n">
        <v>22</v>
      </c>
      <c r="B25" s="18"/>
      <c r="C25" s="18"/>
      <c r="D25" s="18"/>
      <c r="E25" s="18"/>
      <c r="F25" s="18"/>
      <c r="G25" s="18"/>
      <c r="H25" s="18"/>
      <c r="I25" s="18"/>
      <c r="J25" s="42" t="n">
        <f aca="false">IF(COUNTA(C25:I25)&gt;0,SUM(C25:I25)/(7*4)*100,0)</f>
        <v>0</v>
      </c>
      <c r="K25" s="7" t="str">
        <f aca="false">IF(J25&gt;=80,"Exemplary",IF(J25&gt;=60,"Advanced",IF(J25&gt;=40,"Developing",IF(J25&gt;=20,"Nascent","Absent"))))</f>
        <v>Absent</v>
      </c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17"/>
      <c r="I26" s="17"/>
      <c r="J26" s="41" t="n">
        <f aca="false">IF(COUNTA(C26:I26)&gt;0,SUM(C26:I26)/(7*4)*100,0)</f>
        <v>0</v>
      </c>
      <c r="K26" s="11" t="str">
        <f aca="false">IF(J26&gt;=80,"Exemplary",IF(J26&gt;=60,"Advanced",IF(J26&gt;=40,"Developing",IF(J26&gt;=20,"Nascent","Absent"))))</f>
        <v>Absent</v>
      </c>
    </row>
    <row r="27" customFormat="false" ht="15" hidden="false" customHeight="false" outlineLevel="0" collapsed="false">
      <c r="A27" s="4" t="n">
        <v>24</v>
      </c>
      <c r="B27" s="18"/>
      <c r="C27" s="18"/>
      <c r="D27" s="18"/>
      <c r="E27" s="18"/>
      <c r="F27" s="18"/>
      <c r="G27" s="18"/>
      <c r="H27" s="18"/>
      <c r="I27" s="18"/>
      <c r="J27" s="42" t="n">
        <f aca="false">IF(COUNTA(C27:I27)&gt;0,SUM(C27:I27)/(7*4)*100,0)</f>
        <v>0</v>
      </c>
      <c r="K27" s="7" t="str">
        <f aca="false">IF(J27&gt;=80,"Exemplary",IF(J27&gt;=60,"Advanced",IF(J27&gt;=40,"Developing",IF(J27&gt;=20,"Nascent","Absent"))))</f>
        <v>Absent</v>
      </c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17"/>
      <c r="I28" s="17"/>
      <c r="J28" s="41" t="n">
        <f aca="false">IF(COUNTA(C28:I28)&gt;0,SUM(C28:I28)/(7*4)*100,0)</f>
        <v>0</v>
      </c>
      <c r="K28" s="11" t="str">
        <f aca="false">IF(J28&gt;=80,"Exemplary",IF(J28&gt;=60,"Advanced",IF(J28&gt;=40,"Developing",IF(J28&gt;=20,"Nascent","Absent"))))</f>
        <v>Absent</v>
      </c>
    </row>
    <row r="29" customFormat="false" ht="15" hidden="false" customHeight="false" outlineLevel="0" collapsed="false">
      <c r="A29" s="4" t="n">
        <v>26</v>
      </c>
      <c r="B29" s="18"/>
      <c r="C29" s="18"/>
      <c r="D29" s="18"/>
      <c r="E29" s="18"/>
      <c r="F29" s="18"/>
      <c r="G29" s="18"/>
      <c r="H29" s="18"/>
      <c r="I29" s="18"/>
      <c r="J29" s="42" t="n">
        <f aca="false">IF(COUNTA(C29:I29)&gt;0,SUM(C29:I29)/(7*4)*100,0)</f>
        <v>0</v>
      </c>
      <c r="K29" s="7" t="str">
        <f aca="false">IF(J29&gt;=80,"Exemplary",IF(J29&gt;=60,"Advanced",IF(J29&gt;=40,"Developing",IF(J29&gt;=20,"Nascent","Absent"))))</f>
        <v>Absent</v>
      </c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17"/>
      <c r="I30" s="17"/>
      <c r="J30" s="41" t="n">
        <f aca="false">IF(COUNTA(C30:I30)&gt;0,SUM(C30:I30)/(7*4)*100,0)</f>
        <v>0</v>
      </c>
      <c r="K30" s="11" t="str">
        <f aca="false">IF(J30&gt;=80,"Exemplary",IF(J30&gt;=60,"Advanced",IF(J30&gt;=40,"Developing",IF(J30&gt;=20,"Nascent","Absent"))))</f>
        <v>Absent</v>
      </c>
    </row>
    <row r="31" customFormat="false" ht="15" hidden="false" customHeight="false" outlineLevel="0" collapsed="false">
      <c r="A31" s="4" t="n">
        <v>28</v>
      </c>
      <c r="B31" s="18"/>
      <c r="C31" s="18"/>
      <c r="D31" s="18"/>
      <c r="E31" s="18"/>
      <c r="F31" s="18"/>
      <c r="G31" s="18"/>
      <c r="H31" s="18"/>
      <c r="I31" s="18"/>
      <c r="J31" s="42" t="n">
        <f aca="false">IF(COUNTA(C31:I31)&gt;0,SUM(C31:I31)/(7*4)*100,0)</f>
        <v>0</v>
      </c>
      <c r="K31" s="7" t="str">
        <f aca="false">IF(J31&gt;=80,"Exemplary",IF(J31&gt;=60,"Advanced",IF(J31&gt;=40,"Developing",IF(J31&gt;=20,"Nascent","Absent"))))</f>
        <v>Absent</v>
      </c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17"/>
      <c r="I32" s="17"/>
      <c r="J32" s="41" t="n">
        <f aca="false">IF(COUNTA(C32:I32)&gt;0,SUM(C32:I32)/(7*4)*100,0)</f>
        <v>0</v>
      </c>
      <c r="K32" s="11" t="str">
        <f aca="false">IF(J32&gt;=80,"Exemplary",IF(J32&gt;=60,"Advanced",IF(J32&gt;=40,"Developing",IF(J32&gt;=20,"Nascent","Absent"))))</f>
        <v>Absent</v>
      </c>
    </row>
    <row r="33" customFormat="false" ht="15" hidden="false" customHeight="false" outlineLevel="0" collapsed="false">
      <c r="A33" s="4" t="n">
        <v>30</v>
      </c>
      <c r="B33" s="18"/>
      <c r="C33" s="18"/>
      <c r="D33" s="18"/>
      <c r="E33" s="18"/>
      <c r="F33" s="18"/>
      <c r="G33" s="18"/>
      <c r="H33" s="18"/>
      <c r="I33" s="18"/>
      <c r="J33" s="42" t="n">
        <f aca="false">IF(COUNTA(C33:I33)&gt;0,SUM(C33:I33)/(7*4)*100,0)</f>
        <v>0</v>
      </c>
      <c r="K33" s="7" t="str">
        <f aca="false">IF(J33&gt;=80,"Exemplary",IF(J33&gt;=60,"Advanced",IF(J33&gt;=40,"Developing",IF(J33&gt;=20,"Nascent","Absent"))))</f>
        <v>Absent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36" t="s">
        <v>198</v>
      </c>
      <c r="B1" s="36"/>
      <c r="C1" s="36"/>
      <c r="D1" s="36"/>
      <c r="E1" s="36"/>
      <c r="F1" s="36"/>
      <c r="G1" s="36"/>
    </row>
    <row r="2" customFormat="false" ht="25.5" hidden="false" customHeight="true" outlineLevel="0" collapsed="false">
      <c r="A2" s="37" t="s">
        <v>199</v>
      </c>
      <c r="B2" s="37"/>
      <c r="C2" s="37"/>
      <c r="D2" s="37"/>
      <c r="E2" s="37"/>
      <c r="F2" s="37"/>
      <c r="G2" s="37"/>
    </row>
    <row r="3" customFormat="false" ht="23.85" hidden="false" customHeight="false" outlineLevel="0" collapsed="false">
      <c r="A3" s="38" t="s">
        <v>2</v>
      </c>
      <c r="B3" s="38" t="s">
        <v>200</v>
      </c>
      <c r="C3" s="38" t="s">
        <v>201</v>
      </c>
      <c r="D3" s="38" t="s">
        <v>202</v>
      </c>
      <c r="E3" s="38" t="s">
        <v>203</v>
      </c>
      <c r="F3" s="38" t="s">
        <v>204</v>
      </c>
      <c r="G3" s="38" t="s">
        <v>205</v>
      </c>
    </row>
    <row r="4" customFormat="false" ht="27.75" hidden="false" customHeight="true" outlineLevel="0" collapsed="false">
      <c r="A4" s="8" t="n">
        <v>1</v>
      </c>
      <c r="B4" s="17"/>
      <c r="C4" s="10" t="s">
        <v>206</v>
      </c>
      <c r="D4" s="17"/>
      <c r="E4" s="17"/>
      <c r="F4" s="17"/>
      <c r="G4" s="17"/>
    </row>
    <row r="5" customFormat="false" ht="27.75" hidden="false" customHeight="true" outlineLevel="0" collapsed="false">
      <c r="A5" s="4" t="n">
        <v>2</v>
      </c>
      <c r="B5" s="18"/>
      <c r="C5" s="6" t="s">
        <v>207</v>
      </c>
      <c r="D5" s="18"/>
      <c r="E5" s="18"/>
      <c r="F5" s="18"/>
      <c r="G5" s="18"/>
    </row>
    <row r="6" customFormat="false" ht="27.75" hidden="false" customHeight="true" outlineLevel="0" collapsed="false">
      <c r="A6" s="8" t="n">
        <v>3</v>
      </c>
      <c r="B6" s="17"/>
      <c r="C6" s="10" t="s">
        <v>208</v>
      </c>
      <c r="D6" s="17"/>
      <c r="E6" s="17"/>
      <c r="F6" s="17"/>
      <c r="G6" s="17"/>
    </row>
    <row r="7" customFormat="false" ht="27.75" hidden="false" customHeight="true" outlineLevel="0" collapsed="false">
      <c r="A7" s="4" t="n">
        <v>4</v>
      </c>
      <c r="B7" s="18"/>
      <c r="C7" s="6" t="s">
        <v>209</v>
      </c>
      <c r="D7" s="18"/>
      <c r="E7" s="18"/>
      <c r="F7" s="18"/>
      <c r="G7" s="18"/>
    </row>
    <row r="8" customFormat="false" ht="27.75" hidden="false" customHeight="true" outlineLevel="0" collapsed="false">
      <c r="A8" s="8" t="n">
        <v>5</v>
      </c>
      <c r="B8" s="17"/>
      <c r="C8" s="10" t="s">
        <v>210</v>
      </c>
      <c r="D8" s="17"/>
      <c r="E8" s="17"/>
      <c r="F8" s="17"/>
      <c r="G8" s="17"/>
    </row>
    <row r="9" customFormat="false" ht="27.75" hidden="false" customHeight="true" outlineLevel="0" collapsed="false">
      <c r="A9" s="4" t="n">
        <v>6</v>
      </c>
      <c r="B9" s="18"/>
      <c r="C9" s="6" t="s">
        <v>211</v>
      </c>
      <c r="D9" s="18"/>
      <c r="E9" s="18"/>
      <c r="F9" s="18"/>
      <c r="G9" s="18"/>
    </row>
    <row r="10" customFormat="false" ht="27.75" hidden="false" customHeight="true" outlineLevel="0" collapsed="false">
      <c r="A10" s="8" t="n">
        <v>7</v>
      </c>
      <c r="B10" s="17"/>
      <c r="C10" s="10" t="s">
        <v>212</v>
      </c>
      <c r="D10" s="17"/>
      <c r="E10" s="17"/>
      <c r="F10" s="17"/>
      <c r="G10" s="17"/>
    </row>
    <row r="11" customFormat="false" ht="27.75" hidden="false" customHeight="true" outlineLevel="0" collapsed="false">
      <c r="A11" s="4" t="n">
        <v>8</v>
      </c>
      <c r="B11" s="18"/>
      <c r="C11" s="6" t="s">
        <v>213</v>
      </c>
      <c r="D11" s="18"/>
      <c r="E11" s="18"/>
      <c r="F11" s="18"/>
      <c r="G11" s="18"/>
    </row>
    <row r="12" customFormat="false" ht="27.75" hidden="false" customHeight="true" outlineLevel="0" collapsed="false">
      <c r="A12" s="8" t="n">
        <v>9</v>
      </c>
      <c r="B12" s="17"/>
      <c r="C12" s="10" t="s">
        <v>214</v>
      </c>
      <c r="D12" s="17"/>
      <c r="E12" s="17"/>
      <c r="F12" s="17"/>
      <c r="G12" s="17"/>
    </row>
    <row r="13" customFormat="false" ht="27.75" hidden="false" customHeight="true" outlineLevel="0" collapsed="false">
      <c r="A13" s="4" t="n">
        <v>10</v>
      </c>
      <c r="B13" s="18"/>
      <c r="C13" s="6" t="s">
        <v>215</v>
      </c>
      <c r="D13" s="18"/>
      <c r="E13" s="18"/>
      <c r="F13" s="18"/>
      <c r="G13" s="18"/>
    </row>
    <row r="14" customFormat="false" ht="27.75" hidden="false" customHeight="true" outlineLevel="0" collapsed="false">
      <c r="A14" s="8" t="n">
        <v>11</v>
      </c>
      <c r="B14" s="17"/>
      <c r="C14" s="10" t="s">
        <v>216</v>
      </c>
      <c r="D14" s="17"/>
      <c r="E14" s="17"/>
      <c r="F14" s="17"/>
      <c r="G14" s="17"/>
    </row>
    <row r="15" customFormat="false" ht="27.75" hidden="false" customHeight="true" outlineLevel="0" collapsed="false">
      <c r="A15" s="4" t="n">
        <v>12</v>
      </c>
      <c r="B15" s="18"/>
      <c r="C15" s="6" t="s">
        <v>217</v>
      </c>
      <c r="D15" s="18"/>
      <c r="E15" s="18"/>
      <c r="F15" s="18"/>
      <c r="G15" s="18"/>
    </row>
    <row r="16" customFormat="false" ht="27.75" hidden="false" customHeight="true" outlineLevel="0" collapsed="false">
      <c r="A16" s="8" t="n">
        <v>13</v>
      </c>
      <c r="B16" s="17"/>
      <c r="C16" s="10" t="s">
        <v>218</v>
      </c>
      <c r="D16" s="17"/>
      <c r="E16" s="17"/>
      <c r="F16" s="17"/>
      <c r="G16" s="17"/>
    </row>
    <row r="17" customFormat="false" ht="27.75" hidden="false" customHeight="true" outlineLevel="0" collapsed="false">
      <c r="A17" s="4" t="n">
        <v>14</v>
      </c>
      <c r="B17" s="18"/>
      <c r="C17" s="6" t="s">
        <v>219</v>
      </c>
      <c r="D17" s="18"/>
      <c r="E17" s="18"/>
      <c r="F17" s="18"/>
      <c r="G17" s="18"/>
    </row>
    <row r="18" customFormat="false" ht="27.75" hidden="false" customHeight="true" outlineLevel="0" collapsed="false">
      <c r="A18" s="8" t="n">
        <v>15</v>
      </c>
      <c r="B18" s="17"/>
      <c r="C18" s="10" t="s">
        <v>220</v>
      </c>
      <c r="D18" s="17"/>
      <c r="E18" s="17"/>
      <c r="F18" s="17"/>
      <c r="G18" s="17"/>
    </row>
    <row r="19" customFormat="false" ht="27.75" hidden="false" customHeight="true" outlineLevel="0" collapsed="false">
      <c r="A19" s="4" t="n">
        <v>16</v>
      </c>
      <c r="B19" s="18"/>
      <c r="C19" s="6" t="s">
        <v>221</v>
      </c>
      <c r="D19" s="18"/>
      <c r="E19" s="18"/>
      <c r="F19" s="18"/>
      <c r="G19" s="18"/>
    </row>
    <row r="20" customFormat="false" ht="27.75" hidden="false" customHeight="true" outlineLevel="0" collapsed="false">
      <c r="A20" s="8" t="n">
        <v>17</v>
      </c>
      <c r="B20" s="17"/>
      <c r="C20" s="10" t="s">
        <v>222</v>
      </c>
      <c r="D20" s="17"/>
      <c r="E20" s="17"/>
      <c r="F20" s="17"/>
      <c r="G20" s="17"/>
    </row>
    <row r="21" customFormat="false" ht="27.75" hidden="false" customHeight="true" outlineLevel="0" collapsed="false">
      <c r="A21" s="4" t="n">
        <v>18</v>
      </c>
      <c r="B21" s="18"/>
      <c r="C21" s="6" t="s">
        <v>223</v>
      </c>
      <c r="D21" s="18"/>
      <c r="E21" s="18"/>
      <c r="F21" s="18"/>
      <c r="G21" s="18"/>
    </row>
    <row r="22" customFormat="false" ht="27.75" hidden="false" customHeight="true" outlineLevel="0" collapsed="false">
      <c r="A22" s="8" t="n">
        <v>19</v>
      </c>
      <c r="B22" s="17"/>
      <c r="C22" s="10" t="s">
        <v>224</v>
      </c>
      <c r="D22" s="17"/>
      <c r="E22" s="17"/>
      <c r="F22" s="17"/>
      <c r="G22" s="17"/>
    </row>
    <row r="23" customFormat="false" ht="27.75" hidden="false" customHeight="true" outlineLevel="0" collapsed="false">
      <c r="A23" s="4" t="n">
        <v>20</v>
      </c>
      <c r="B23" s="18"/>
      <c r="C23" s="6" t="s">
        <v>225</v>
      </c>
      <c r="D23" s="18"/>
      <c r="E23" s="18"/>
      <c r="F23" s="18"/>
      <c r="G23" s="18"/>
    </row>
    <row r="24" customFormat="false" ht="27.75" hidden="false" customHeight="true" outlineLevel="0" collapsed="false">
      <c r="A24" s="8" t="n">
        <v>21</v>
      </c>
      <c r="B24" s="17"/>
      <c r="C24" s="10" t="s">
        <v>226</v>
      </c>
      <c r="D24" s="17"/>
      <c r="E24" s="17"/>
      <c r="F24" s="17"/>
      <c r="G24" s="17"/>
    </row>
    <row r="25" customFormat="false" ht="27.75" hidden="false" customHeight="true" outlineLevel="0" collapsed="false">
      <c r="A25" s="4" t="n">
        <v>22</v>
      </c>
      <c r="B25" s="18"/>
      <c r="C25" s="6" t="s">
        <v>227</v>
      </c>
      <c r="D25" s="18"/>
      <c r="E25" s="18"/>
      <c r="F25" s="18"/>
      <c r="G25" s="18"/>
    </row>
    <row r="26" customFormat="false" ht="27.75" hidden="false" customHeight="true" outlineLevel="0" collapsed="false">
      <c r="A26" s="8" t="n">
        <v>23</v>
      </c>
      <c r="B26" s="17"/>
      <c r="C26" s="10" t="s">
        <v>228</v>
      </c>
      <c r="D26" s="17"/>
      <c r="E26" s="17"/>
      <c r="F26" s="17"/>
      <c r="G26" s="17"/>
    </row>
    <row r="27" customFormat="false" ht="27.75" hidden="false" customHeight="true" outlineLevel="0" collapsed="false">
      <c r="A27" s="4" t="n">
        <v>24</v>
      </c>
      <c r="B27" s="18"/>
      <c r="C27" s="6" t="s">
        <v>229</v>
      </c>
      <c r="D27" s="18"/>
      <c r="E27" s="18"/>
      <c r="F27" s="18"/>
      <c r="G27" s="18"/>
    </row>
    <row r="29" customFormat="false" ht="25.5" hidden="false" customHeight="true" outlineLevel="0" collapsed="false">
      <c r="A29" s="43" t="s">
        <v>230</v>
      </c>
      <c r="B29" s="43"/>
      <c r="C29" s="43"/>
      <c r="D29" s="43"/>
      <c r="E29" s="43"/>
      <c r="F29" s="43"/>
      <c r="G29" s="43"/>
    </row>
    <row r="30" customFormat="false" ht="15" hidden="false" customHeight="true" outlineLevel="0" collapsed="false">
      <c r="A30" s="44" t="s">
        <v>231</v>
      </c>
      <c r="B30" s="44"/>
      <c r="C30" s="44"/>
      <c r="D30" s="45" t="n">
        <f aca="false">COUNTIF(D4:D27,"Done")</f>
        <v>0</v>
      </c>
      <c r="E30" s="46"/>
      <c r="F30" s="46"/>
      <c r="G30" s="46"/>
    </row>
    <row r="31" customFormat="false" ht="15" hidden="false" customHeight="true" outlineLevel="0" collapsed="false">
      <c r="A31" s="44" t="s">
        <v>232</v>
      </c>
      <c r="B31" s="44"/>
      <c r="C31" s="44"/>
      <c r="D31" s="45" t="n">
        <f aca="false">IFERROR(COUNTIF(D4:D27,"Done")/24*100,0)</f>
        <v>0</v>
      </c>
      <c r="E31" s="46"/>
      <c r="F31" s="46"/>
      <c r="G31" s="46"/>
    </row>
    <row r="32" customFormat="false" ht="15" hidden="false" customHeight="true" outlineLevel="0" collapsed="false">
      <c r="A32" s="44" t="s">
        <v>233</v>
      </c>
      <c r="B32" s="44"/>
      <c r="C32" s="44"/>
      <c r="D32" s="45" t="n">
        <f aca="false">COUNTIF(D4:D27,"Pending")</f>
        <v>0</v>
      </c>
      <c r="E32" s="46"/>
      <c r="F32" s="46"/>
      <c r="G32" s="46"/>
    </row>
    <row r="33" customFormat="false" ht="15" hidden="false" customHeight="true" outlineLevel="0" collapsed="false">
      <c r="A33" s="44" t="s">
        <v>234</v>
      </c>
      <c r="B33" s="44"/>
      <c r="C33" s="44"/>
      <c r="D33" s="45" t="str">
        <f aca="false">IF(COUNTIF(D4:D27,"Pending")=0,"YES — Ready","NO — Pending Items")</f>
        <v>YES — Ready</v>
      </c>
      <c r="E33" s="46"/>
      <c r="F33" s="46"/>
      <c r="G33" s="46"/>
    </row>
  </sheetData>
  <mergeCells count="7">
    <mergeCell ref="A1:G1"/>
    <mergeCell ref="A2:G2"/>
    <mergeCell ref="A29:G29"/>
    <mergeCell ref="A30:C30"/>
    <mergeCell ref="A31:C31"/>
    <mergeCell ref="A32:C32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5" min="4" style="0" width="16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14" t="s">
        <v>235</v>
      </c>
      <c r="B1" s="14"/>
      <c r="C1" s="14"/>
      <c r="D1" s="14"/>
      <c r="E1" s="14"/>
      <c r="F1" s="14"/>
    </row>
    <row r="2" customFormat="false" ht="25.5" hidden="false" customHeight="true" outlineLevel="0" collapsed="false">
      <c r="A2" s="47" t="s">
        <v>236</v>
      </c>
      <c r="B2" s="47"/>
      <c r="C2" s="47"/>
      <c r="D2" s="47"/>
      <c r="E2" s="47"/>
      <c r="F2" s="47"/>
    </row>
    <row r="3" customFormat="false" ht="15" hidden="false" customHeight="false" outlineLevel="0" collapsed="false">
      <c r="A3" s="16" t="s">
        <v>2</v>
      </c>
      <c r="B3" s="16" t="s">
        <v>237</v>
      </c>
      <c r="C3" s="16" t="s">
        <v>238</v>
      </c>
      <c r="D3" s="16" t="s">
        <v>239</v>
      </c>
      <c r="E3" s="16" t="s">
        <v>240</v>
      </c>
      <c r="F3" s="16" t="s">
        <v>241</v>
      </c>
    </row>
    <row r="4" customFormat="false" ht="31.5" hidden="false" customHeight="true" outlineLevel="0" collapsed="false">
      <c r="A4" s="8" t="n">
        <v>1</v>
      </c>
      <c r="B4" s="9" t="s">
        <v>242</v>
      </c>
      <c r="C4" s="10" t="s">
        <v>243</v>
      </c>
      <c r="D4" s="17"/>
      <c r="E4" s="17"/>
      <c r="F4" s="17"/>
    </row>
    <row r="5" customFormat="false" ht="31.5" hidden="false" customHeight="true" outlineLevel="0" collapsed="false">
      <c r="A5" s="4" t="n">
        <v>2</v>
      </c>
      <c r="B5" s="5" t="s">
        <v>244</v>
      </c>
      <c r="C5" s="6" t="s">
        <v>245</v>
      </c>
      <c r="D5" s="18"/>
      <c r="E5" s="18"/>
      <c r="F5" s="18"/>
    </row>
    <row r="6" customFormat="false" ht="31.5" hidden="false" customHeight="true" outlineLevel="0" collapsed="false">
      <c r="A6" s="8" t="n">
        <v>3</v>
      </c>
      <c r="B6" s="9" t="s">
        <v>246</v>
      </c>
      <c r="C6" s="10" t="s">
        <v>247</v>
      </c>
      <c r="D6" s="17"/>
      <c r="E6" s="17"/>
      <c r="F6" s="17"/>
    </row>
    <row r="7" customFormat="false" ht="31.5" hidden="false" customHeight="true" outlineLevel="0" collapsed="false">
      <c r="A7" s="4" t="n">
        <v>4</v>
      </c>
      <c r="B7" s="5" t="s">
        <v>248</v>
      </c>
      <c r="C7" s="6" t="s">
        <v>249</v>
      </c>
      <c r="D7" s="18"/>
      <c r="E7" s="18"/>
      <c r="F7" s="18"/>
    </row>
    <row r="8" customFormat="false" ht="31.5" hidden="false" customHeight="true" outlineLevel="0" collapsed="false">
      <c r="A8" s="8" t="n">
        <v>5</v>
      </c>
      <c r="B8" s="9" t="s">
        <v>250</v>
      </c>
      <c r="C8" s="10" t="s">
        <v>251</v>
      </c>
      <c r="D8" s="17"/>
      <c r="E8" s="17"/>
      <c r="F8" s="17"/>
    </row>
    <row r="9" customFormat="false" ht="31.5" hidden="false" customHeight="true" outlineLevel="0" collapsed="false">
      <c r="A9" s="4" t="n">
        <v>6</v>
      </c>
      <c r="B9" s="5" t="s">
        <v>252</v>
      </c>
      <c r="C9" s="6" t="s">
        <v>253</v>
      </c>
      <c r="D9" s="18"/>
      <c r="E9" s="18"/>
      <c r="F9" s="18"/>
    </row>
    <row r="10" customFormat="false" ht="31.5" hidden="false" customHeight="true" outlineLevel="0" collapsed="false">
      <c r="A10" s="8" t="n">
        <v>7</v>
      </c>
      <c r="B10" s="9" t="s">
        <v>254</v>
      </c>
      <c r="C10" s="10" t="s">
        <v>255</v>
      </c>
      <c r="D10" s="17"/>
      <c r="E10" s="17"/>
      <c r="F10" s="17"/>
    </row>
    <row r="11" customFormat="false" ht="31.5" hidden="false" customHeight="true" outlineLevel="0" collapsed="false">
      <c r="A11" s="4" t="n">
        <v>8</v>
      </c>
      <c r="B11" s="5" t="s">
        <v>256</v>
      </c>
      <c r="C11" s="6" t="s">
        <v>257</v>
      </c>
      <c r="D11" s="18"/>
      <c r="E11" s="18"/>
      <c r="F11" s="18"/>
    </row>
    <row r="12" customFormat="false" ht="31.5" hidden="false" customHeight="true" outlineLevel="0" collapsed="false">
      <c r="A12" s="8" t="n">
        <v>9</v>
      </c>
      <c r="B12" s="9" t="s">
        <v>258</v>
      </c>
      <c r="C12" s="10" t="s">
        <v>259</v>
      </c>
      <c r="D12" s="17"/>
      <c r="E12" s="17"/>
      <c r="F12" s="17"/>
    </row>
    <row r="13" customFormat="false" ht="31.5" hidden="false" customHeight="true" outlineLevel="0" collapsed="false">
      <c r="A13" s="4" t="n">
        <v>10</v>
      </c>
      <c r="B13" s="5" t="s">
        <v>260</v>
      </c>
      <c r="C13" s="6" t="s">
        <v>261</v>
      </c>
      <c r="D13" s="18"/>
      <c r="E13" s="18"/>
      <c r="F13" s="18"/>
    </row>
    <row r="14" customFormat="false" ht="31.5" hidden="false" customHeight="true" outlineLevel="0" collapsed="false">
      <c r="A14" s="8" t="n">
        <v>11</v>
      </c>
      <c r="B14" s="9" t="s">
        <v>262</v>
      </c>
      <c r="C14" s="10" t="s">
        <v>263</v>
      </c>
      <c r="D14" s="17"/>
      <c r="E14" s="17"/>
      <c r="F14" s="17"/>
    </row>
    <row r="15" customFormat="false" ht="31.5" hidden="false" customHeight="true" outlineLevel="0" collapsed="false">
      <c r="A15" s="4" t="n">
        <v>12</v>
      </c>
      <c r="B15" s="5" t="s">
        <v>264</v>
      </c>
      <c r="C15" s="6" t="s">
        <v>265</v>
      </c>
      <c r="D15" s="18"/>
      <c r="E15" s="18"/>
      <c r="F15" s="18"/>
    </row>
    <row r="16" customFormat="false" ht="31.5" hidden="false" customHeight="true" outlineLevel="0" collapsed="false">
      <c r="A16" s="8" t="n">
        <v>13</v>
      </c>
      <c r="B16" s="9" t="s">
        <v>266</v>
      </c>
      <c r="C16" s="10" t="s">
        <v>267</v>
      </c>
      <c r="D16" s="17"/>
      <c r="E16" s="17"/>
      <c r="F16" s="17"/>
    </row>
    <row r="17" customFormat="false" ht="31.5" hidden="false" customHeight="true" outlineLevel="0" collapsed="false">
      <c r="A17" s="4" t="n">
        <v>14</v>
      </c>
      <c r="B17" s="5" t="s">
        <v>268</v>
      </c>
      <c r="C17" s="6" t="s">
        <v>269</v>
      </c>
      <c r="D17" s="18"/>
      <c r="E17" s="18"/>
      <c r="F17" s="18"/>
    </row>
    <row r="18" customFormat="false" ht="31.5" hidden="false" customHeight="true" outlineLevel="0" collapsed="false">
      <c r="A18" s="8" t="n">
        <v>15</v>
      </c>
      <c r="B18" s="9" t="s">
        <v>270</v>
      </c>
      <c r="C18" s="10" t="s">
        <v>271</v>
      </c>
      <c r="D18" s="17"/>
      <c r="E18" s="17"/>
      <c r="F18" s="17"/>
    </row>
    <row r="19" customFormat="false" ht="31.5" hidden="false" customHeight="true" outlineLevel="0" collapsed="false">
      <c r="A19" s="4" t="n">
        <v>16</v>
      </c>
      <c r="B19" s="5" t="s">
        <v>272</v>
      </c>
      <c r="C19" s="6" t="s">
        <v>273</v>
      </c>
      <c r="D19" s="18"/>
      <c r="E19" s="18"/>
      <c r="F19" s="18"/>
    </row>
    <row r="20" customFormat="false" ht="31.5" hidden="false" customHeight="true" outlineLevel="0" collapsed="false">
      <c r="A20" s="8" t="n">
        <v>17</v>
      </c>
      <c r="B20" s="9" t="s">
        <v>274</v>
      </c>
      <c r="C20" s="10" t="s">
        <v>275</v>
      </c>
      <c r="D20" s="17"/>
      <c r="E20" s="17"/>
      <c r="F20" s="17"/>
    </row>
    <row r="21" customFormat="false" ht="31.5" hidden="false" customHeight="true" outlineLevel="0" collapsed="false">
      <c r="A21" s="4" t="n">
        <v>18</v>
      </c>
      <c r="B21" s="5" t="s">
        <v>276</v>
      </c>
      <c r="C21" s="6" t="s">
        <v>277</v>
      </c>
      <c r="D21" s="18"/>
      <c r="E21" s="18"/>
      <c r="F21" s="18"/>
    </row>
    <row r="22" customFormat="false" ht="31.5" hidden="false" customHeight="true" outlineLevel="0" collapsed="false">
      <c r="A22" s="8" t="n">
        <v>19</v>
      </c>
      <c r="B22" s="9" t="s">
        <v>278</v>
      </c>
      <c r="C22" s="10" t="s">
        <v>279</v>
      </c>
      <c r="D22" s="17"/>
      <c r="E22" s="17"/>
      <c r="F22" s="17"/>
    </row>
    <row r="23" customFormat="false" ht="31.5" hidden="false" customHeight="true" outlineLevel="0" collapsed="false">
      <c r="A23" s="4" t="n">
        <v>20</v>
      </c>
      <c r="B23" s="5" t="s">
        <v>280</v>
      </c>
      <c r="C23" s="6" t="s">
        <v>281</v>
      </c>
      <c r="D23" s="18"/>
      <c r="E23" s="18"/>
      <c r="F23" s="18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2026-05-07T04:56:59Z</dcterms:created>
  <dc:creator>openpyxl</dc:creator>
  <dc:description/>
  <dc:language>en-US</dc:language>
  <cp:lastModifiedBy/>
  <dcterms:modified xsi:type="dcterms:W3CDTF">2026-05-07T04:56:59Z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