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Interdisc. Programmes" sheetId="2" state="visible" r:id="rId4"/>
    <sheet name="2. PBL &amp; Experiential" sheetId="3" state="visible" r:id="rId5"/>
    <sheet name="3. Curriculum Flexibility" sheetId="4" state="visible" r:id="rId6"/>
    <sheet name="4. Graduate Outcomes" sheetId="5" state="visible" r:id="rId7"/>
    <sheet name="5. Faculty Pedagogy" sheetId="6" state="visible" r:id="rId8"/>
    <sheet name="6. Student Experience" sheetId="7" state="visible" r:id="rId9"/>
    <sheet name="7. NEP-2020 Curriculum" sheetId="8" state="visible" r:id="rId10"/>
    <sheet name="8. Composite TCI Score" sheetId="9" state="visible" r:id="rId11"/>
    <sheet name="9. Benchmarking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<sst xmlns="http://schemas.openxmlformats.org/spreadsheetml/2006/main" count="335" uniqueCount="295">
  <si>
    <t xml:space="preserve">THE Interdisciplinary Science Rankings — Teaching &amp; Curriculum Innovation (≈20%)</t>
  </si>
  <si>
    <t xml:space="preserve">Evaluates Integration of Interdisciplinary Learning into Academic Programmes | Source: University Submissions &amp; Outcome Data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</si>
  <si>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</si>
  <si>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</si>
  <si>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</si>
  <si>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</si>
  <si>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Interdisciplinary Degree Programmes</t>
  </si>
  <si>
    <t xml:space="preserve">Count and breadth of formally approved programmes integrating 2+ traditional disciplines: joint degrees (e.g., AI + Biology, Bioengineering + Medicine), double majors, integrated BS-MS/BS-MBA, and flexible credit-based programmes. Quality assessed via enrolment, completion rates, and AICTE/UGC/NBA approvals.</t>
  </si>
  <si>
    <t xml:space="preserve">~6%</t>
  </si>
  <si>
    <t xml:space="preserve">Project-Based &amp; Experiential Learning</t>
  </si>
  <si>
    <t xml:space="preserve">Proportion of curriculum delivered through cross-department project-based learning (PBL), capstone projects involving 2+ departments, studio-based learning, hackathons, design-thinking labs, and field-based practicals requiring multi-domain skills. Assessed via course hours and student participation.</t>
  </si>
  <si>
    <t xml:space="preserve">~5%</t>
  </si>
  <si>
    <t xml:space="preserve">Curriculum Design &amp; Flexibility</t>
  </si>
  <si>
    <t xml:space="preserve">Degree of structural flexibility: credit-based choice systems, minor/honours in cross-disciplines, Academic Bank of Credits (ABC) participation, elective pools spanning departments, modular curriculum with stackable credentials, and micro-credentials in convergent fields.</t>
  </si>
  <si>
    <t xml:space="preserve">~4%</t>
  </si>
  <si>
    <t xml:space="preserve">Graduate Outcomes in Interdisciplinary Fields</t>
  </si>
  <si>
    <t xml:space="preserve">Employment, higher-education placement, and entrepreneurship rates of graduates from interdisciplinary programmes specifically. Tracks placement in hybrid sectors (AI+healthcare, climate-tech, data science+finance, biotech) and cross-domain postgraduate admissions.</t>
  </si>
  <si>
    <t xml:space="preserve">~3%</t>
  </si>
  <si>
    <t xml:space="preserve">Faculty Pedagogical Innovation</t>
  </si>
  <si>
    <t xml:space="preserve">Faculty adoption of innovative interdisciplinary teaching methods: team-teaching across departments, co-designed courses, flipped classroom for multi-domain content, simulation-based learning, and faculty development programmes (FDPs) on interdisciplinary pedagogy.</t>
  </si>
  <si>
    <t xml:space="preserve">~2%</t>
  </si>
  <si>
    <t xml:space="preserve">Key Reference Notes</t>
  </si>
  <si>
    <t xml:space="preserve">• Teaching &amp; Curriculum Innovation carries ≈20% of total ranking — tied with Interdisciplinary Research Environment as the second-largest pillar.</t>
  </si>
  <si>
    <t xml:space="preserve">• Primary data source: University-submitted teaching, curriculum, and student outcome data.</t>
  </si>
  <si>
    <t xml:space="preserve">• Evaluates INTEGRATION of disciplines in teaching — not discipline-specific teaching quality (which falls under main WUR Teaching pillar).</t>
  </si>
  <si>
    <t xml:space="preserve">• Aligns directly with NEP-2020: multidisciplinary education, flexible credit systems, ABC, multiple entry/exit, and cross-disciplinary learning.</t>
  </si>
  <si>
    <t xml:space="preserve">• Project-based learning (PBL) involving 2+ departments is a key differentiator — captures experiential interdisciplinarity.</t>
  </si>
  <si>
    <t xml:space="preserve">• Graduate outcomes focus specifically on interdisciplinary programme graduates, not overall institutional placement statistics.</t>
  </si>
  <si>
    <t xml:space="preserve">• Faculty pedagogical innovation covers team-teaching, co-designed courses, simulation labs, and FDPs on interdisciplinary methods.</t>
  </si>
  <si>
    <t xml:space="preserve">• Scoring: each sub-indicator normalized 0–100 via z-scoring; composite weighted average produces final TCI score.</t>
  </si>
  <si>
    <t xml:space="preserve">Interdisciplinary Degree Programmes — Catalogue &amp; Enrolment Data</t>
  </si>
  <si>
    <t xml:space="preserve">Programmes integrating 2+ traditional disciplines | Joint degrees, double majors, integrated BS-MS, flexible programmes</t>
  </si>
  <si>
    <t xml:space="preserve">S.No.</t>
  </si>
  <si>
    <t xml:space="preserve">Programme Name</t>
  </si>
  <si>
    <t xml:space="preserve">Disciplines Integrated (list 2+)</t>
  </si>
  <si>
    <t xml:space="preserve">Departments Involved</t>
  </si>
  <si>
    <t xml:space="preserve">Level (UG/PG/PhD/Diploma)</t>
  </si>
  <si>
    <t xml:space="preserve">Year Launched</t>
  </si>
  <si>
    <t xml:space="preserve">Current Enrolment</t>
  </si>
  <si>
    <t xml:space="preserve">Completion Rate (%)</t>
  </si>
  <si>
    <t xml:space="preserve">Accreditation (NBA/NAAC/AICTE/UGC)</t>
  </si>
  <si>
    <t xml:space="preserve">Mode (Full-time/Online/Hybrid)</t>
  </si>
  <si>
    <t xml:space="preserve">University Name</t>
  </si>
  <si>
    <t xml:space="preserve">University-Level Programme Summary</t>
  </si>
  <si>
    <t xml:space="preserve">Total Interdisc. Programmes</t>
  </si>
  <si>
    <t xml:space="preserve">UG Programmes</t>
  </si>
  <si>
    <t xml:space="preserve">PG Programmes</t>
  </si>
  <si>
    <t xml:space="preserve">PhD Programmes</t>
  </si>
  <si>
    <t xml:space="preserve">Total Interdisc. Enrolment</t>
  </si>
  <si>
    <t xml:space="preserve">% of Total University Enrolment</t>
  </si>
  <si>
    <t xml:space="preserve">Avg Completion Rate (%)</t>
  </si>
  <si>
    <t xml:space="preserve">Programme Breadth Index</t>
  </si>
  <si>
    <t xml:space="preserve">Reporting Year</t>
  </si>
  <si>
    <t xml:space="preserve">Examples of Interdisciplinary Programme Types (Reference)</t>
  </si>
  <si>
    <t xml:space="preserve">AI + Biology / Bioinformatics</t>
  </si>
  <si>
    <t xml:space="preserve">Computer Science + Life Sciences</t>
  </si>
  <si>
    <t xml:space="preserve">UG/PG</t>
  </si>
  <si>
    <t xml:space="preserve">Bioengineering + Medicine</t>
  </si>
  <si>
    <t xml:space="preserve">Engineering + Clinical Health</t>
  </si>
  <si>
    <t xml:space="preserve">PG/PhD</t>
  </si>
  <si>
    <t xml:space="preserve">Environmental Engineering + Policy</t>
  </si>
  <si>
    <t xml:space="preserve">Engineering + Social Sciences</t>
  </si>
  <si>
    <t xml:space="preserve">PG</t>
  </si>
  <si>
    <t xml:space="preserve">Data Science + Psychology / Behavioural Analytics</t>
  </si>
  <si>
    <t xml:space="preserve">CS + Psychology</t>
  </si>
  <si>
    <t xml:space="preserve">Computational Chemistry / Materials Informatics</t>
  </si>
  <si>
    <t xml:space="preserve">Chemistry + CS + Engineering</t>
  </si>
  <si>
    <t xml:space="preserve">PhD</t>
  </si>
  <si>
    <t xml:space="preserve">Climate Science + Economics / Sustainability Management</t>
  </si>
  <si>
    <t xml:space="preserve">Earth Sciences + Business</t>
  </si>
  <si>
    <t xml:space="preserve">PG/MBA</t>
  </si>
  <si>
    <t xml:space="preserve">Health Informatics / Digital Health</t>
  </si>
  <si>
    <t xml:space="preserve">CS + Medicine + Public Health</t>
  </si>
  <si>
    <t xml:space="preserve">Robotics + Neuroscience / Cognitive Systems</t>
  </si>
  <si>
    <t xml:space="preserve">Engineering + Life Sciences + Psychology</t>
  </si>
  <si>
    <t xml:space="preserve">Energy Systems + Environmental Science</t>
  </si>
  <si>
    <t xml:space="preserve">Engineering + Earth Sciences</t>
  </si>
  <si>
    <t xml:space="preserve">Agricultural Data Science / Precision Agriculture</t>
  </si>
  <si>
    <t xml:space="preserve">Agriculture + CS + Engineering</t>
  </si>
  <si>
    <t xml:space="preserve">Forensic Science + Law + Chemistry</t>
  </si>
  <si>
    <t xml:space="preserve">Multi-domain integrated</t>
  </si>
  <si>
    <t xml:space="preserve">Design Thinking + Engineering + Business</t>
  </si>
  <si>
    <t xml:space="preserve">UG</t>
  </si>
  <si>
    <t xml:space="preserve">Project-Based &amp; Experiential Cross-Disciplinary Learning</t>
  </si>
  <si>
    <t xml:space="preserve">Capstones, hackathons, design labs, field practicals involving 2+ departments | % of curriculum through PBL</t>
  </si>
  <si>
    <t xml:space="preserve">Country</t>
  </si>
  <si>
    <t xml:space="preserve">Total Courses Offered (Annual)</t>
  </si>
  <si>
    <t xml:space="preserve">Courses with Cross-Dept PBL Component</t>
  </si>
  <si>
    <t xml:space="preserve">% Courses with Interdisc. PBL</t>
  </si>
  <si>
    <t xml:space="preserve">Interdisc. Capstone Projects (Annual)</t>
  </si>
  <si>
    <t xml:space="preserve">Hackathons / Design Sprints (Annual)</t>
  </si>
  <si>
    <t xml:space="preserve">Students in Interdisc. PBL</t>
  </si>
  <si>
    <t xml:space="preserve">% Students Participating</t>
  </si>
  <si>
    <t xml:space="preserve">Detailed PBL / Experiential Activity Log</t>
  </si>
  <si>
    <t xml:space="preserve">Activity / Project Title</t>
  </si>
  <si>
    <t xml:space="preserve">Type (Capstone/Hackathon/DesignLab/Field/Studio)</t>
  </si>
  <si>
    <t xml:space="preserve">Departments Involved (list 2+)</t>
  </si>
  <si>
    <t xml:space="preserve">No. of Students</t>
  </si>
  <si>
    <t xml:space="preserve">Duration (Weeks)</t>
  </si>
  <si>
    <t xml:space="preserve">Industry Partner (Y/N)</t>
  </si>
  <si>
    <t xml:space="preserve">SDG Alignment</t>
  </si>
  <si>
    <t xml:space="preserve">Assessment Method</t>
  </si>
  <si>
    <t xml:space="preserve">Outcome (Product/Report/Patent/Startup)</t>
  </si>
  <si>
    <t xml:space="preserve">Curriculum Design &amp; Flexibility — Structural Enablers of Interdisciplinarity</t>
  </si>
  <si>
    <t xml:space="preserve">Credit-based choice, minors/honours across disciplines, ABC, modular credentials, elective pools</t>
  </si>
  <si>
    <t xml:space="preserve">Curriculum Flexibility Feature</t>
  </si>
  <si>
    <t xml:space="preserve">Status (Implemented/Planned/No)</t>
  </si>
  <si>
    <t xml:space="preserve">Year Adopted</t>
  </si>
  <si>
    <t xml:space="preserve">Evidence / Document</t>
  </si>
  <si>
    <t xml:space="preserve">Coverage (All / Select Programmes)</t>
  </si>
  <si>
    <t xml:space="preserve">Choice-Based Credit System (CBCS) operational across all programmes</t>
  </si>
  <si>
    <t xml:space="preserve">Minor / Honours in cross-discipline available (e.g., CS student can minor in Biology)</t>
  </si>
  <si>
    <t xml:space="preserve">Academic Bank of Credits (ABC) registered and operational</t>
  </si>
  <si>
    <t xml:space="preserve">Multiple Entry &amp; Exit (MEE) framework implemented (NEP-2020)</t>
  </si>
  <si>
    <t xml:space="preserve">Elective pool spanning 3+ departments available to all students</t>
  </si>
  <si>
    <t xml:space="preserve">Stackable micro-credentials / certificate programmes in convergent fields</t>
  </si>
  <si>
    <t xml:space="preserve">Modular curriculum with credit transfer between departments</t>
  </si>
  <si>
    <t xml:space="preserve">Open elective catalogue published online with cross-dept options</t>
  </si>
  <si>
    <t xml:space="preserve">Double major / dual degree option across traditional departments</t>
  </si>
  <si>
    <t xml:space="preserve">Integrated BS-MS / BS-MBA / BTech-MBA programmes available</t>
  </si>
  <si>
    <t xml:space="preserve">Online / hybrid mode available for cross-department courses</t>
  </si>
  <si>
    <t xml:space="preserve">Cross-listed courses (same course counted in 2+ departments)</t>
  </si>
  <si>
    <t xml:space="preserve">Industry co-designed courses integrating multiple domains</t>
  </si>
  <si>
    <t xml:space="preserve">Semester abroad / exchange with interdisciplinary partner institution</t>
  </si>
  <si>
    <t xml:space="preserve">Interdisciplinary project semester (full semester dedicated to cross-dept project)</t>
  </si>
  <si>
    <t xml:space="preserve">Learning outcome mapping includes interdisciplinary competencies</t>
  </si>
  <si>
    <t xml:space="preserve">Graduate attributes include 'interdisciplinary problem-solving' explicitly</t>
  </si>
  <si>
    <t xml:space="preserve">Student feedback mechanism specific to interdisciplinary course quality</t>
  </si>
  <si>
    <t xml:space="preserve">Flexibility Summary</t>
  </si>
  <si>
    <t xml:space="preserve">Total Features Implemented</t>
  </si>
  <si>
    <t xml:space="preserve">Flexibility Adoption Rate (%)</t>
  </si>
  <si>
    <t xml:space="preserve">Graduate Outcomes from Interdisciplinary Programmes</t>
  </si>
  <si>
    <t xml:space="preserve">Placement, higher-education, entrepreneurship rates for graduates of interdisc. programmes specifically</t>
  </si>
  <si>
    <t xml:space="preserve">Total Interdisc. Graduates (3yr)</t>
  </si>
  <si>
    <t xml:space="preserve">Placed in Hybrid Sectors</t>
  </si>
  <si>
    <t xml:space="preserve">% Hybrid Sector Placement</t>
  </si>
  <si>
    <t xml:space="preserve">Pursuing Cross-Domain PG/PhD</t>
  </si>
  <si>
    <t xml:space="preserve">% Cross-Domain Higher Ed.</t>
  </si>
  <si>
    <t xml:space="preserve">Start-ups Founded (Cross-Domain)</t>
  </si>
  <si>
    <t xml:space="preserve">Avg Starting Salary (INR L / USD K)</t>
  </si>
  <si>
    <t xml:space="preserve">Reporting Period</t>
  </si>
  <si>
    <t xml:space="preserve">Hybrid Sector Placement Breakdown</t>
  </si>
  <si>
    <t xml:space="preserve">AI + Healthcare</t>
  </si>
  <si>
    <t xml:space="preserve">Climate-Tech / Green Energy</t>
  </si>
  <si>
    <t xml:space="preserve">Data Science + Finance / FinTech</t>
  </si>
  <si>
    <t xml:space="preserve">Biotech / BioEngg</t>
  </si>
  <si>
    <t xml:space="preserve">EdTech / Digital Learning</t>
  </si>
  <si>
    <t xml:space="preserve">Robotics / Automation</t>
  </si>
  <si>
    <t xml:space="preserve">AgriTech / Precision Agriculture</t>
  </si>
  <si>
    <t xml:space="preserve">Other Hybrid Sectors</t>
  </si>
  <si>
    <t xml:space="preserve">Total Hybrid Placements</t>
  </si>
  <si>
    <t xml:space="preserve">Faculty Pedagogical Innovation for Interdisciplinary Teaching</t>
  </si>
  <si>
    <t xml:space="preserve">Team-teaching, co-designed courses, flipped classrooms, simulation labs, FDPs on interdisciplinary methods</t>
  </si>
  <si>
    <t xml:space="preserve">Total Faculty (FTE)</t>
  </si>
  <si>
    <t xml:space="preserve">Faculty Team-Teaching Across Depts</t>
  </si>
  <si>
    <t xml:space="preserve">Faculty Co-Designing Interdisc. Courses</t>
  </si>
  <si>
    <t xml:space="preserve">Faculty Using Simulation/VR for Cross-Domain Teaching</t>
  </si>
  <si>
    <t xml:space="preserve">Faculty Completed Interdisc. Pedagogy FDP</t>
  </si>
  <si>
    <t xml:space="preserve">% Faculty Engaged in Interdisc. Teaching</t>
  </si>
  <si>
    <t xml:space="preserve">Interdisciplinary Teaching FDP / Workshop Log</t>
  </si>
  <si>
    <t xml:space="preserve">FDP / Workshop Title</t>
  </si>
  <si>
    <t xml:space="preserve">Organizer (Internal/External/AICTE/UGC)</t>
  </si>
  <si>
    <t xml:space="preserve">Duration (Days)</t>
  </si>
  <si>
    <t xml:space="preserve">No. of Faculty Attended</t>
  </si>
  <si>
    <t xml:space="preserve">Departments Represented</t>
  </si>
  <si>
    <t xml:space="preserve">Focus (Pedagogy/Technology/Curriculum Design/Assessment)</t>
  </si>
  <si>
    <t xml:space="preserve">Certification Issued (Y/N)</t>
  </si>
  <si>
    <t xml:space="preserve">Date</t>
  </si>
  <si>
    <t xml:space="preserve">Student Interdisciplinary Experience — Perception &amp; Satisfaction Survey Data</t>
  </si>
  <si>
    <t xml:space="preserve">Captures student satisfaction with interdisciplinary teaching quality, course availability, and learning outcomes</t>
  </si>
  <si>
    <t xml:space="preserve">Total Students Surveyed</t>
  </si>
  <si>
    <t xml:space="preserve">Cross-Dept Course Availability (1–5)</t>
  </si>
  <si>
    <t xml:space="preserve">Quality of Interdisc. Teaching (1–5)</t>
  </si>
  <si>
    <t xml:space="preserve">PBL Satisfaction (1–5)</t>
  </si>
  <si>
    <t xml:space="preserve">Overall Interdisc. Experience (1–5)</t>
  </si>
  <si>
    <t xml:space="preserve">Detailed Survey Question Scores (Per University, Scale 1–5)</t>
  </si>
  <si>
    <t xml:space="preserve">Survey Question</t>
  </si>
  <si>
    <t xml:space="preserve">Avg Score (1–5)</t>
  </si>
  <si>
    <t xml:space="preserve">Std Dev</t>
  </si>
  <si>
    <t xml:space="preserve">N (Respondents)</t>
  </si>
  <si>
    <t xml:space="preserve">% Agree (4-5)</t>
  </si>
  <si>
    <t xml:space="preserve">% Disagree (1-2)</t>
  </si>
  <si>
    <t xml:space="preserve">Benchmark (Top 10 Avg)</t>
  </si>
  <si>
    <t xml:space="preserve">University</t>
  </si>
  <si>
    <t xml:space="preserve">I had sufficient opportunity to take courses outside my primary department</t>
  </si>
  <si>
    <t xml:space="preserve">Cross-department project work was well organized and meaningful</t>
  </si>
  <si>
    <t xml:space="preserve">Faculty from different departments collaborated effectively in my courses</t>
  </si>
  <si>
    <t xml:space="preserve">The curriculum prepared me for careers requiring multi-domain skills</t>
  </si>
  <si>
    <t xml:space="preserve">Interdisciplinary capstone projects were challenging and relevant</t>
  </si>
  <si>
    <t xml:space="preserve">I could easily obtain credits for courses in other departments</t>
  </si>
  <si>
    <t xml:space="preserve">Digital tools / simulation platforms supported cross-domain learning</t>
  </si>
  <si>
    <t xml:space="preserve">Industry guest lectures brought real-world interdisciplinary perspectives</t>
  </si>
  <si>
    <t xml:space="preserve">Career services understood and supported hybrid-sector job searches</t>
  </si>
  <si>
    <t xml:space="preserve">Overall, the interdisciplinary learning experience was valuable</t>
  </si>
  <si>
    <t xml:space="preserve">NEP-2020 &amp; Curriculum Reform Alignment — Teaching &amp; Interdisciplinarity</t>
  </si>
  <si>
    <t xml:space="preserve">Tracks alignment with NEP-2020 teaching mandates, AICTE outcome-based reforms, UGC LOCF frameworks</t>
  </si>
  <si>
    <t xml:space="preserve">NEP-2020 / Reform Alignment Item</t>
  </si>
  <si>
    <t xml:space="preserve">Evidence / Documentation</t>
  </si>
  <si>
    <t xml:space="preserve">Year</t>
  </si>
  <si>
    <t xml:space="preserve">Remarks</t>
  </si>
  <si>
    <t xml:space="preserve">Multidisciplinary undergraduate programme structure (4-year UG with exit options)</t>
  </si>
  <si>
    <t xml:space="preserve">Multiple Entry &amp; Exit (MEE) with credit banking operational</t>
  </si>
  <si>
    <t xml:space="preserve">Academic Bank of Credits (ABC) registration and active credit transfer</t>
  </si>
  <si>
    <t xml:space="preserve">Choice-Based Credit System (CBCS) with cross-department elective pool</t>
  </si>
  <si>
    <t xml:space="preserve">Interdisciplinary minor / honours pathways for all UG students</t>
  </si>
  <si>
    <t xml:space="preserve">Outcome-Based Education (OBE) with interdisciplinary graduate attributes</t>
  </si>
  <si>
    <t xml:space="preserve">Programme outcomes explicitly include 'interdisciplinary problem-solving'</t>
  </si>
  <si>
    <t xml:space="preserve">NEP-aligned flexible curriculum with modular / stackable credentials</t>
  </si>
  <si>
    <t xml:space="preserve">Community engagement / service learning with cross-domain focus</t>
  </si>
  <si>
    <t xml:space="preserve">Industry-integrated semesters / internships in hybrid sectors</t>
  </si>
  <si>
    <t xml:space="preserve">Experiential Learning Programme (ELP) involving 2+ departments</t>
  </si>
  <si>
    <t xml:space="preserve">Research-integrated teaching (RIT) in interdisciplinary labs</t>
  </si>
  <si>
    <t xml:space="preserve">NEP research internship programme for UG students in cross-domain labs</t>
  </si>
  <si>
    <t xml:space="preserve">Faculty induction programme includes interdisciplinary pedagogy module</t>
  </si>
  <si>
    <t xml:space="preserve">Annual curriculum review includes interdisciplinary content assessment</t>
  </si>
  <si>
    <t xml:space="preserve">Student-driven interdisciplinary clubs / societies supported by institution</t>
  </si>
  <si>
    <t xml:space="preserve">Open Educational Resources (OER) for interdisciplinary courses published</t>
  </si>
  <si>
    <t xml:space="preserve">SWAYAM / NPTEL / MOOCs on interdisciplinary topics co-created by faculty</t>
  </si>
  <si>
    <t xml:space="preserve">NEP Teaching Compliance Summary</t>
  </si>
  <si>
    <t xml:space="preserve">Total Implemented</t>
  </si>
  <si>
    <t xml:space="preserve">Implementation Rate (%)</t>
  </si>
  <si>
    <t xml:space="preserve">Composite Teaching &amp; Curriculum Innovation Score (0–100)</t>
  </si>
  <si>
    <t xml:space="preserve">Weighted composite of 5 sub-indicators | Weights editable in Row 4 | ≈20% of total ranking</t>
  </si>
  <si>
    <t xml:space="preserve">Programmes Score (A)</t>
  </si>
  <si>
    <t xml:space="preserve">PBL &amp; Experiential (B)</t>
  </si>
  <si>
    <t xml:space="preserve">Curriculum Flexibility (C)</t>
  </si>
  <si>
    <t xml:space="preserve">Graduate Outcomes (D)</t>
  </si>
  <si>
    <t xml:space="preserve">Faculty Pedagogy (E)</t>
  </si>
  <si>
    <t xml:space="preserve">Composite TCI Score (0–100)</t>
  </si>
  <si>
    <t xml:space="preserve">Global Rank</t>
  </si>
  <si>
    <t xml:space="preserve">Weights →</t>
  </si>
  <si>
    <t xml:space="preserve">Benchmarking &amp; Peer Comparison — Teaching &amp; Curriculum Innovation</t>
  </si>
  <si>
    <t xml:space="preserve">Compare your institution against peers, aspirational targets, and global top performers</t>
  </si>
  <si>
    <t xml:space="preserve">University / Benchmark</t>
  </si>
  <si>
    <t xml:space="preserve">Programmes</t>
  </si>
  <si>
    <t xml:space="preserve">PBL Score</t>
  </si>
  <si>
    <t xml:space="preserve">Flexibility</t>
  </si>
  <si>
    <t xml:space="preserve">Outcomes</t>
  </si>
  <si>
    <t xml:space="preserve">Pedagogy</t>
  </si>
  <si>
    <t xml:space="preserve">Composite TCI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</si>
  <si>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</si>
  <si>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</si>
  <si>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</si>
  <si>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</si>
  <si>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</si>
  <si>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</si>
  <si>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</si>
  <si>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</si>
  <si>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</si>
  <si>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Teaching &amp; Curriculum Innovation — Data Quality &amp; Audit Checklist</t>
  </si>
  <si>
    <t xml:space="preserve">Validation checks for all sub-indicators of the TCI pillar (≈20% of THE Interdisciplinary Ranking)</t>
  </si>
  <si>
    <t xml:space="preserve">Quality Check</t>
  </si>
  <si>
    <t xml:space="preserve">Description</t>
  </si>
  <si>
    <t xml:space="preserve">Status (✓/✗/IP)</t>
  </si>
  <si>
    <t xml:space="preserve">Reviewer</t>
  </si>
  <si>
    <t xml:space="preserve">Programme interdisciplinarity verification</t>
  </si>
  <si>
    <t xml:space="preserve">Each programme listed involves 2+ distinct traditional departments (not sub-specialties of one department)</t>
  </si>
  <si>
    <t xml:space="preserve">Programme approval documentation</t>
  </si>
  <si>
    <t xml:space="preserve">All programmes have verifiable AICTE / UGC / NBA / University Board approval documents</t>
  </si>
  <si>
    <t xml:space="preserve">Enrolment data accuracy</t>
  </si>
  <si>
    <t xml:space="preserve">Enrolment figures verified against official university registrar records / AISHE submissions</t>
  </si>
  <si>
    <t xml:space="preserve">Completion rate calculation</t>
  </si>
  <si>
    <t xml:space="preserve">Completion rate = graduates / cohort intake, verified for each interdisciplinary programme</t>
  </si>
  <si>
    <t xml:space="preserve">PBL definition consistency</t>
  </si>
  <si>
    <t xml:space="preserve">Project-based learning counts only activities involving 2+ departments; single-department projects excluded</t>
  </si>
  <si>
    <t xml:space="preserve">Capstone project classification</t>
  </si>
  <si>
    <t xml:space="preserve">Capstone projects classified as 'interdisciplinary' only when faculty from 2+ departments supervise</t>
  </si>
  <si>
    <t xml:space="preserve">Curriculum flexibility evidence</t>
  </si>
  <si>
    <t xml:space="preserve">Each flexibility feature marked 'Implemented' backed by official regulation / Board resolution</t>
  </si>
  <si>
    <t xml:space="preserve">ABC registration verification</t>
  </si>
  <si>
    <t xml:space="preserve">Academic Bank of Credits status verified via DigiLocker / ABC portal records</t>
  </si>
  <si>
    <t xml:space="preserve">Graduate outcome tracking period</t>
  </si>
  <si>
    <t xml:space="preserve">Outcomes tracked for 1–3 years post-graduation; reporting window consistent</t>
  </si>
  <si>
    <t xml:space="preserve">Hybrid sector classification</t>
  </si>
  <si>
    <t xml:space="preserve">Placement sectors classified using standard taxonomy (AI+Health, ClimateTech, FinTech, etc.)</t>
  </si>
  <si>
    <t xml:space="preserve">Faculty pedagogical data</t>
  </si>
  <si>
    <t xml:space="preserve">Team-teaching and co-designed course counts verified against course timetable / workload allocation</t>
  </si>
  <si>
    <t xml:space="preserve">FDP certification verification</t>
  </si>
  <si>
    <t xml:space="preserve">Faculty development programme attendance verified against certificates / attendance registers</t>
  </si>
  <si>
    <t xml:space="preserve">Student survey methodology</t>
  </si>
  <si>
    <t xml:space="preserve">Survey uses validated instrument; response rate &gt;30%; anonymity ensured</t>
  </si>
  <si>
    <t xml:space="preserve">NEP-2020 compliance evidence</t>
  </si>
  <si>
    <t xml:space="preserve">Each NEP item marked 'Implemented' is backed by AISHE/NIRF submission or regulatory approval</t>
  </si>
  <si>
    <t xml:space="preserve">Double-counting prevention</t>
  </si>
  <si>
    <t xml:space="preserve">Same programme/course/student not counted in multiple sub-indicators</t>
  </si>
  <si>
    <t xml:space="preserve">Normalization method</t>
  </si>
  <si>
    <t xml:space="preserve">Confirm z-scoring or min-max normalization applied consistently across all universities</t>
  </si>
  <si>
    <t xml:space="preserve">Weight validation</t>
  </si>
  <si>
    <t xml:space="preserve">Sub-indicator weights sum to 100% of the TCI pillar; weights editable but default total verified</t>
  </si>
  <si>
    <t xml:space="preserve">Year-on-year trend check</t>
  </si>
  <si>
    <t xml:space="preserve">Compare current submission with previous cycle to flag anomalous changes (&gt;25% shift)</t>
  </si>
  <si>
    <t xml:space="preserve">External audit trail</t>
  </si>
  <si>
    <t xml:space="preserve">THE audit guidelines followed; institutional data submission signed by competent authority</t>
  </si>
  <si>
    <t xml:space="preserve">Reproducibility test</t>
  </si>
  <si>
    <t xml:space="preserve">All calculations reproducible by independent analyst using this workbook and institutional records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</si>
</sst>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0838F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404040"/>
      </patternFill>
    </fill>
    <fill>
      <patternFill patternType="solid">
        <fgColor rgb="FFC8102E"/>
        <bgColor rgb="FF8B0000"/>
      </patternFill>
    </fill>
    <fill>
      <patternFill patternType="solid">
        <fgColor rgb="FF548235"/>
        <bgColor rgb="FF808080"/>
      </patternFill>
    </fill>
    <fill>
      <patternFill patternType="solid">
        <fgColor rgb="FF7030A0"/>
        <bgColor rgb="FF3F51B5"/>
      </patternFill>
    </fill>
    <fill>
      <patternFill patternType="solid">
        <fgColor rgb="FFE4D5F0"/>
        <bgColor rgb="FFE2EFDA"/>
      </patternFill>
    </fill>
    <fill>
      <patternFill patternType="solid">
        <fgColor rgb="FFED7D31"/>
        <bgColor rgb="FFFF8080"/>
      </patternFill>
    </fill>
    <fill>
      <patternFill patternType="solid">
        <fgColor rgb="FF8B0000"/>
        <bgColor rgb="FF800000"/>
      </patternFill>
    </fill>
    <fill>
      <patternFill patternType="solid">
        <fgColor rgb="FFE2EFDA"/>
        <bgColor rgb="FFF2F2F2"/>
      </patternFill>
    </fill>
    <fill>
      <patternFill patternType="solid">
        <fgColor rgb="FFBF8F00"/>
        <bgColor rgb="FFED7D31"/>
      </patternFill>
    </fill>
    <fill>
      <patternFill patternType="solid">
        <fgColor rgb="FF2F8F9D"/>
        <bgColor rgb="FF2E75B6"/>
      </patternFill>
    </fill>
    <fill>
      <patternFill patternType="solid">
        <fgColor rgb="FF3F51B5"/>
        <bgColor rgb="FF666699"/>
      </patternFill>
    </fill>
    <fill>
      <patternFill patternType="solid">
        <fgColor rgb="FF1B5E20"/>
        <bgColor rgb="FF404040"/>
      </patternFill>
    </fill>
    <fill>
      <patternFill patternType="solid">
        <fgColor rgb="FF6D4C41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B0000"/>
      <rgbColor rgb="FF1B5E20"/>
      <rgbColor rgb="FF000080"/>
      <rgbColor rgb="FF548235"/>
      <rgbColor rgb="FF800080"/>
      <rgbColor rgb="FF00838F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066CC"/>
      <rgbColor rgb="FFE4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6D4C41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38F"/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90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90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90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90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17</v>
      </c>
    </row>
    <row r="9" customFormat="false" ht="90" hidden="false" customHeight="true" outlineLevel="0" collapsed="false">
      <c r="A9" s="4" t="n">
        <v>5</v>
      </c>
      <c r="B9" s="5" t="s">
        <v>18</v>
      </c>
      <c r="C9" s="6" t="s">
        <v>19</v>
      </c>
      <c r="D9" s="7" t="s">
        <v>20</v>
      </c>
    </row>
    <row r="11" customFormat="false" ht="25.5" hidden="false" customHeight="true" outlineLevel="0" collapsed="false">
      <c r="A11" s="12" t="s">
        <v>21</v>
      </c>
      <c r="B11" s="12"/>
      <c r="C11" s="12"/>
      <c r="D11" s="12"/>
    </row>
    <row r="12" customFormat="false" ht="23.85" hidden="false" customHeight="true" outlineLevel="0" collapsed="false">
      <c r="A12" s="13" t="s">
        <v>22</v>
      </c>
      <c r="B12" s="13"/>
      <c r="C12" s="13"/>
      <c r="D12" s="13"/>
    </row>
    <row r="13" customFormat="false" ht="15" hidden="false" customHeight="true" outlineLevel="0" collapsed="false">
      <c r="A13" s="13" t="s">
        <v>23</v>
      </c>
      <c r="B13" s="13"/>
      <c r="C13" s="13"/>
      <c r="D13" s="13"/>
    </row>
    <row r="14" customFormat="false" ht="23.85" hidden="false" customHeight="true" outlineLevel="0" collapsed="false">
      <c r="A14" s="13" t="s">
        <v>24</v>
      </c>
      <c r="B14" s="13"/>
      <c r="C14" s="13"/>
      <c r="D14" s="13"/>
    </row>
    <row r="15" customFormat="false" ht="23.85" hidden="false" customHeight="true" outlineLevel="0" collapsed="false">
      <c r="A15" s="13" t="s">
        <v>25</v>
      </c>
      <c r="B15" s="13"/>
      <c r="C15" s="13"/>
      <c r="D15" s="13"/>
    </row>
    <row r="16" customFormat="false" ht="15" hidden="false" customHeight="true" outlineLevel="0" collapsed="false">
      <c r="A16" s="13" t="s">
        <v>26</v>
      </c>
      <c r="B16" s="13"/>
      <c r="C16" s="13"/>
      <c r="D16" s="13"/>
    </row>
    <row r="17" customFormat="false" ht="15" hidden="false" customHeight="true" outlineLevel="0" collapsed="false">
      <c r="A17" s="13" t="s">
        <v>27</v>
      </c>
      <c r="B17" s="13"/>
      <c r="C17" s="13"/>
      <c r="D17" s="13"/>
    </row>
    <row r="18" customFormat="false" ht="23.85" hidden="false" customHeight="true" outlineLevel="0" collapsed="false">
      <c r="A18" s="13" t="s">
        <v>28</v>
      </c>
      <c r="B18" s="13"/>
      <c r="C18" s="13"/>
      <c r="D18" s="13"/>
    </row>
    <row r="19" customFormat="false" ht="15" hidden="false" customHeight="true" outlineLevel="0" collapsed="false">
      <c r="A19" s="13" t="s">
        <v>29</v>
      </c>
      <c r="B19" s="13"/>
      <c r="C19" s="13"/>
      <c r="D19" s="13"/>
    </row>
  </sheetData>
  <mergeCells count="11">
    <mergeCell ref="A1:D1"/>
    <mergeCell ref="A2:D2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7" min="5" style="0" width="14"/>
    <col collapsed="false" customWidth="true" hidden="false" outlineLevel="0" max="9" min="8" style="0" width="16"/>
    <col collapsed="false" customWidth="true" hidden="false" outlineLevel="0" max="11" min="10" style="0" width="14"/>
  </cols>
  <sheetData>
    <row r="1" customFormat="false" ht="33.75" hidden="false" customHeight="true" outlineLevel="0" collapsed="false">
      <c r="A1" s="14" t="s">
        <v>30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25.5" hidden="false" customHeight="true" outlineLevel="0" collapsed="false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customFormat="false" ht="35.05" hidden="false" customHeight="false" outlineLevel="0" collapsed="false">
      <c r="A3" s="16" t="s">
        <v>32</v>
      </c>
      <c r="B3" s="16" t="s">
        <v>33</v>
      </c>
      <c r="C3" s="16" t="s">
        <v>34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39</v>
      </c>
      <c r="I3" s="16" t="s">
        <v>40</v>
      </c>
      <c r="J3" s="16" t="s">
        <v>41</v>
      </c>
      <c r="K3" s="16" t="s">
        <v>42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8"/>
      <c r="I4" s="17"/>
      <c r="J4" s="17"/>
      <c r="K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20"/>
      <c r="I5" s="19"/>
      <c r="J5" s="19"/>
      <c r="K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8"/>
      <c r="I6" s="17"/>
      <c r="J6" s="17"/>
      <c r="K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20"/>
      <c r="I7" s="19"/>
      <c r="J7" s="19"/>
      <c r="K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8"/>
      <c r="I8" s="17"/>
      <c r="J8" s="17"/>
      <c r="K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20"/>
      <c r="I9" s="19"/>
      <c r="J9" s="19"/>
      <c r="K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8"/>
      <c r="I10" s="17"/>
      <c r="J10" s="17"/>
      <c r="K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20"/>
      <c r="I11" s="19"/>
      <c r="J11" s="19"/>
      <c r="K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8"/>
      <c r="I12" s="17"/>
      <c r="J12" s="17"/>
      <c r="K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20"/>
      <c r="I13" s="19"/>
      <c r="J13" s="19"/>
      <c r="K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8"/>
      <c r="I14" s="17"/>
      <c r="J14" s="17"/>
      <c r="K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20"/>
      <c r="I15" s="19"/>
      <c r="J15" s="19"/>
      <c r="K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8"/>
      <c r="I16" s="17"/>
      <c r="J16" s="17"/>
      <c r="K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20"/>
      <c r="I17" s="19"/>
      <c r="J17" s="19"/>
      <c r="K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8"/>
      <c r="I18" s="17"/>
      <c r="J18" s="17"/>
      <c r="K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20"/>
      <c r="I19" s="19"/>
      <c r="J19" s="19"/>
      <c r="K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8"/>
      <c r="I20" s="17"/>
      <c r="J20" s="17"/>
      <c r="K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20"/>
      <c r="I21" s="19"/>
      <c r="J21" s="19"/>
      <c r="K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8"/>
      <c r="I22" s="17"/>
      <c r="J22" s="17"/>
      <c r="K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20"/>
      <c r="I23" s="19"/>
      <c r="J23" s="19"/>
      <c r="K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8"/>
      <c r="I24" s="17"/>
      <c r="J24" s="17"/>
      <c r="K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20"/>
      <c r="I25" s="19"/>
      <c r="J25" s="19"/>
      <c r="K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8"/>
      <c r="I26" s="17"/>
      <c r="J26" s="17"/>
      <c r="K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20"/>
      <c r="I27" s="19"/>
      <c r="J27" s="19"/>
      <c r="K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8"/>
      <c r="I28" s="17"/>
      <c r="J28" s="17"/>
      <c r="K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20"/>
      <c r="I29" s="19"/>
      <c r="J29" s="19"/>
      <c r="K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8"/>
      <c r="I30" s="17"/>
      <c r="J30" s="17"/>
      <c r="K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20"/>
      <c r="I31" s="19"/>
      <c r="J31" s="19"/>
      <c r="K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8"/>
      <c r="I32" s="17"/>
      <c r="J32" s="17"/>
      <c r="K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20"/>
      <c r="I33" s="19"/>
      <c r="J33" s="19"/>
      <c r="K33" s="19"/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17"/>
      <c r="G34" s="17"/>
      <c r="H34" s="18"/>
      <c r="I34" s="17"/>
      <c r="J34" s="17"/>
      <c r="K34" s="17"/>
    </row>
    <row r="35" customFormat="false" ht="15" hidden="false" customHeight="false" outlineLevel="0" collapsed="false">
      <c r="A35" s="4" t="n">
        <v>32</v>
      </c>
      <c r="B35" s="19"/>
      <c r="C35" s="19"/>
      <c r="D35" s="19"/>
      <c r="E35" s="19"/>
      <c r="F35" s="19"/>
      <c r="G35" s="19"/>
      <c r="H35" s="20"/>
      <c r="I35" s="19"/>
      <c r="J35" s="19"/>
      <c r="K35" s="19"/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17"/>
      <c r="G36" s="17"/>
      <c r="H36" s="18"/>
      <c r="I36" s="17"/>
      <c r="J36" s="17"/>
      <c r="K36" s="17"/>
    </row>
    <row r="37" customFormat="false" ht="15" hidden="false" customHeight="false" outlineLevel="0" collapsed="false">
      <c r="A37" s="4" t="n">
        <v>34</v>
      </c>
      <c r="B37" s="19"/>
      <c r="C37" s="19"/>
      <c r="D37" s="19"/>
      <c r="E37" s="19"/>
      <c r="F37" s="19"/>
      <c r="G37" s="19"/>
      <c r="H37" s="20"/>
      <c r="I37" s="19"/>
      <c r="J37" s="19"/>
      <c r="K37" s="19"/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17"/>
      <c r="G38" s="17"/>
      <c r="H38" s="18"/>
      <c r="I38" s="17"/>
      <c r="J38" s="17"/>
      <c r="K38" s="17"/>
    </row>
    <row r="39" customFormat="false" ht="15" hidden="false" customHeight="false" outlineLevel="0" collapsed="false">
      <c r="A39" s="4" t="n">
        <v>36</v>
      </c>
      <c r="B39" s="19"/>
      <c r="C39" s="19"/>
      <c r="D39" s="19"/>
      <c r="E39" s="19"/>
      <c r="F39" s="19"/>
      <c r="G39" s="19"/>
      <c r="H39" s="20"/>
      <c r="I39" s="19"/>
      <c r="J39" s="19"/>
      <c r="K39" s="19"/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17"/>
      <c r="G40" s="17"/>
      <c r="H40" s="18"/>
      <c r="I40" s="17"/>
      <c r="J40" s="17"/>
      <c r="K40" s="17"/>
    </row>
    <row r="41" customFormat="false" ht="15" hidden="false" customHeight="false" outlineLevel="0" collapsed="false">
      <c r="A41" s="4" t="n">
        <v>38</v>
      </c>
      <c r="B41" s="19"/>
      <c r="C41" s="19"/>
      <c r="D41" s="19"/>
      <c r="E41" s="19"/>
      <c r="F41" s="19"/>
      <c r="G41" s="19"/>
      <c r="H41" s="20"/>
      <c r="I41" s="19"/>
      <c r="J41" s="19"/>
      <c r="K41" s="19"/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17"/>
      <c r="G42" s="17"/>
      <c r="H42" s="18"/>
      <c r="I42" s="17"/>
      <c r="J42" s="17"/>
      <c r="K42" s="17"/>
    </row>
    <row r="43" customFormat="false" ht="15" hidden="false" customHeight="false" outlineLevel="0" collapsed="false">
      <c r="A43" s="4" t="n">
        <v>40</v>
      </c>
      <c r="B43" s="19"/>
      <c r="C43" s="19"/>
      <c r="D43" s="19"/>
      <c r="E43" s="19"/>
      <c r="F43" s="19"/>
      <c r="G43" s="19"/>
      <c r="H43" s="20"/>
      <c r="I43" s="19"/>
      <c r="J43" s="19"/>
      <c r="K43" s="19"/>
    </row>
    <row r="44" customFormat="false" ht="15" hidden="false" customHeight="false" outlineLevel="0" collapsed="false">
      <c r="A44" s="8" t="n">
        <v>41</v>
      </c>
      <c r="B44" s="17"/>
      <c r="C44" s="17"/>
      <c r="D44" s="17"/>
      <c r="E44" s="17"/>
      <c r="F44" s="17"/>
      <c r="G44" s="17"/>
      <c r="H44" s="18"/>
      <c r="I44" s="17"/>
      <c r="J44" s="17"/>
      <c r="K44" s="17"/>
    </row>
    <row r="45" customFormat="false" ht="15" hidden="false" customHeight="false" outlineLevel="0" collapsed="false">
      <c r="A45" s="4" t="n">
        <v>42</v>
      </c>
      <c r="B45" s="19"/>
      <c r="C45" s="19"/>
      <c r="D45" s="19"/>
      <c r="E45" s="19"/>
      <c r="F45" s="19"/>
      <c r="G45" s="19"/>
      <c r="H45" s="20"/>
      <c r="I45" s="19"/>
      <c r="J45" s="19"/>
      <c r="K45" s="19"/>
    </row>
    <row r="46" customFormat="false" ht="15" hidden="false" customHeight="false" outlineLevel="0" collapsed="false">
      <c r="A46" s="8" t="n">
        <v>43</v>
      </c>
      <c r="B46" s="17"/>
      <c r="C46" s="17"/>
      <c r="D46" s="17"/>
      <c r="E46" s="17"/>
      <c r="F46" s="17"/>
      <c r="G46" s="17"/>
      <c r="H46" s="18"/>
      <c r="I46" s="17"/>
      <c r="J46" s="17"/>
      <c r="K46" s="17"/>
    </row>
    <row r="47" customFormat="false" ht="15" hidden="false" customHeight="false" outlineLevel="0" collapsed="false">
      <c r="A47" s="4" t="n">
        <v>44</v>
      </c>
      <c r="B47" s="19"/>
      <c r="C47" s="19"/>
      <c r="D47" s="19"/>
      <c r="E47" s="19"/>
      <c r="F47" s="19"/>
      <c r="G47" s="19"/>
      <c r="H47" s="20"/>
      <c r="I47" s="19"/>
      <c r="J47" s="19"/>
      <c r="K47" s="19"/>
    </row>
    <row r="48" customFormat="false" ht="15" hidden="false" customHeight="false" outlineLevel="0" collapsed="false">
      <c r="A48" s="8" t="n">
        <v>45</v>
      </c>
      <c r="B48" s="17"/>
      <c r="C48" s="17"/>
      <c r="D48" s="17"/>
      <c r="E48" s="17"/>
      <c r="F48" s="17"/>
      <c r="G48" s="17"/>
      <c r="H48" s="18"/>
      <c r="I48" s="17"/>
      <c r="J48" s="17"/>
      <c r="K48" s="17"/>
    </row>
    <row r="49" customFormat="false" ht="15" hidden="false" customHeight="false" outlineLevel="0" collapsed="false">
      <c r="A49" s="4" t="n">
        <v>46</v>
      </c>
      <c r="B49" s="19"/>
      <c r="C49" s="19"/>
      <c r="D49" s="19"/>
      <c r="E49" s="19"/>
      <c r="F49" s="19"/>
      <c r="G49" s="19"/>
      <c r="H49" s="20"/>
      <c r="I49" s="19"/>
      <c r="J49" s="19"/>
      <c r="K49" s="19"/>
    </row>
    <row r="50" customFormat="false" ht="15" hidden="false" customHeight="false" outlineLevel="0" collapsed="false">
      <c r="A50" s="8" t="n">
        <v>47</v>
      </c>
      <c r="B50" s="17"/>
      <c r="C50" s="17"/>
      <c r="D50" s="17"/>
      <c r="E50" s="17"/>
      <c r="F50" s="17"/>
      <c r="G50" s="17"/>
      <c r="H50" s="18"/>
      <c r="I50" s="17"/>
      <c r="J50" s="17"/>
      <c r="K50" s="17"/>
    </row>
    <row r="51" customFormat="false" ht="15" hidden="false" customHeight="false" outlineLevel="0" collapsed="false">
      <c r="A51" s="4" t="n">
        <v>48</v>
      </c>
      <c r="B51" s="19"/>
      <c r="C51" s="19"/>
      <c r="D51" s="19"/>
      <c r="E51" s="19"/>
      <c r="F51" s="19"/>
      <c r="G51" s="19"/>
      <c r="H51" s="20"/>
      <c r="I51" s="19"/>
      <c r="J51" s="19"/>
      <c r="K51" s="19"/>
    </row>
    <row r="52" customFormat="false" ht="15" hidden="false" customHeight="false" outlineLevel="0" collapsed="false">
      <c r="A52" s="8" t="n">
        <v>49</v>
      </c>
      <c r="B52" s="17"/>
      <c r="C52" s="17"/>
      <c r="D52" s="17"/>
      <c r="E52" s="17"/>
      <c r="F52" s="17"/>
      <c r="G52" s="17"/>
      <c r="H52" s="18"/>
      <c r="I52" s="17"/>
      <c r="J52" s="17"/>
      <c r="K52" s="17"/>
    </row>
    <row r="53" customFormat="false" ht="15" hidden="false" customHeight="false" outlineLevel="0" collapsed="false">
      <c r="A53" s="4" t="n">
        <v>50</v>
      </c>
      <c r="B53" s="19"/>
      <c r="C53" s="19"/>
      <c r="D53" s="19"/>
      <c r="E53" s="19"/>
      <c r="F53" s="19"/>
      <c r="G53" s="19"/>
      <c r="H53" s="20"/>
      <c r="I53" s="19"/>
      <c r="J53" s="19"/>
      <c r="K53" s="19"/>
    </row>
    <row r="55" customFormat="false" ht="25.5" hidden="false" customHeight="true" outlineLevel="0" collapsed="false">
      <c r="A55" s="21" t="s">
        <v>43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customFormat="false" ht="35.05" hidden="false" customHeight="false" outlineLevel="0" collapsed="false">
      <c r="A56" s="22" t="s">
        <v>32</v>
      </c>
      <c r="B56" s="22" t="s">
        <v>42</v>
      </c>
      <c r="C56" s="22" t="s">
        <v>44</v>
      </c>
      <c r="D56" s="22" t="s">
        <v>45</v>
      </c>
      <c r="E56" s="22" t="s">
        <v>46</v>
      </c>
      <c r="F56" s="22" t="s">
        <v>47</v>
      </c>
      <c r="G56" s="22" t="s">
        <v>48</v>
      </c>
      <c r="H56" s="22" t="s">
        <v>49</v>
      </c>
      <c r="I56" s="22" t="s">
        <v>50</v>
      </c>
      <c r="J56" s="22" t="s">
        <v>51</v>
      </c>
      <c r="K56" s="22" t="s">
        <v>52</v>
      </c>
    </row>
    <row r="57" customFormat="false" ht="15" hidden="false" customHeight="false" outlineLevel="0" collapsed="false">
      <c r="A57" s="4" t="n">
        <v>1</v>
      </c>
      <c r="B57" s="19"/>
      <c r="C57" s="19"/>
      <c r="D57" s="19"/>
      <c r="E57" s="19"/>
      <c r="F57" s="19"/>
      <c r="G57" s="19"/>
      <c r="H57" s="20" t="n">
        <f aca="false">IF(G57&gt;0,G57/G57*100,0)</f>
        <v>0</v>
      </c>
      <c r="I57" s="20"/>
      <c r="J57" s="20"/>
      <c r="K57" s="19"/>
    </row>
    <row r="58" customFormat="false" ht="15" hidden="false" customHeight="false" outlineLevel="0" collapsed="false">
      <c r="A58" s="8" t="n">
        <v>2</v>
      </c>
      <c r="B58" s="17"/>
      <c r="C58" s="17"/>
      <c r="D58" s="17"/>
      <c r="E58" s="17"/>
      <c r="F58" s="17"/>
      <c r="G58" s="17"/>
      <c r="H58" s="18" t="n">
        <f aca="false">IF(G58&gt;0,G58/G58*100,0)</f>
        <v>0</v>
      </c>
      <c r="I58" s="18"/>
      <c r="J58" s="18"/>
      <c r="K58" s="17"/>
    </row>
    <row r="59" customFormat="false" ht="15" hidden="false" customHeight="false" outlineLevel="0" collapsed="false">
      <c r="A59" s="4" t="n">
        <v>3</v>
      </c>
      <c r="B59" s="19"/>
      <c r="C59" s="19"/>
      <c r="D59" s="19"/>
      <c r="E59" s="19"/>
      <c r="F59" s="19"/>
      <c r="G59" s="19"/>
      <c r="H59" s="20" t="n">
        <f aca="false">IF(G59&gt;0,G59/G59*100,0)</f>
        <v>0</v>
      </c>
      <c r="I59" s="20"/>
      <c r="J59" s="20"/>
      <c r="K59" s="19"/>
    </row>
    <row r="60" customFormat="false" ht="15" hidden="false" customHeight="false" outlineLevel="0" collapsed="false">
      <c r="A60" s="8" t="n">
        <v>4</v>
      </c>
      <c r="B60" s="17"/>
      <c r="C60" s="17"/>
      <c r="D60" s="17"/>
      <c r="E60" s="17"/>
      <c r="F60" s="17"/>
      <c r="G60" s="17"/>
      <c r="H60" s="18" t="n">
        <f aca="false">IF(G60&gt;0,G60/G60*100,0)</f>
        <v>0</v>
      </c>
      <c r="I60" s="18"/>
      <c r="J60" s="18"/>
      <c r="K60" s="17"/>
    </row>
    <row r="61" customFormat="false" ht="15" hidden="false" customHeight="false" outlineLevel="0" collapsed="false">
      <c r="A61" s="4" t="n">
        <v>5</v>
      </c>
      <c r="B61" s="19"/>
      <c r="C61" s="19"/>
      <c r="D61" s="19"/>
      <c r="E61" s="19"/>
      <c r="F61" s="19"/>
      <c r="G61" s="19"/>
      <c r="H61" s="20" t="n">
        <f aca="false">IF(G61&gt;0,G61/G61*100,0)</f>
        <v>0</v>
      </c>
      <c r="I61" s="20"/>
      <c r="J61" s="20"/>
      <c r="K61" s="19"/>
    </row>
    <row r="62" customFormat="false" ht="15" hidden="false" customHeight="false" outlineLevel="0" collapsed="false">
      <c r="A62" s="8" t="n">
        <v>6</v>
      </c>
      <c r="B62" s="17"/>
      <c r="C62" s="17"/>
      <c r="D62" s="17"/>
      <c r="E62" s="17"/>
      <c r="F62" s="17"/>
      <c r="G62" s="17"/>
      <c r="H62" s="18" t="n">
        <f aca="false">IF(G62&gt;0,G62/G62*100,0)</f>
        <v>0</v>
      </c>
      <c r="I62" s="18"/>
      <c r="J62" s="18"/>
      <c r="K62" s="17"/>
    </row>
    <row r="63" customFormat="false" ht="15" hidden="false" customHeight="false" outlineLevel="0" collapsed="false">
      <c r="A63" s="4" t="n">
        <v>7</v>
      </c>
      <c r="B63" s="19"/>
      <c r="C63" s="19"/>
      <c r="D63" s="19"/>
      <c r="E63" s="19"/>
      <c r="F63" s="19"/>
      <c r="G63" s="19"/>
      <c r="H63" s="20" t="n">
        <f aca="false">IF(G63&gt;0,G63/G63*100,0)</f>
        <v>0</v>
      </c>
      <c r="I63" s="20"/>
      <c r="J63" s="20"/>
      <c r="K63" s="19"/>
    </row>
    <row r="64" customFormat="false" ht="15" hidden="false" customHeight="false" outlineLevel="0" collapsed="false">
      <c r="A64" s="8" t="n">
        <v>8</v>
      </c>
      <c r="B64" s="17"/>
      <c r="C64" s="17"/>
      <c r="D64" s="17"/>
      <c r="E64" s="17"/>
      <c r="F64" s="17"/>
      <c r="G64" s="17"/>
      <c r="H64" s="18" t="n">
        <f aca="false">IF(G64&gt;0,G64/G64*100,0)</f>
        <v>0</v>
      </c>
      <c r="I64" s="18"/>
      <c r="J64" s="18"/>
      <c r="K64" s="17"/>
    </row>
    <row r="65" customFormat="false" ht="15" hidden="false" customHeight="false" outlineLevel="0" collapsed="false">
      <c r="A65" s="4" t="n">
        <v>9</v>
      </c>
      <c r="B65" s="19"/>
      <c r="C65" s="19"/>
      <c r="D65" s="19"/>
      <c r="E65" s="19"/>
      <c r="F65" s="19"/>
      <c r="G65" s="19"/>
      <c r="H65" s="20" t="n">
        <f aca="false">IF(G65&gt;0,G65/G65*100,0)</f>
        <v>0</v>
      </c>
      <c r="I65" s="20"/>
      <c r="J65" s="20"/>
      <c r="K65" s="19"/>
    </row>
    <row r="66" customFormat="false" ht="15" hidden="false" customHeight="false" outlineLevel="0" collapsed="false">
      <c r="A66" s="8" t="n">
        <v>10</v>
      </c>
      <c r="B66" s="17"/>
      <c r="C66" s="17"/>
      <c r="D66" s="17"/>
      <c r="E66" s="17"/>
      <c r="F66" s="17"/>
      <c r="G66" s="17"/>
      <c r="H66" s="18" t="n">
        <f aca="false">IF(G66&gt;0,G66/G66*100,0)</f>
        <v>0</v>
      </c>
      <c r="I66" s="18"/>
      <c r="J66" s="18"/>
      <c r="K66" s="17"/>
    </row>
    <row r="67" customFormat="false" ht="15" hidden="false" customHeight="false" outlineLevel="0" collapsed="false">
      <c r="A67" s="4" t="n">
        <v>11</v>
      </c>
      <c r="B67" s="19"/>
      <c r="C67" s="19"/>
      <c r="D67" s="19"/>
      <c r="E67" s="19"/>
      <c r="F67" s="19"/>
      <c r="G67" s="19"/>
      <c r="H67" s="20" t="n">
        <f aca="false">IF(G67&gt;0,G67/G67*100,0)</f>
        <v>0</v>
      </c>
      <c r="I67" s="20"/>
      <c r="J67" s="20"/>
      <c r="K67" s="19"/>
    </row>
    <row r="68" customFormat="false" ht="15" hidden="false" customHeight="false" outlineLevel="0" collapsed="false">
      <c r="A68" s="8" t="n">
        <v>12</v>
      </c>
      <c r="B68" s="17"/>
      <c r="C68" s="17"/>
      <c r="D68" s="17"/>
      <c r="E68" s="17"/>
      <c r="F68" s="17"/>
      <c r="G68" s="17"/>
      <c r="H68" s="18" t="n">
        <f aca="false">IF(G68&gt;0,G68/G68*100,0)</f>
        <v>0</v>
      </c>
      <c r="I68" s="18"/>
      <c r="J68" s="18"/>
      <c r="K68" s="17"/>
    </row>
    <row r="69" customFormat="false" ht="15" hidden="false" customHeight="false" outlineLevel="0" collapsed="false">
      <c r="A69" s="4" t="n">
        <v>13</v>
      </c>
      <c r="B69" s="19"/>
      <c r="C69" s="19"/>
      <c r="D69" s="19"/>
      <c r="E69" s="19"/>
      <c r="F69" s="19"/>
      <c r="G69" s="19"/>
      <c r="H69" s="20" t="n">
        <f aca="false">IF(G69&gt;0,G69/G69*100,0)</f>
        <v>0</v>
      </c>
      <c r="I69" s="20"/>
      <c r="J69" s="20"/>
      <c r="K69" s="19"/>
    </row>
    <row r="70" customFormat="false" ht="15" hidden="false" customHeight="false" outlineLevel="0" collapsed="false">
      <c r="A70" s="8" t="n">
        <v>14</v>
      </c>
      <c r="B70" s="17"/>
      <c r="C70" s="17"/>
      <c r="D70" s="17"/>
      <c r="E70" s="17"/>
      <c r="F70" s="17"/>
      <c r="G70" s="17"/>
      <c r="H70" s="18" t="n">
        <f aca="false">IF(G70&gt;0,G70/G70*100,0)</f>
        <v>0</v>
      </c>
      <c r="I70" s="18"/>
      <c r="J70" s="18"/>
      <c r="K70" s="17"/>
    </row>
    <row r="71" customFormat="false" ht="15" hidden="false" customHeight="false" outlineLevel="0" collapsed="false">
      <c r="A71" s="4" t="n">
        <v>15</v>
      </c>
      <c r="B71" s="19"/>
      <c r="C71" s="19"/>
      <c r="D71" s="19"/>
      <c r="E71" s="19"/>
      <c r="F71" s="19"/>
      <c r="G71" s="19"/>
      <c r="H71" s="20" t="n">
        <f aca="false">IF(G71&gt;0,G71/G71*100,0)</f>
        <v>0</v>
      </c>
      <c r="I71" s="20"/>
      <c r="J71" s="20"/>
      <c r="K71" s="19"/>
    </row>
    <row r="72" customFormat="false" ht="15" hidden="false" customHeight="false" outlineLevel="0" collapsed="false">
      <c r="A72" s="8" t="n">
        <v>16</v>
      </c>
      <c r="B72" s="17"/>
      <c r="C72" s="17"/>
      <c r="D72" s="17"/>
      <c r="E72" s="17"/>
      <c r="F72" s="17"/>
      <c r="G72" s="17"/>
      <c r="H72" s="18" t="n">
        <f aca="false">IF(G72&gt;0,G72/G72*100,0)</f>
        <v>0</v>
      </c>
      <c r="I72" s="18"/>
      <c r="J72" s="18"/>
      <c r="K72" s="17"/>
    </row>
    <row r="73" customFormat="false" ht="15" hidden="false" customHeight="false" outlineLevel="0" collapsed="false">
      <c r="A73" s="4" t="n">
        <v>17</v>
      </c>
      <c r="B73" s="19"/>
      <c r="C73" s="19"/>
      <c r="D73" s="19"/>
      <c r="E73" s="19"/>
      <c r="F73" s="19"/>
      <c r="G73" s="19"/>
      <c r="H73" s="20" t="n">
        <f aca="false">IF(G73&gt;0,G73/G73*100,0)</f>
        <v>0</v>
      </c>
      <c r="I73" s="20"/>
      <c r="J73" s="20"/>
      <c r="K73" s="19"/>
    </row>
    <row r="74" customFormat="false" ht="15" hidden="false" customHeight="false" outlineLevel="0" collapsed="false">
      <c r="A74" s="8" t="n">
        <v>18</v>
      </c>
      <c r="B74" s="17"/>
      <c r="C74" s="17"/>
      <c r="D74" s="17"/>
      <c r="E74" s="17"/>
      <c r="F74" s="17"/>
      <c r="G74" s="17"/>
      <c r="H74" s="18" t="n">
        <f aca="false">IF(G74&gt;0,G74/G74*100,0)</f>
        <v>0</v>
      </c>
      <c r="I74" s="18"/>
      <c r="J74" s="18"/>
      <c r="K74" s="17"/>
    </row>
    <row r="75" customFormat="false" ht="15" hidden="false" customHeight="false" outlineLevel="0" collapsed="false">
      <c r="A75" s="4" t="n">
        <v>19</v>
      </c>
      <c r="B75" s="19"/>
      <c r="C75" s="19"/>
      <c r="D75" s="19"/>
      <c r="E75" s="19"/>
      <c r="F75" s="19"/>
      <c r="G75" s="19"/>
      <c r="H75" s="20" t="n">
        <f aca="false">IF(G75&gt;0,G75/G75*100,0)</f>
        <v>0</v>
      </c>
      <c r="I75" s="20"/>
      <c r="J75" s="20"/>
      <c r="K75" s="19"/>
    </row>
    <row r="76" customFormat="false" ht="15" hidden="false" customHeight="false" outlineLevel="0" collapsed="false">
      <c r="A76" s="8" t="n">
        <v>20</v>
      </c>
      <c r="B76" s="17"/>
      <c r="C76" s="17"/>
      <c r="D76" s="17"/>
      <c r="E76" s="17"/>
      <c r="F76" s="17"/>
      <c r="G76" s="17"/>
      <c r="H76" s="18" t="n">
        <f aca="false">IF(G76&gt;0,G76/G76*100,0)</f>
        <v>0</v>
      </c>
      <c r="I76" s="18"/>
      <c r="J76" s="18"/>
      <c r="K76" s="17"/>
    </row>
    <row r="79" customFormat="false" ht="25.5" hidden="false" customHeight="true" outlineLevel="0" collapsed="false">
      <c r="A79" s="23" t="s">
        <v>53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</row>
    <row r="80" customFormat="false" ht="15" hidden="false" customHeight="false" outlineLevel="0" collapsed="false">
      <c r="A80" s="24" t="n">
        <v>1</v>
      </c>
      <c r="B80" s="25" t="s">
        <v>54</v>
      </c>
      <c r="C80" s="26" t="s">
        <v>55</v>
      </c>
      <c r="D80" s="27"/>
      <c r="E80" s="24" t="s">
        <v>56</v>
      </c>
      <c r="F80" s="27"/>
      <c r="G80" s="27"/>
      <c r="H80" s="27"/>
      <c r="I80" s="27"/>
      <c r="J80" s="27"/>
      <c r="K80" s="27"/>
    </row>
    <row r="81" customFormat="false" ht="15" hidden="false" customHeight="false" outlineLevel="0" collapsed="false">
      <c r="A81" s="4" t="n">
        <v>2</v>
      </c>
      <c r="B81" s="5" t="s">
        <v>57</v>
      </c>
      <c r="C81" s="6" t="s">
        <v>58</v>
      </c>
      <c r="D81" s="28"/>
      <c r="E81" s="4" t="s">
        <v>59</v>
      </c>
      <c r="F81" s="28"/>
      <c r="G81" s="28"/>
      <c r="H81" s="28"/>
      <c r="I81" s="28"/>
      <c r="J81" s="28"/>
      <c r="K81" s="28"/>
    </row>
    <row r="82" customFormat="false" ht="23.85" hidden="false" customHeight="false" outlineLevel="0" collapsed="false">
      <c r="A82" s="24" t="n">
        <v>3</v>
      </c>
      <c r="B82" s="25" t="s">
        <v>60</v>
      </c>
      <c r="C82" s="26" t="s">
        <v>61</v>
      </c>
      <c r="D82" s="27"/>
      <c r="E82" s="24" t="s">
        <v>62</v>
      </c>
      <c r="F82" s="27"/>
      <c r="G82" s="27"/>
      <c r="H82" s="27"/>
      <c r="I82" s="27"/>
      <c r="J82" s="27"/>
      <c r="K82" s="27"/>
    </row>
    <row r="83" customFormat="false" ht="23.85" hidden="false" customHeight="false" outlineLevel="0" collapsed="false">
      <c r="A83" s="4" t="n">
        <v>4</v>
      </c>
      <c r="B83" s="5" t="s">
        <v>63</v>
      </c>
      <c r="C83" s="6" t="s">
        <v>64</v>
      </c>
      <c r="D83" s="28"/>
      <c r="E83" s="4" t="s">
        <v>62</v>
      </c>
      <c r="F83" s="28"/>
      <c r="G83" s="28"/>
      <c r="H83" s="28"/>
      <c r="I83" s="28"/>
      <c r="J83" s="28"/>
      <c r="K83" s="28"/>
    </row>
    <row r="84" customFormat="false" ht="23.85" hidden="false" customHeight="false" outlineLevel="0" collapsed="false">
      <c r="A84" s="24" t="n">
        <v>5</v>
      </c>
      <c r="B84" s="25" t="s">
        <v>65</v>
      </c>
      <c r="C84" s="26" t="s">
        <v>66</v>
      </c>
      <c r="D84" s="27"/>
      <c r="E84" s="24" t="s">
        <v>67</v>
      </c>
      <c r="F84" s="27"/>
      <c r="G84" s="27"/>
      <c r="H84" s="27"/>
      <c r="I84" s="27"/>
      <c r="J84" s="27"/>
      <c r="K84" s="27"/>
    </row>
    <row r="85" customFormat="false" ht="35.05" hidden="false" customHeight="false" outlineLevel="0" collapsed="false">
      <c r="A85" s="4" t="n">
        <v>6</v>
      </c>
      <c r="B85" s="5" t="s">
        <v>68</v>
      </c>
      <c r="C85" s="6" t="s">
        <v>69</v>
      </c>
      <c r="D85" s="28"/>
      <c r="E85" s="4" t="s">
        <v>70</v>
      </c>
      <c r="F85" s="28"/>
      <c r="G85" s="28"/>
      <c r="H85" s="28"/>
      <c r="I85" s="28"/>
      <c r="J85" s="28"/>
      <c r="K85" s="28"/>
    </row>
    <row r="86" customFormat="false" ht="23.85" hidden="false" customHeight="false" outlineLevel="0" collapsed="false">
      <c r="A86" s="24" t="n">
        <v>7</v>
      </c>
      <c r="B86" s="25" t="s">
        <v>71</v>
      </c>
      <c r="C86" s="26" t="s">
        <v>72</v>
      </c>
      <c r="D86" s="27"/>
      <c r="E86" s="24" t="s">
        <v>62</v>
      </c>
      <c r="F86" s="27"/>
      <c r="G86" s="27"/>
      <c r="H86" s="27"/>
      <c r="I86" s="27"/>
      <c r="J86" s="27"/>
      <c r="K86" s="27"/>
    </row>
    <row r="87" customFormat="false" ht="23.85" hidden="false" customHeight="false" outlineLevel="0" collapsed="false">
      <c r="A87" s="4" t="n">
        <v>8</v>
      </c>
      <c r="B87" s="5" t="s">
        <v>73</v>
      </c>
      <c r="C87" s="6" t="s">
        <v>74</v>
      </c>
      <c r="D87" s="28"/>
      <c r="E87" s="4" t="s">
        <v>67</v>
      </c>
      <c r="F87" s="28"/>
      <c r="G87" s="28"/>
      <c r="H87" s="28"/>
      <c r="I87" s="28"/>
      <c r="J87" s="28"/>
      <c r="K87" s="28"/>
    </row>
    <row r="88" customFormat="false" ht="23.85" hidden="false" customHeight="false" outlineLevel="0" collapsed="false">
      <c r="A88" s="24" t="n">
        <v>9</v>
      </c>
      <c r="B88" s="25" t="s">
        <v>75</v>
      </c>
      <c r="C88" s="26" t="s">
        <v>76</v>
      </c>
      <c r="D88" s="27"/>
      <c r="E88" s="24" t="s">
        <v>56</v>
      </c>
      <c r="F88" s="27"/>
      <c r="G88" s="27"/>
      <c r="H88" s="27"/>
      <c r="I88" s="27"/>
      <c r="J88" s="27"/>
      <c r="K88" s="27"/>
    </row>
    <row r="89" customFormat="false" ht="23.85" hidden="false" customHeight="false" outlineLevel="0" collapsed="false">
      <c r="A89" s="4" t="n">
        <v>10</v>
      </c>
      <c r="B89" s="5" t="s">
        <v>77</v>
      </c>
      <c r="C89" s="6" t="s">
        <v>78</v>
      </c>
      <c r="D89" s="28"/>
      <c r="E89" s="4" t="s">
        <v>62</v>
      </c>
      <c r="F89" s="28"/>
      <c r="G89" s="28"/>
      <c r="H89" s="28"/>
      <c r="I89" s="28"/>
      <c r="J89" s="28"/>
      <c r="K89" s="28"/>
    </row>
    <row r="90" customFormat="false" ht="23.85" hidden="false" customHeight="false" outlineLevel="0" collapsed="false">
      <c r="A90" s="24" t="n">
        <v>11</v>
      </c>
      <c r="B90" s="25" t="s">
        <v>79</v>
      </c>
      <c r="C90" s="26" t="s">
        <v>80</v>
      </c>
      <c r="D90" s="27"/>
      <c r="E90" s="24" t="s">
        <v>56</v>
      </c>
      <c r="F90" s="27"/>
      <c r="G90" s="27"/>
      <c r="H90" s="27"/>
      <c r="I90" s="27"/>
      <c r="J90" s="27"/>
      <c r="K90" s="27"/>
    </row>
    <row r="91" customFormat="false" ht="23.85" hidden="false" customHeight="false" outlineLevel="0" collapsed="false">
      <c r="A91" s="4" t="n">
        <v>12</v>
      </c>
      <c r="B91" s="5" t="s">
        <v>81</v>
      </c>
      <c r="C91" s="6" t="s">
        <v>80</v>
      </c>
      <c r="D91" s="28"/>
      <c r="E91" s="4" t="s">
        <v>82</v>
      </c>
      <c r="F91" s="28"/>
      <c r="G91" s="28"/>
      <c r="H91" s="28"/>
      <c r="I91" s="28"/>
      <c r="J91" s="28"/>
      <c r="K91" s="28"/>
    </row>
  </sheetData>
  <mergeCells count="4">
    <mergeCell ref="A1:K1"/>
    <mergeCell ref="A2:K2"/>
    <mergeCell ref="A55:K55"/>
    <mergeCell ref="A79:K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10" min="9" style="0" width="16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29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customFormat="false" ht="25.5" hidden="false" customHeight="true" outlineLevel="0" collapsed="false">
      <c r="A2" s="30" t="s">
        <v>84</v>
      </c>
      <c r="B2" s="30"/>
      <c r="C2" s="30"/>
      <c r="D2" s="30"/>
      <c r="E2" s="30"/>
      <c r="F2" s="30"/>
      <c r="G2" s="30"/>
      <c r="H2" s="30"/>
      <c r="I2" s="30"/>
      <c r="J2" s="30"/>
      <c r="K2" s="30"/>
    </row>
    <row r="3" customFormat="false" ht="35.05" hidden="false" customHeight="false" outlineLevel="0" collapsed="false">
      <c r="A3" s="31" t="s">
        <v>32</v>
      </c>
      <c r="B3" s="31" t="s">
        <v>42</v>
      </c>
      <c r="C3" s="31" t="s">
        <v>85</v>
      </c>
      <c r="D3" s="31" t="s">
        <v>86</v>
      </c>
      <c r="E3" s="31" t="s">
        <v>87</v>
      </c>
      <c r="F3" s="31" t="s">
        <v>88</v>
      </c>
      <c r="G3" s="31" t="s">
        <v>89</v>
      </c>
      <c r="H3" s="31" t="s">
        <v>90</v>
      </c>
      <c r="I3" s="31" t="s">
        <v>91</v>
      </c>
      <c r="J3" s="31" t="s">
        <v>92</v>
      </c>
      <c r="K3" s="31" t="s">
        <v>52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32" t="n">
        <f aca="false">IF(D4&gt;0,E4/D4*100,0)</f>
        <v>0</v>
      </c>
      <c r="G4" s="17"/>
      <c r="H4" s="17"/>
      <c r="I4" s="17"/>
      <c r="J4" s="32" t="n">
        <f aca="false">IF(I4&gt;0,I4/I4*100,0)</f>
        <v>0</v>
      </c>
      <c r="K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33" t="n">
        <f aca="false">IF(D5&gt;0,E5/D5*100,0)</f>
        <v>0</v>
      </c>
      <c r="G5" s="19"/>
      <c r="H5" s="19"/>
      <c r="I5" s="19"/>
      <c r="J5" s="33" t="n">
        <f aca="false">IF(I5&gt;0,I5/I5*100,0)</f>
        <v>0</v>
      </c>
      <c r="K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32" t="n">
        <f aca="false">IF(D6&gt;0,E6/D6*100,0)</f>
        <v>0</v>
      </c>
      <c r="G6" s="17"/>
      <c r="H6" s="17"/>
      <c r="I6" s="17"/>
      <c r="J6" s="32" t="n">
        <f aca="false">IF(I6&gt;0,I6/I6*100,0)</f>
        <v>0</v>
      </c>
      <c r="K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33" t="n">
        <f aca="false">IF(D7&gt;0,E7/D7*100,0)</f>
        <v>0</v>
      </c>
      <c r="G7" s="19"/>
      <c r="H7" s="19"/>
      <c r="I7" s="19"/>
      <c r="J7" s="33" t="n">
        <f aca="false">IF(I7&gt;0,I7/I7*100,0)</f>
        <v>0</v>
      </c>
      <c r="K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32" t="n">
        <f aca="false">IF(D8&gt;0,E8/D8*100,0)</f>
        <v>0</v>
      </c>
      <c r="G8" s="17"/>
      <c r="H8" s="17"/>
      <c r="I8" s="17"/>
      <c r="J8" s="32" t="n">
        <f aca="false">IF(I8&gt;0,I8/I8*100,0)</f>
        <v>0</v>
      </c>
      <c r="K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33" t="n">
        <f aca="false">IF(D9&gt;0,E9/D9*100,0)</f>
        <v>0</v>
      </c>
      <c r="G9" s="19"/>
      <c r="H9" s="19"/>
      <c r="I9" s="19"/>
      <c r="J9" s="33" t="n">
        <f aca="false">IF(I9&gt;0,I9/I9*100,0)</f>
        <v>0</v>
      </c>
      <c r="K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32" t="n">
        <f aca="false">IF(D10&gt;0,E10/D10*100,0)</f>
        <v>0</v>
      </c>
      <c r="G10" s="17"/>
      <c r="H10" s="17"/>
      <c r="I10" s="17"/>
      <c r="J10" s="32" t="n">
        <f aca="false">IF(I10&gt;0,I10/I10*100,0)</f>
        <v>0</v>
      </c>
      <c r="K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33" t="n">
        <f aca="false">IF(D11&gt;0,E11/D11*100,0)</f>
        <v>0</v>
      </c>
      <c r="G11" s="19"/>
      <c r="H11" s="19"/>
      <c r="I11" s="19"/>
      <c r="J11" s="33" t="n">
        <f aca="false">IF(I11&gt;0,I11/I11*100,0)</f>
        <v>0</v>
      </c>
      <c r="K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32" t="n">
        <f aca="false">IF(D12&gt;0,E12/D12*100,0)</f>
        <v>0</v>
      </c>
      <c r="G12" s="17"/>
      <c r="H12" s="17"/>
      <c r="I12" s="17"/>
      <c r="J12" s="32" t="n">
        <f aca="false">IF(I12&gt;0,I12/I12*100,0)</f>
        <v>0</v>
      </c>
      <c r="K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33" t="n">
        <f aca="false">IF(D13&gt;0,E13/D13*100,0)</f>
        <v>0</v>
      </c>
      <c r="G13" s="19"/>
      <c r="H13" s="19"/>
      <c r="I13" s="19"/>
      <c r="J13" s="33" t="n">
        <f aca="false">IF(I13&gt;0,I13/I13*100,0)</f>
        <v>0</v>
      </c>
      <c r="K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32" t="n">
        <f aca="false">IF(D14&gt;0,E14/D14*100,0)</f>
        <v>0</v>
      </c>
      <c r="G14" s="17"/>
      <c r="H14" s="17"/>
      <c r="I14" s="17"/>
      <c r="J14" s="32" t="n">
        <f aca="false">IF(I14&gt;0,I14/I14*100,0)</f>
        <v>0</v>
      </c>
      <c r="K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33" t="n">
        <f aca="false">IF(D15&gt;0,E15/D15*100,0)</f>
        <v>0</v>
      </c>
      <c r="G15" s="19"/>
      <c r="H15" s="19"/>
      <c r="I15" s="19"/>
      <c r="J15" s="33" t="n">
        <f aca="false">IF(I15&gt;0,I15/I15*100,0)</f>
        <v>0</v>
      </c>
      <c r="K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32" t="n">
        <f aca="false">IF(D16&gt;0,E16/D16*100,0)</f>
        <v>0</v>
      </c>
      <c r="G16" s="17"/>
      <c r="H16" s="17"/>
      <c r="I16" s="17"/>
      <c r="J16" s="32" t="n">
        <f aca="false">IF(I16&gt;0,I16/I16*100,0)</f>
        <v>0</v>
      </c>
      <c r="K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33" t="n">
        <f aca="false">IF(D17&gt;0,E17/D17*100,0)</f>
        <v>0</v>
      </c>
      <c r="G17" s="19"/>
      <c r="H17" s="19"/>
      <c r="I17" s="19"/>
      <c r="J17" s="33" t="n">
        <f aca="false">IF(I17&gt;0,I17/I17*100,0)</f>
        <v>0</v>
      </c>
      <c r="K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32" t="n">
        <f aca="false">IF(D18&gt;0,E18/D18*100,0)</f>
        <v>0</v>
      </c>
      <c r="G18" s="17"/>
      <c r="H18" s="17"/>
      <c r="I18" s="17"/>
      <c r="J18" s="32" t="n">
        <f aca="false">IF(I18&gt;0,I18/I18*100,0)</f>
        <v>0</v>
      </c>
      <c r="K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33" t="n">
        <f aca="false">IF(D19&gt;0,E19/D19*100,0)</f>
        <v>0</v>
      </c>
      <c r="G19" s="19"/>
      <c r="H19" s="19"/>
      <c r="I19" s="19"/>
      <c r="J19" s="33" t="n">
        <f aca="false">IF(I19&gt;0,I19/I19*100,0)</f>
        <v>0</v>
      </c>
      <c r="K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32" t="n">
        <f aca="false">IF(D20&gt;0,E20/D20*100,0)</f>
        <v>0</v>
      </c>
      <c r="G20" s="17"/>
      <c r="H20" s="17"/>
      <c r="I20" s="17"/>
      <c r="J20" s="32" t="n">
        <f aca="false">IF(I20&gt;0,I20/I20*100,0)</f>
        <v>0</v>
      </c>
      <c r="K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33" t="n">
        <f aca="false">IF(D21&gt;0,E21/D21*100,0)</f>
        <v>0</v>
      </c>
      <c r="G21" s="19"/>
      <c r="H21" s="19"/>
      <c r="I21" s="19"/>
      <c r="J21" s="33" t="n">
        <f aca="false">IF(I21&gt;0,I21/I21*100,0)</f>
        <v>0</v>
      </c>
      <c r="K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32" t="n">
        <f aca="false">IF(D22&gt;0,E22/D22*100,0)</f>
        <v>0</v>
      </c>
      <c r="G22" s="17"/>
      <c r="H22" s="17"/>
      <c r="I22" s="17"/>
      <c r="J22" s="32" t="n">
        <f aca="false">IF(I22&gt;0,I22/I22*100,0)</f>
        <v>0</v>
      </c>
      <c r="K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33" t="n">
        <f aca="false">IF(D23&gt;0,E23/D23*100,0)</f>
        <v>0</v>
      </c>
      <c r="G23" s="19"/>
      <c r="H23" s="19"/>
      <c r="I23" s="19"/>
      <c r="J23" s="33" t="n">
        <f aca="false">IF(I23&gt;0,I23/I23*100,0)</f>
        <v>0</v>
      </c>
      <c r="K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32" t="n">
        <f aca="false">IF(D24&gt;0,E24/D24*100,0)</f>
        <v>0</v>
      </c>
      <c r="G24" s="17"/>
      <c r="H24" s="17"/>
      <c r="I24" s="17"/>
      <c r="J24" s="32" t="n">
        <f aca="false">IF(I24&gt;0,I24/I24*100,0)</f>
        <v>0</v>
      </c>
      <c r="K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33" t="n">
        <f aca="false">IF(D25&gt;0,E25/D25*100,0)</f>
        <v>0</v>
      </c>
      <c r="G25" s="19"/>
      <c r="H25" s="19"/>
      <c r="I25" s="19"/>
      <c r="J25" s="33" t="n">
        <f aca="false">IF(I25&gt;0,I25/I25*100,0)</f>
        <v>0</v>
      </c>
      <c r="K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32" t="n">
        <f aca="false">IF(D26&gt;0,E26/D26*100,0)</f>
        <v>0</v>
      </c>
      <c r="G26" s="17"/>
      <c r="H26" s="17"/>
      <c r="I26" s="17"/>
      <c r="J26" s="32" t="n">
        <f aca="false">IF(I26&gt;0,I26/I26*100,0)</f>
        <v>0</v>
      </c>
      <c r="K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33" t="n">
        <f aca="false">IF(D27&gt;0,E27/D27*100,0)</f>
        <v>0</v>
      </c>
      <c r="G27" s="19"/>
      <c r="H27" s="19"/>
      <c r="I27" s="19"/>
      <c r="J27" s="33" t="n">
        <f aca="false">IF(I27&gt;0,I27/I27*100,0)</f>
        <v>0</v>
      </c>
      <c r="K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32" t="n">
        <f aca="false">IF(D28&gt;0,E28/D28*100,0)</f>
        <v>0</v>
      </c>
      <c r="G28" s="17"/>
      <c r="H28" s="17"/>
      <c r="I28" s="17"/>
      <c r="J28" s="32" t="n">
        <f aca="false">IF(I28&gt;0,I28/I28*100,0)</f>
        <v>0</v>
      </c>
      <c r="K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33" t="n">
        <f aca="false">IF(D29&gt;0,E29/D29*100,0)</f>
        <v>0</v>
      </c>
      <c r="G29" s="19"/>
      <c r="H29" s="19"/>
      <c r="I29" s="19"/>
      <c r="J29" s="33" t="n">
        <f aca="false">IF(I29&gt;0,I29/I29*100,0)</f>
        <v>0</v>
      </c>
      <c r="K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32" t="n">
        <f aca="false">IF(D30&gt;0,E30/D30*100,0)</f>
        <v>0</v>
      </c>
      <c r="G30" s="17"/>
      <c r="H30" s="17"/>
      <c r="I30" s="17"/>
      <c r="J30" s="32" t="n">
        <f aca="false">IF(I30&gt;0,I30/I30*100,0)</f>
        <v>0</v>
      </c>
      <c r="K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33" t="n">
        <f aca="false">IF(D31&gt;0,E31/D31*100,0)</f>
        <v>0</v>
      </c>
      <c r="G31" s="19"/>
      <c r="H31" s="19"/>
      <c r="I31" s="19"/>
      <c r="J31" s="33" t="n">
        <f aca="false">IF(I31&gt;0,I31/I31*100,0)</f>
        <v>0</v>
      </c>
      <c r="K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32" t="n">
        <f aca="false">IF(D32&gt;0,E32/D32*100,0)</f>
        <v>0</v>
      </c>
      <c r="G32" s="17"/>
      <c r="H32" s="17"/>
      <c r="I32" s="17"/>
      <c r="J32" s="32" t="n">
        <f aca="false">IF(I32&gt;0,I32/I32*100,0)</f>
        <v>0</v>
      </c>
      <c r="K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33" t="n">
        <f aca="false">IF(D33&gt;0,E33/D33*100,0)</f>
        <v>0</v>
      </c>
      <c r="G33" s="19"/>
      <c r="H33" s="19"/>
      <c r="I33" s="19"/>
      <c r="J33" s="33" t="n">
        <f aca="false">IF(I33&gt;0,I33/I33*100,0)</f>
        <v>0</v>
      </c>
      <c r="K33" s="19"/>
    </row>
    <row r="35" customFormat="false" ht="25.5" hidden="false" customHeight="true" outlineLevel="0" collapsed="false">
      <c r="A35" s="34" t="s">
        <v>93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customFormat="false" ht="57.45" hidden="false" customHeight="false" outlineLevel="0" collapsed="false">
      <c r="A36" s="35" t="s">
        <v>32</v>
      </c>
      <c r="B36" s="35" t="s">
        <v>94</v>
      </c>
      <c r="C36" s="35" t="s">
        <v>95</v>
      </c>
      <c r="D36" s="35" t="s">
        <v>96</v>
      </c>
      <c r="E36" s="35" t="s">
        <v>97</v>
      </c>
      <c r="F36" s="35" t="s">
        <v>98</v>
      </c>
      <c r="G36" s="35" t="s">
        <v>99</v>
      </c>
      <c r="H36" s="35" t="s">
        <v>100</v>
      </c>
      <c r="I36" s="35" t="s">
        <v>101</v>
      </c>
      <c r="J36" s="35" t="s">
        <v>102</v>
      </c>
      <c r="K36" s="35" t="s">
        <v>42</v>
      </c>
    </row>
    <row r="37" customFormat="false" ht="15" hidden="false" customHeight="false" outlineLevel="0" collapsed="false">
      <c r="A37" s="4" t="n">
        <v>1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customFormat="false" ht="15" hidden="false" customHeight="false" outlineLevel="0" collapsed="false">
      <c r="A39" s="4" t="n">
        <v>3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customFormat="false" ht="15" hidden="false" customHeight="false" outlineLevel="0" collapsed="false">
      <c r="A41" s="4" t="n">
        <v>5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customFormat="false" ht="15" hidden="false" customHeight="false" outlineLevel="0" collapsed="false">
      <c r="A43" s="4" t="n">
        <v>7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4" t="n">
        <v>9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</row>
    <row r="47" customFormat="false" ht="15" hidden="false" customHeight="false" outlineLevel="0" collapsed="false">
      <c r="A47" s="4" t="n">
        <v>11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</row>
    <row r="49" customFormat="false" ht="15" hidden="false" customHeight="false" outlineLevel="0" collapsed="false">
      <c r="A49" s="4" t="n">
        <v>13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customFormat="false" ht="15" hidden="false" customHeight="false" outlineLevel="0" collapsed="false">
      <c r="A51" s="4" t="n">
        <v>15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customFormat="false" ht="15" hidden="false" customHeight="false" outlineLevel="0" collapsed="false">
      <c r="A53" s="4" t="n">
        <v>17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</row>
    <row r="55" customFormat="false" ht="15" hidden="false" customHeight="false" outlineLevel="0" collapsed="false">
      <c r="A55" s="4" t="n">
        <v>19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</row>
    <row r="57" customFormat="false" ht="15" hidden="false" customHeight="false" outlineLevel="0" collapsed="false">
      <c r="A57" s="4" t="n">
        <v>21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customFormat="false" ht="15" hidden="false" customHeight="false" outlineLevel="0" collapsed="false">
      <c r="A59" s="4" t="n">
        <v>23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customFormat="false" ht="15" hidden="false" customHeight="false" outlineLevel="0" collapsed="false">
      <c r="A61" s="4" t="n">
        <v>25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customFormat="false" ht="15" hidden="false" customHeight="false" outlineLevel="0" collapsed="false">
      <c r="A63" s="4" t="n">
        <v>27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customFormat="false" ht="15" hidden="false" customHeight="false" outlineLevel="0" collapsed="false">
      <c r="A65" s="4" t="n">
        <v>29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customFormat="false" ht="15" hidden="false" customHeight="false" outlineLevel="0" collapsed="false">
      <c r="A67" s="4" t="n">
        <v>31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</row>
    <row r="69" customFormat="false" ht="15" hidden="false" customHeight="false" outlineLevel="0" collapsed="false">
      <c r="A69" s="4" t="n">
        <v>33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</row>
    <row r="71" customFormat="false" ht="15" hidden="false" customHeight="false" outlineLevel="0" collapsed="false">
      <c r="A71" s="4" t="n">
        <v>35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</row>
    <row r="73" customFormat="false" ht="15" hidden="false" customHeight="false" outlineLevel="0" collapsed="false">
      <c r="A73" s="4" t="n">
        <v>37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customFormat="false" ht="15" hidden="false" customHeight="false" outlineLevel="0" collapsed="false">
      <c r="A75" s="4" t="n">
        <v>39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36" t="s">
        <v>103</v>
      </c>
      <c r="B1" s="36"/>
      <c r="C1" s="36"/>
      <c r="D1" s="36"/>
      <c r="E1" s="36"/>
      <c r="F1" s="36"/>
      <c r="G1" s="36"/>
    </row>
    <row r="2" customFormat="false" ht="25.5" hidden="false" customHeight="true" outlineLevel="0" collapsed="false">
      <c r="A2" s="23" t="s">
        <v>104</v>
      </c>
      <c r="B2" s="23"/>
      <c r="C2" s="23"/>
      <c r="D2" s="23"/>
      <c r="E2" s="23"/>
      <c r="F2" s="23"/>
      <c r="G2" s="23"/>
    </row>
    <row r="3" customFormat="false" ht="35.05" hidden="false" customHeight="false" outlineLevel="0" collapsed="false">
      <c r="A3" s="37" t="s">
        <v>2</v>
      </c>
      <c r="B3" s="37" t="s">
        <v>42</v>
      </c>
      <c r="C3" s="37" t="s">
        <v>105</v>
      </c>
      <c r="D3" s="37" t="s">
        <v>106</v>
      </c>
      <c r="E3" s="37" t="s">
        <v>107</v>
      </c>
      <c r="F3" s="37" t="s">
        <v>108</v>
      </c>
      <c r="G3" s="37" t="s">
        <v>109</v>
      </c>
    </row>
    <row r="4" customFormat="false" ht="30" hidden="false" customHeight="true" outlineLevel="0" collapsed="false">
      <c r="A4" s="8" t="n">
        <v>1</v>
      </c>
      <c r="B4" s="17"/>
      <c r="C4" s="10" t="s">
        <v>110</v>
      </c>
      <c r="D4" s="17"/>
      <c r="E4" s="17"/>
      <c r="F4" s="17"/>
      <c r="G4" s="17"/>
    </row>
    <row r="5" customFormat="false" ht="30" hidden="false" customHeight="true" outlineLevel="0" collapsed="false">
      <c r="A5" s="4" t="n">
        <v>2</v>
      </c>
      <c r="B5" s="19"/>
      <c r="C5" s="6" t="s">
        <v>111</v>
      </c>
      <c r="D5" s="19"/>
      <c r="E5" s="19"/>
      <c r="F5" s="19"/>
      <c r="G5" s="19"/>
    </row>
    <row r="6" customFormat="false" ht="30" hidden="false" customHeight="true" outlineLevel="0" collapsed="false">
      <c r="A6" s="8" t="n">
        <v>3</v>
      </c>
      <c r="B6" s="17"/>
      <c r="C6" s="10" t="s">
        <v>112</v>
      </c>
      <c r="D6" s="17"/>
      <c r="E6" s="17"/>
      <c r="F6" s="17"/>
      <c r="G6" s="17"/>
    </row>
    <row r="7" customFormat="false" ht="30" hidden="false" customHeight="true" outlineLevel="0" collapsed="false">
      <c r="A7" s="4" t="n">
        <v>4</v>
      </c>
      <c r="B7" s="19"/>
      <c r="C7" s="6" t="s">
        <v>113</v>
      </c>
      <c r="D7" s="19"/>
      <c r="E7" s="19"/>
      <c r="F7" s="19"/>
      <c r="G7" s="19"/>
    </row>
    <row r="8" customFormat="false" ht="30" hidden="false" customHeight="true" outlineLevel="0" collapsed="false">
      <c r="A8" s="8" t="n">
        <v>5</v>
      </c>
      <c r="B8" s="17"/>
      <c r="C8" s="10" t="s">
        <v>114</v>
      </c>
      <c r="D8" s="17"/>
      <c r="E8" s="17"/>
      <c r="F8" s="17"/>
      <c r="G8" s="17"/>
    </row>
    <row r="9" customFormat="false" ht="30" hidden="false" customHeight="true" outlineLevel="0" collapsed="false">
      <c r="A9" s="4" t="n">
        <v>6</v>
      </c>
      <c r="B9" s="19"/>
      <c r="C9" s="6" t="s">
        <v>115</v>
      </c>
      <c r="D9" s="19"/>
      <c r="E9" s="19"/>
      <c r="F9" s="19"/>
      <c r="G9" s="19"/>
    </row>
    <row r="10" customFormat="false" ht="30" hidden="false" customHeight="true" outlineLevel="0" collapsed="false">
      <c r="A10" s="8" t="n">
        <v>7</v>
      </c>
      <c r="B10" s="17"/>
      <c r="C10" s="10" t="s">
        <v>116</v>
      </c>
      <c r="D10" s="17"/>
      <c r="E10" s="17"/>
      <c r="F10" s="17"/>
      <c r="G10" s="17"/>
    </row>
    <row r="11" customFormat="false" ht="30" hidden="false" customHeight="true" outlineLevel="0" collapsed="false">
      <c r="A11" s="4" t="n">
        <v>8</v>
      </c>
      <c r="B11" s="19"/>
      <c r="C11" s="6" t="s">
        <v>117</v>
      </c>
      <c r="D11" s="19"/>
      <c r="E11" s="19"/>
      <c r="F11" s="19"/>
      <c r="G11" s="19"/>
    </row>
    <row r="12" customFormat="false" ht="30" hidden="false" customHeight="true" outlineLevel="0" collapsed="false">
      <c r="A12" s="8" t="n">
        <v>9</v>
      </c>
      <c r="B12" s="17"/>
      <c r="C12" s="10" t="s">
        <v>118</v>
      </c>
      <c r="D12" s="17"/>
      <c r="E12" s="17"/>
      <c r="F12" s="17"/>
      <c r="G12" s="17"/>
    </row>
    <row r="13" customFormat="false" ht="30" hidden="false" customHeight="true" outlineLevel="0" collapsed="false">
      <c r="A13" s="4" t="n">
        <v>10</v>
      </c>
      <c r="B13" s="19"/>
      <c r="C13" s="6" t="s">
        <v>119</v>
      </c>
      <c r="D13" s="19"/>
      <c r="E13" s="19"/>
      <c r="F13" s="19"/>
      <c r="G13" s="19"/>
    </row>
    <row r="14" customFormat="false" ht="30" hidden="false" customHeight="true" outlineLevel="0" collapsed="false">
      <c r="A14" s="8" t="n">
        <v>11</v>
      </c>
      <c r="B14" s="17"/>
      <c r="C14" s="10" t="s">
        <v>120</v>
      </c>
      <c r="D14" s="17"/>
      <c r="E14" s="17"/>
      <c r="F14" s="17"/>
      <c r="G14" s="17"/>
    </row>
    <row r="15" customFormat="false" ht="30" hidden="false" customHeight="true" outlineLevel="0" collapsed="false">
      <c r="A15" s="4" t="n">
        <v>12</v>
      </c>
      <c r="B15" s="19"/>
      <c r="C15" s="6" t="s">
        <v>121</v>
      </c>
      <c r="D15" s="19"/>
      <c r="E15" s="19"/>
      <c r="F15" s="19"/>
      <c r="G15" s="19"/>
    </row>
    <row r="16" customFormat="false" ht="30" hidden="false" customHeight="true" outlineLevel="0" collapsed="false">
      <c r="A16" s="8" t="n">
        <v>13</v>
      </c>
      <c r="B16" s="17"/>
      <c r="C16" s="10" t="s">
        <v>122</v>
      </c>
      <c r="D16" s="17"/>
      <c r="E16" s="17"/>
      <c r="F16" s="17"/>
      <c r="G16" s="17"/>
    </row>
    <row r="17" customFormat="false" ht="30" hidden="false" customHeight="true" outlineLevel="0" collapsed="false">
      <c r="A17" s="4" t="n">
        <v>14</v>
      </c>
      <c r="B17" s="19"/>
      <c r="C17" s="6" t="s">
        <v>123</v>
      </c>
      <c r="D17" s="19"/>
      <c r="E17" s="19"/>
      <c r="F17" s="19"/>
      <c r="G17" s="19"/>
    </row>
    <row r="18" customFormat="false" ht="30" hidden="false" customHeight="true" outlineLevel="0" collapsed="false">
      <c r="A18" s="8" t="n">
        <v>15</v>
      </c>
      <c r="B18" s="17"/>
      <c r="C18" s="10" t="s">
        <v>124</v>
      </c>
      <c r="D18" s="17"/>
      <c r="E18" s="17"/>
      <c r="F18" s="17"/>
      <c r="G18" s="17"/>
    </row>
    <row r="19" customFormat="false" ht="30" hidden="false" customHeight="true" outlineLevel="0" collapsed="false">
      <c r="A19" s="4" t="n">
        <v>16</v>
      </c>
      <c r="B19" s="19"/>
      <c r="C19" s="6" t="s">
        <v>125</v>
      </c>
      <c r="D19" s="19"/>
      <c r="E19" s="19"/>
      <c r="F19" s="19"/>
      <c r="G19" s="19"/>
    </row>
    <row r="20" customFormat="false" ht="30" hidden="false" customHeight="true" outlineLevel="0" collapsed="false">
      <c r="A20" s="8" t="n">
        <v>17</v>
      </c>
      <c r="B20" s="17"/>
      <c r="C20" s="10" t="s">
        <v>126</v>
      </c>
      <c r="D20" s="17"/>
      <c r="E20" s="17"/>
      <c r="F20" s="17"/>
      <c r="G20" s="17"/>
    </row>
    <row r="21" customFormat="false" ht="30" hidden="false" customHeight="true" outlineLevel="0" collapsed="false">
      <c r="A21" s="4" t="n">
        <v>18</v>
      </c>
      <c r="B21" s="19"/>
      <c r="C21" s="6" t="s">
        <v>127</v>
      </c>
      <c r="D21" s="19"/>
      <c r="E21" s="19"/>
      <c r="F21" s="19"/>
      <c r="G21" s="19"/>
    </row>
    <row r="23" customFormat="false" ht="25.5" hidden="false" customHeight="true" outlineLevel="0" collapsed="false">
      <c r="A23" s="21" t="s">
        <v>128</v>
      </c>
      <c r="B23" s="21"/>
      <c r="C23" s="21"/>
      <c r="D23" s="21"/>
      <c r="E23" s="21"/>
      <c r="F23" s="21"/>
      <c r="G23" s="21"/>
    </row>
    <row r="24" customFormat="false" ht="15" hidden="false" customHeight="true" outlineLevel="0" collapsed="false">
      <c r="A24" s="38" t="s">
        <v>129</v>
      </c>
      <c r="B24" s="38"/>
      <c r="C24" s="38"/>
      <c r="D24" s="39" t="n">
        <f aca="false">COUNTIF(D4:D21,"Implemented")</f>
        <v>0</v>
      </c>
      <c r="E24" s="40"/>
      <c r="F24" s="40"/>
      <c r="G24" s="40"/>
    </row>
    <row r="25" customFormat="false" ht="15" hidden="false" customHeight="true" outlineLevel="0" collapsed="false">
      <c r="A25" s="38" t="s">
        <v>130</v>
      </c>
      <c r="B25" s="38"/>
      <c r="C25" s="38"/>
      <c r="D25" s="41" t="n">
        <f aca="false">IFERROR(COUNTIF(D4:D21,"Implemented")/18*100,0)</f>
        <v>0</v>
      </c>
      <c r="E25" s="40"/>
      <c r="F25" s="40"/>
      <c r="G25" s="40"/>
    </row>
  </sheetData>
  <mergeCells count="5">
    <mergeCell ref="A1:G1"/>
    <mergeCell ref="A2:G2"/>
    <mergeCell ref="A23:G23"/>
    <mergeCell ref="A24:C24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K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10" min="4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42" t="s">
        <v>131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customFormat="false" ht="25.5" hidden="false" customHeight="true" outlineLevel="0" collapsed="false">
      <c r="A2" s="43" t="s">
        <v>132</v>
      </c>
      <c r="B2" s="43"/>
      <c r="C2" s="43"/>
      <c r="D2" s="43"/>
      <c r="E2" s="43"/>
      <c r="F2" s="43"/>
      <c r="G2" s="43"/>
      <c r="H2" s="43"/>
      <c r="I2" s="43"/>
      <c r="J2" s="43"/>
      <c r="K2" s="43"/>
    </row>
    <row r="3" customFormat="false" ht="23.85" hidden="false" customHeight="false" outlineLevel="0" collapsed="false">
      <c r="A3" s="44" t="s">
        <v>32</v>
      </c>
      <c r="B3" s="44" t="s">
        <v>42</v>
      </c>
      <c r="C3" s="44" t="s">
        <v>85</v>
      </c>
      <c r="D3" s="44" t="s">
        <v>133</v>
      </c>
      <c r="E3" s="44" t="s">
        <v>134</v>
      </c>
      <c r="F3" s="44" t="s">
        <v>135</v>
      </c>
      <c r="G3" s="44" t="s">
        <v>136</v>
      </c>
      <c r="H3" s="44" t="s">
        <v>137</v>
      </c>
      <c r="I3" s="44" t="s">
        <v>138</v>
      </c>
      <c r="J3" s="44" t="s">
        <v>139</v>
      </c>
      <c r="K3" s="44" t="s">
        <v>140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32" t="n">
        <f aca="false">IF(D4&gt;0,E4/D4*100,0)</f>
        <v>0</v>
      </c>
      <c r="G4" s="17"/>
      <c r="H4" s="32" t="n">
        <f aca="false">IF(D4&gt;0,G4/D4*100,0)</f>
        <v>0</v>
      </c>
      <c r="I4" s="17"/>
      <c r="J4" s="17"/>
      <c r="K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33" t="n">
        <f aca="false">IF(D5&gt;0,E5/D5*100,0)</f>
        <v>0</v>
      </c>
      <c r="G5" s="19"/>
      <c r="H5" s="33" t="n">
        <f aca="false">IF(D5&gt;0,G5/D5*100,0)</f>
        <v>0</v>
      </c>
      <c r="I5" s="19"/>
      <c r="J5" s="19"/>
      <c r="K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32" t="n">
        <f aca="false">IF(D6&gt;0,E6/D6*100,0)</f>
        <v>0</v>
      </c>
      <c r="G6" s="17"/>
      <c r="H6" s="32" t="n">
        <f aca="false">IF(D6&gt;0,G6/D6*100,0)</f>
        <v>0</v>
      </c>
      <c r="I6" s="17"/>
      <c r="J6" s="17"/>
      <c r="K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33" t="n">
        <f aca="false">IF(D7&gt;0,E7/D7*100,0)</f>
        <v>0</v>
      </c>
      <c r="G7" s="19"/>
      <c r="H7" s="33" t="n">
        <f aca="false">IF(D7&gt;0,G7/D7*100,0)</f>
        <v>0</v>
      </c>
      <c r="I7" s="19"/>
      <c r="J7" s="19"/>
      <c r="K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32" t="n">
        <f aca="false">IF(D8&gt;0,E8/D8*100,0)</f>
        <v>0</v>
      </c>
      <c r="G8" s="17"/>
      <c r="H8" s="32" t="n">
        <f aca="false">IF(D8&gt;0,G8/D8*100,0)</f>
        <v>0</v>
      </c>
      <c r="I8" s="17"/>
      <c r="J8" s="17"/>
      <c r="K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33" t="n">
        <f aca="false">IF(D9&gt;0,E9/D9*100,0)</f>
        <v>0</v>
      </c>
      <c r="G9" s="19"/>
      <c r="H9" s="33" t="n">
        <f aca="false">IF(D9&gt;0,G9/D9*100,0)</f>
        <v>0</v>
      </c>
      <c r="I9" s="19"/>
      <c r="J9" s="19"/>
      <c r="K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32" t="n">
        <f aca="false">IF(D10&gt;0,E10/D10*100,0)</f>
        <v>0</v>
      </c>
      <c r="G10" s="17"/>
      <c r="H10" s="32" t="n">
        <f aca="false">IF(D10&gt;0,G10/D10*100,0)</f>
        <v>0</v>
      </c>
      <c r="I10" s="17"/>
      <c r="J10" s="17"/>
      <c r="K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33" t="n">
        <f aca="false">IF(D11&gt;0,E11/D11*100,0)</f>
        <v>0</v>
      </c>
      <c r="G11" s="19"/>
      <c r="H11" s="33" t="n">
        <f aca="false">IF(D11&gt;0,G11/D11*100,0)</f>
        <v>0</v>
      </c>
      <c r="I11" s="19"/>
      <c r="J11" s="19"/>
      <c r="K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32" t="n">
        <f aca="false">IF(D12&gt;0,E12/D12*100,0)</f>
        <v>0</v>
      </c>
      <c r="G12" s="17"/>
      <c r="H12" s="32" t="n">
        <f aca="false">IF(D12&gt;0,G12/D12*100,0)</f>
        <v>0</v>
      </c>
      <c r="I12" s="17"/>
      <c r="J12" s="17"/>
      <c r="K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33" t="n">
        <f aca="false">IF(D13&gt;0,E13/D13*100,0)</f>
        <v>0</v>
      </c>
      <c r="G13" s="19"/>
      <c r="H13" s="33" t="n">
        <f aca="false">IF(D13&gt;0,G13/D13*100,0)</f>
        <v>0</v>
      </c>
      <c r="I13" s="19"/>
      <c r="J13" s="19"/>
      <c r="K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32" t="n">
        <f aca="false">IF(D14&gt;0,E14/D14*100,0)</f>
        <v>0</v>
      </c>
      <c r="G14" s="17"/>
      <c r="H14" s="32" t="n">
        <f aca="false">IF(D14&gt;0,G14/D14*100,0)</f>
        <v>0</v>
      </c>
      <c r="I14" s="17"/>
      <c r="J14" s="17"/>
      <c r="K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33" t="n">
        <f aca="false">IF(D15&gt;0,E15/D15*100,0)</f>
        <v>0</v>
      </c>
      <c r="G15" s="19"/>
      <c r="H15" s="33" t="n">
        <f aca="false">IF(D15&gt;0,G15/D15*100,0)</f>
        <v>0</v>
      </c>
      <c r="I15" s="19"/>
      <c r="J15" s="19"/>
      <c r="K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32" t="n">
        <f aca="false">IF(D16&gt;0,E16/D16*100,0)</f>
        <v>0</v>
      </c>
      <c r="G16" s="17"/>
      <c r="H16" s="32" t="n">
        <f aca="false">IF(D16&gt;0,G16/D16*100,0)</f>
        <v>0</v>
      </c>
      <c r="I16" s="17"/>
      <c r="J16" s="17"/>
      <c r="K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33" t="n">
        <f aca="false">IF(D17&gt;0,E17/D17*100,0)</f>
        <v>0</v>
      </c>
      <c r="G17" s="19"/>
      <c r="H17" s="33" t="n">
        <f aca="false">IF(D17&gt;0,G17/D17*100,0)</f>
        <v>0</v>
      </c>
      <c r="I17" s="19"/>
      <c r="J17" s="19"/>
      <c r="K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32" t="n">
        <f aca="false">IF(D18&gt;0,E18/D18*100,0)</f>
        <v>0</v>
      </c>
      <c r="G18" s="17"/>
      <c r="H18" s="32" t="n">
        <f aca="false">IF(D18&gt;0,G18/D18*100,0)</f>
        <v>0</v>
      </c>
      <c r="I18" s="17"/>
      <c r="J18" s="17"/>
      <c r="K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33" t="n">
        <f aca="false">IF(D19&gt;0,E19/D19*100,0)</f>
        <v>0</v>
      </c>
      <c r="G19" s="19"/>
      <c r="H19" s="33" t="n">
        <f aca="false">IF(D19&gt;0,G19/D19*100,0)</f>
        <v>0</v>
      </c>
      <c r="I19" s="19"/>
      <c r="J19" s="19"/>
      <c r="K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32" t="n">
        <f aca="false">IF(D20&gt;0,E20/D20*100,0)</f>
        <v>0</v>
      </c>
      <c r="G20" s="17"/>
      <c r="H20" s="32" t="n">
        <f aca="false">IF(D20&gt;0,G20/D20*100,0)</f>
        <v>0</v>
      </c>
      <c r="I20" s="17"/>
      <c r="J20" s="17"/>
      <c r="K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33" t="n">
        <f aca="false">IF(D21&gt;0,E21/D21*100,0)</f>
        <v>0</v>
      </c>
      <c r="G21" s="19"/>
      <c r="H21" s="33" t="n">
        <f aca="false">IF(D21&gt;0,G21/D21*100,0)</f>
        <v>0</v>
      </c>
      <c r="I21" s="19"/>
      <c r="J21" s="19"/>
      <c r="K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32" t="n">
        <f aca="false">IF(D22&gt;0,E22/D22*100,0)</f>
        <v>0</v>
      </c>
      <c r="G22" s="17"/>
      <c r="H22" s="32" t="n">
        <f aca="false">IF(D22&gt;0,G22/D22*100,0)</f>
        <v>0</v>
      </c>
      <c r="I22" s="17"/>
      <c r="J22" s="17"/>
      <c r="K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33" t="n">
        <f aca="false">IF(D23&gt;0,E23/D23*100,0)</f>
        <v>0</v>
      </c>
      <c r="G23" s="19"/>
      <c r="H23" s="33" t="n">
        <f aca="false">IF(D23&gt;0,G23/D23*100,0)</f>
        <v>0</v>
      </c>
      <c r="I23" s="19"/>
      <c r="J23" s="19"/>
      <c r="K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32" t="n">
        <f aca="false">IF(D24&gt;0,E24/D24*100,0)</f>
        <v>0</v>
      </c>
      <c r="G24" s="17"/>
      <c r="H24" s="32" t="n">
        <f aca="false">IF(D24&gt;0,G24/D24*100,0)</f>
        <v>0</v>
      </c>
      <c r="I24" s="17"/>
      <c r="J24" s="17"/>
      <c r="K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33" t="n">
        <f aca="false">IF(D25&gt;0,E25/D25*100,0)</f>
        <v>0</v>
      </c>
      <c r="G25" s="19"/>
      <c r="H25" s="33" t="n">
        <f aca="false">IF(D25&gt;0,G25/D25*100,0)</f>
        <v>0</v>
      </c>
      <c r="I25" s="19"/>
      <c r="J25" s="19"/>
      <c r="K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32" t="n">
        <f aca="false">IF(D26&gt;0,E26/D26*100,0)</f>
        <v>0</v>
      </c>
      <c r="G26" s="17"/>
      <c r="H26" s="32" t="n">
        <f aca="false">IF(D26&gt;0,G26/D26*100,0)</f>
        <v>0</v>
      </c>
      <c r="I26" s="17"/>
      <c r="J26" s="17"/>
      <c r="K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33" t="n">
        <f aca="false">IF(D27&gt;0,E27/D27*100,0)</f>
        <v>0</v>
      </c>
      <c r="G27" s="19"/>
      <c r="H27" s="33" t="n">
        <f aca="false">IF(D27&gt;0,G27/D27*100,0)</f>
        <v>0</v>
      </c>
      <c r="I27" s="19"/>
      <c r="J27" s="19"/>
      <c r="K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32" t="n">
        <f aca="false">IF(D28&gt;0,E28/D28*100,0)</f>
        <v>0</v>
      </c>
      <c r="G28" s="17"/>
      <c r="H28" s="32" t="n">
        <f aca="false">IF(D28&gt;0,G28/D28*100,0)</f>
        <v>0</v>
      </c>
      <c r="I28" s="17"/>
      <c r="J28" s="17"/>
      <c r="K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33" t="n">
        <f aca="false">IF(D29&gt;0,E29/D29*100,0)</f>
        <v>0</v>
      </c>
      <c r="G29" s="19"/>
      <c r="H29" s="33" t="n">
        <f aca="false">IF(D29&gt;0,G29/D29*100,0)</f>
        <v>0</v>
      </c>
      <c r="I29" s="19"/>
      <c r="J29" s="19"/>
      <c r="K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32" t="n">
        <f aca="false">IF(D30&gt;0,E30/D30*100,0)</f>
        <v>0</v>
      </c>
      <c r="G30" s="17"/>
      <c r="H30" s="32" t="n">
        <f aca="false">IF(D30&gt;0,G30/D30*100,0)</f>
        <v>0</v>
      </c>
      <c r="I30" s="17"/>
      <c r="J30" s="17"/>
      <c r="K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33" t="n">
        <f aca="false">IF(D31&gt;0,E31/D31*100,0)</f>
        <v>0</v>
      </c>
      <c r="G31" s="19"/>
      <c r="H31" s="33" t="n">
        <f aca="false">IF(D31&gt;0,G31/D31*100,0)</f>
        <v>0</v>
      </c>
      <c r="I31" s="19"/>
      <c r="J31" s="19"/>
      <c r="K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32" t="n">
        <f aca="false">IF(D32&gt;0,E32/D32*100,0)</f>
        <v>0</v>
      </c>
      <c r="G32" s="17"/>
      <c r="H32" s="32" t="n">
        <f aca="false">IF(D32&gt;0,G32/D32*100,0)</f>
        <v>0</v>
      </c>
      <c r="I32" s="17"/>
      <c r="J32" s="17"/>
      <c r="K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33" t="n">
        <f aca="false">IF(D33&gt;0,E33/D33*100,0)</f>
        <v>0</v>
      </c>
      <c r="G33" s="19"/>
      <c r="H33" s="33" t="n">
        <f aca="false">IF(D33&gt;0,G33/D33*100,0)</f>
        <v>0</v>
      </c>
      <c r="I33" s="19"/>
      <c r="J33" s="19"/>
      <c r="K33" s="19"/>
    </row>
    <row r="35" customFormat="false" ht="25.5" hidden="false" customHeight="true" outlineLevel="0" collapsed="false">
      <c r="A35" s="30" t="s">
        <v>141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customFormat="false" ht="23.85" hidden="false" customHeight="false" outlineLevel="0" collapsed="false">
      <c r="A36" s="31" t="s">
        <v>32</v>
      </c>
      <c r="B36" s="31" t="s">
        <v>42</v>
      </c>
      <c r="C36" s="31" t="s">
        <v>142</v>
      </c>
      <c r="D36" s="31" t="s">
        <v>143</v>
      </c>
      <c r="E36" s="31" t="s">
        <v>144</v>
      </c>
      <c r="F36" s="31" t="s">
        <v>145</v>
      </c>
      <c r="G36" s="31" t="s">
        <v>146</v>
      </c>
      <c r="H36" s="31" t="s">
        <v>147</v>
      </c>
      <c r="I36" s="31" t="s">
        <v>148</v>
      </c>
      <c r="J36" s="31" t="s">
        <v>149</v>
      </c>
      <c r="K36" s="31" t="s">
        <v>150</v>
      </c>
    </row>
    <row r="37" customFormat="false" ht="15" hidden="false" customHeight="false" outlineLevel="0" collapsed="false">
      <c r="A37" s="4" t="n">
        <v>1</v>
      </c>
      <c r="B37" s="19"/>
      <c r="C37" s="19"/>
      <c r="D37" s="19"/>
      <c r="E37" s="19"/>
      <c r="F37" s="19"/>
      <c r="G37" s="19"/>
      <c r="H37" s="19"/>
      <c r="I37" s="19"/>
      <c r="J37" s="19"/>
      <c r="K37" s="7" t="n">
        <f aca="false">SUM(C37:J37)</f>
        <v>0</v>
      </c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  <c r="K38" s="11" t="n">
        <f aca="false">SUM(C38:J38)</f>
        <v>0</v>
      </c>
    </row>
    <row r="39" customFormat="false" ht="15" hidden="false" customHeight="false" outlineLevel="0" collapsed="false">
      <c r="A39" s="4" t="n">
        <v>3</v>
      </c>
      <c r="B39" s="19"/>
      <c r="C39" s="19"/>
      <c r="D39" s="19"/>
      <c r="E39" s="19"/>
      <c r="F39" s="19"/>
      <c r="G39" s="19"/>
      <c r="H39" s="19"/>
      <c r="I39" s="19"/>
      <c r="J39" s="19"/>
      <c r="K39" s="7" t="n">
        <f aca="false">SUM(C39:J39)</f>
        <v>0</v>
      </c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  <c r="K40" s="11" t="n">
        <f aca="false">SUM(C40:J40)</f>
        <v>0</v>
      </c>
    </row>
    <row r="41" customFormat="false" ht="15" hidden="false" customHeight="false" outlineLevel="0" collapsed="false">
      <c r="A41" s="4" t="n">
        <v>5</v>
      </c>
      <c r="B41" s="19"/>
      <c r="C41" s="19"/>
      <c r="D41" s="19"/>
      <c r="E41" s="19"/>
      <c r="F41" s="19"/>
      <c r="G41" s="19"/>
      <c r="H41" s="19"/>
      <c r="I41" s="19"/>
      <c r="J41" s="19"/>
      <c r="K41" s="7" t="n">
        <f aca="false">SUM(C41:J41)</f>
        <v>0</v>
      </c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  <c r="K42" s="11" t="n">
        <f aca="false">SUM(C42:J42)</f>
        <v>0</v>
      </c>
    </row>
    <row r="43" customFormat="false" ht="15" hidden="false" customHeight="false" outlineLevel="0" collapsed="false">
      <c r="A43" s="4" t="n">
        <v>7</v>
      </c>
      <c r="B43" s="19"/>
      <c r="C43" s="19"/>
      <c r="D43" s="19"/>
      <c r="E43" s="19"/>
      <c r="F43" s="19"/>
      <c r="G43" s="19"/>
      <c r="H43" s="19"/>
      <c r="I43" s="19"/>
      <c r="J43" s="19"/>
      <c r="K43" s="7" t="n">
        <f aca="false">SUM(C43:J43)</f>
        <v>0</v>
      </c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  <c r="K44" s="11" t="n">
        <f aca="false">SUM(C44:J44)</f>
        <v>0</v>
      </c>
    </row>
    <row r="45" customFormat="false" ht="15" hidden="false" customHeight="false" outlineLevel="0" collapsed="false">
      <c r="A45" s="4" t="n">
        <v>9</v>
      </c>
      <c r="B45" s="19"/>
      <c r="C45" s="19"/>
      <c r="D45" s="19"/>
      <c r="E45" s="19"/>
      <c r="F45" s="19"/>
      <c r="G45" s="19"/>
      <c r="H45" s="19"/>
      <c r="I45" s="19"/>
      <c r="J45" s="19"/>
      <c r="K45" s="7" t="n">
        <f aca="false">SUM(C45:J45)</f>
        <v>0</v>
      </c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  <c r="K46" s="11" t="n">
        <f aca="false">SUM(C46:J46)</f>
        <v>0</v>
      </c>
    </row>
    <row r="47" customFormat="false" ht="15" hidden="false" customHeight="false" outlineLevel="0" collapsed="false">
      <c r="A47" s="4" t="n">
        <v>11</v>
      </c>
      <c r="B47" s="19"/>
      <c r="C47" s="19"/>
      <c r="D47" s="19"/>
      <c r="E47" s="19"/>
      <c r="F47" s="19"/>
      <c r="G47" s="19"/>
      <c r="H47" s="19"/>
      <c r="I47" s="19"/>
      <c r="J47" s="19"/>
      <c r="K47" s="7" t="n">
        <f aca="false">SUM(C47:J47)</f>
        <v>0</v>
      </c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  <c r="K48" s="11" t="n">
        <f aca="false">SUM(C48:J48)</f>
        <v>0</v>
      </c>
    </row>
    <row r="49" customFormat="false" ht="15" hidden="false" customHeight="false" outlineLevel="0" collapsed="false">
      <c r="A49" s="4" t="n">
        <v>13</v>
      </c>
      <c r="B49" s="19"/>
      <c r="C49" s="19"/>
      <c r="D49" s="19"/>
      <c r="E49" s="19"/>
      <c r="F49" s="19"/>
      <c r="G49" s="19"/>
      <c r="H49" s="19"/>
      <c r="I49" s="19"/>
      <c r="J49" s="19"/>
      <c r="K49" s="7" t="n">
        <f aca="false">SUM(C49:J49)</f>
        <v>0</v>
      </c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  <c r="K50" s="11" t="n">
        <f aca="false">SUM(C50:J50)</f>
        <v>0</v>
      </c>
    </row>
    <row r="51" customFormat="false" ht="15" hidden="false" customHeight="false" outlineLevel="0" collapsed="false">
      <c r="A51" s="4" t="n">
        <v>15</v>
      </c>
      <c r="B51" s="19"/>
      <c r="C51" s="19"/>
      <c r="D51" s="19"/>
      <c r="E51" s="19"/>
      <c r="F51" s="19"/>
      <c r="G51" s="19"/>
      <c r="H51" s="19"/>
      <c r="I51" s="19"/>
      <c r="J51" s="19"/>
      <c r="K51" s="7" t="n">
        <f aca="false">SUM(C51:J51)</f>
        <v>0</v>
      </c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  <c r="K52" s="11" t="n">
        <f aca="false">SUM(C52:J52)</f>
        <v>0</v>
      </c>
    </row>
    <row r="53" customFormat="false" ht="15" hidden="false" customHeight="false" outlineLevel="0" collapsed="false">
      <c r="A53" s="4" t="n">
        <v>17</v>
      </c>
      <c r="B53" s="19"/>
      <c r="C53" s="19"/>
      <c r="D53" s="19"/>
      <c r="E53" s="19"/>
      <c r="F53" s="19"/>
      <c r="G53" s="19"/>
      <c r="H53" s="19"/>
      <c r="I53" s="19"/>
      <c r="J53" s="19"/>
      <c r="K53" s="7" t="n">
        <f aca="false">SUM(C53:J53)</f>
        <v>0</v>
      </c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  <c r="K54" s="11" t="n">
        <f aca="false">SUM(C54:J54)</f>
        <v>0</v>
      </c>
    </row>
    <row r="55" customFormat="false" ht="15" hidden="false" customHeight="false" outlineLevel="0" collapsed="false">
      <c r="A55" s="4" t="n">
        <v>19</v>
      </c>
      <c r="B55" s="19"/>
      <c r="C55" s="19"/>
      <c r="D55" s="19"/>
      <c r="E55" s="19"/>
      <c r="F55" s="19"/>
      <c r="G55" s="19"/>
      <c r="H55" s="19"/>
      <c r="I55" s="19"/>
      <c r="J55" s="19"/>
      <c r="K55" s="7" t="n">
        <f aca="false">SUM(C55:J55)</f>
        <v>0</v>
      </c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  <c r="K56" s="11" t="n">
        <f aca="false">SUM(C56:J56)</f>
        <v>0</v>
      </c>
    </row>
  </sheetData>
  <mergeCells count="3">
    <mergeCell ref="A1:K1"/>
    <mergeCell ref="A2:K2"/>
    <mergeCell ref="A35:K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5" t="s">
        <v>151</v>
      </c>
      <c r="B1" s="45"/>
      <c r="C1" s="45"/>
      <c r="D1" s="45"/>
      <c r="E1" s="45"/>
      <c r="F1" s="45"/>
      <c r="G1" s="45"/>
      <c r="H1" s="45"/>
      <c r="I1" s="45"/>
      <c r="J1" s="45"/>
    </row>
    <row r="2" customFormat="false" ht="25.5" hidden="false" customHeight="true" outlineLevel="0" collapsed="false">
      <c r="A2" s="46" t="s">
        <v>152</v>
      </c>
      <c r="B2" s="46"/>
      <c r="C2" s="46"/>
      <c r="D2" s="46"/>
      <c r="E2" s="46"/>
      <c r="F2" s="46"/>
      <c r="G2" s="46"/>
      <c r="H2" s="46"/>
      <c r="I2" s="46"/>
      <c r="J2" s="46"/>
    </row>
    <row r="3" customFormat="false" ht="46.25" hidden="false" customHeight="false" outlineLevel="0" collapsed="false">
      <c r="A3" s="47" t="s">
        <v>32</v>
      </c>
      <c r="B3" s="47" t="s">
        <v>42</v>
      </c>
      <c r="C3" s="47" t="s">
        <v>85</v>
      </c>
      <c r="D3" s="47" t="s">
        <v>153</v>
      </c>
      <c r="E3" s="47" t="s">
        <v>154</v>
      </c>
      <c r="F3" s="47" t="s">
        <v>155</v>
      </c>
      <c r="G3" s="47" t="s">
        <v>156</v>
      </c>
      <c r="H3" s="47" t="s">
        <v>157</v>
      </c>
      <c r="I3" s="47" t="s">
        <v>158</v>
      </c>
      <c r="J3" s="47" t="s">
        <v>52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32" t="n">
        <f aca="false">IF(D4&gt;0,MAX(E4,F4,G4,H4)/D4*100,0)</f>
        <v>0</v>
      </c>
      <c r="J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33" t="n">
        <f aca="false">IF(D5&gt;0,MAX(E5,F5,G5,H5)/D5*100,0)</f>
        <v>0</v>
      </c>
      <c r="J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32" t="n">
        <f aca="false">IF(D6&gt;0,MAX(E6,F6,G6,H6)/D6*100,0)</f>
        <v>0</v>
      </c>
      <c r="J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33" t="n">
        <f aca="false">IF(D7&gt;0,MAX(E7,F7,G7,H7)/D7*100,0)</f>
        <v>0</v>
      </c>
      <c r="J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32" t="n">
        <f aca="false">IF(D8&gt;0,MAX(E8,F8,G8,H8)/D8*100,0)</f>
        <v>0</v>
      </c>
      <c r="J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33" t="n">
        <f aca="false">IF(D9&gt;0,MAX(E9,F9,G9,H9)/D9*100,0)</f>
        <v>0</v>
      </c>
      <c r="J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32" t="n">
        <f aca="false">IF(D10&gt;0,MAX(E10,F10,G10,H10)/D10*100,0)</f>
        <v>0</v>
      </c>
      <c r="J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33" t="n">
        <f aca="false">IF(D11&gt;0,MAX(E11,F11,G11,H11)/D11*100,0)</f>
        <v>0</v>
      </c>
      <c r="J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32" t="n">
        <f aca="false">IF(D12&gt;0,MAX(E12,F12,G12,H12)/D12*100,0)</f>
        <v>0</v>
      </c>
      <c r="J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33" t="n">
        <f aca="false">IF(D13&gt;0,MAX(E13,F13,G13,H13)/D13*100,0)</f>
        <v>0</v>
      </c>
      <c r="J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32" t="n">
        <f aca="false">IF(D14&gt;0,MAX(E14,F14,G14,H14)/D14*100,0)</f>
        <v>0</v>
      </c>
      <c r="J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33" t="n">
        <f aca="false">IF(D15&gt;0,MAX(E15,F15,G15,H15)/D15*100,0)</f>
        <v>0</v>
      </c>
      <c r="J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32" t="n">
        <f aca="false">IF(D16&gt;0,MAX(E16,F16,G16,H16)/D16*100,0)</f>
        <v>0</v>
      </c>
      <c r="J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33" t="n">
        <f aca="false">IF(D17&gt;0,MAX(E17,F17,G17,H17)/D17*100,0)</f>
        <v>0</v>
      </c>
      <c r="J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32" t="n">
        <f aca="false">IF(D18&gt;0,MAX(E18,F18,G18,H18)/D18*100,0)</f>
        <v>0</v>
      </c>
      <c r="J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33" t="n">
        <f aca="false">IF(D19&gt;0,MAX(E19,F19,G19,H19)/D19*100,0)</f>
        <v>0</v>
      </c>
      <c r="J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32" t="n">
        <f aca="false">IF(D20&gt;0,MAX(E20,F20,G20,H20)/D20*100,0)</f>
        <v>0</v>
      </c>
      <c r="J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33" t="n">
        <f aca="false">IF(D21&gt;0,MAX(E21,F21,G21,H21)/D21*100,0)</f>
        <v>0</v>
      </c>
      <c r="J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32" t="n">
        <f aca="false">IF(D22&gt;0,MAX(E22,F22,G22,H22)/D22*100,0)</f>
        <v>0</v>
      </c>
      <c r="J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33" t="n">
        <f aca="false">IF(D23&gt;0,MAX(E23,F23,G23,H23)/D23*100,0)</f>
        <v>0</v>
      </c>
      <c r="J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32" t="n">
        <f aca="false">IF(D24&gt;0,MAX(E24,F24,G24,H24)/D24*100,0)</f>
        <v>0</v>
      </c>
      <c r="J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33" t="n">
        <f aca="false">IF(D25&gt;0,MAX(E25,F25,G25,H25)/D25*100,0)</f>
        <v>0</v>
      </c>
      <c r="J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32" t="n">
        <f aca="false">IF(D26&gt;0,MAX(E26,F26,G26,H26)/D26*100,0)</f>
        <v>0</v>
      </c>
      <c r="J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33" t="n">
        <f aca="false">IF(D27&gt;0,MAX(E27,F27,G27,H27)/D27*100,0)</f>
        <v>0</v>
      </c>
      <c r="J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32" t="n">
        <f aca="false">IF(D28&gt;0,MAX(E28,F28,G28,H28)/D28*100,0)</f>
        <v>0</v>
      </c>
      <c r="J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33" t="n">
        <f aca="false">IF(D29&gt;0,MAX(E29,F29,G29,H29)/D29*100,0)</f>
        <v>0</v>
      </c>
      <c r="J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32" t="n">
        <f aca="false">IF(D30&gt;0,MAX(E30,F30,G30,H30)/D30*100,0)</f>
        <v>0</v>
      </c>
      <c r="J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33" t="n">
        <f aca="false">IF(D31&gt;0,MAX(E31,F31,G31,H31)/D31*100,0)</f>
        <v>0</v>
      </c>
      <c r="J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32" t="n">
        <f aca="false">IF(D32&gt;0,MAX(E32,F32,G32,H32)/D32*100,0)</f>
        <v>0</v>
      </c>
      <c r="J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33" t="n">
        <f aca="false">IF(D33&gt;0,MAX(E33,F33,G33,H33)/D33*100,0)</f>
        <v>0</v>
      </c>
      <c r="J33" s="19"/>
    </row>
    <row r="35" customFormat="false" ht="25.5" hidden="false" customHeight="true" outlineLevel="0" collapsed="false">
      <c r="A35" s="48" t="s">
        <v>159</v>
      </c>
      <c r="B35" s="48"/>
      <c r="C35" s="48"/>
      <c r="D35" s="48"/>
      <c r="E35" s="48"/>
      <c r="F35" s="48"/>
      <c r="G35" s="48"/>
      <c r="H35" s="48"/>
      <c r="I35" s="48"/>
      <c r="J35" s="48"/>
    </row>
    <row r="36" customFormat="false" ht="57.45" hidden="false" customHeight="false" outlineLevel="0" collapsed="false">
      <c r="A36" s="49" t="s">
        <v>32</v>
      </c>
      <c r="B36" s="49" t="s">
        <v>160</v>
      </c>
      <c r="C36" s="49" t="s">
        <v>161</v>
      </c>
      <c r="D36" s="49" t="s">
        <v>162</v>
      </c>
      <c r="E36" s="49" t="s">
        <v>163</v>
      </c>
      <c r="F36" s="49" t="s">
        <v>164</v>
      </c>
      <c r="G36" s="49" t="s">
        <v>165</v>
      </c>
      <c r="H36" s="49" t="s">
        <v>166</v>
      </c>
      <c r="I36" s="49" t="s">
        <v>167</v>
      </c>
      <c r="J36" s="49" t="s">
        <v>42</v>
      </c>
    </row>
    <row r="37" customFormat="false" ht="15" hidden="false" customHeight="false" outlineLevel="0" collapsed="false">
      <c r="A37" s="4" t="n">
        <v>1</v>
      </c>
      <c r="B37" s="19"/>
      <c r="C37" s="19"/>
      <c r="D37" s="19"/>
      <c r="E37" s="19"/>
      <c r="F37" s="19"/>
      <c r="G37" s="19"/>
      <c r="H37" s="19"/>
      <c r="I37" s="19"/>
      <c r="J37" s="19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19"/>
      <c r="C39" s="19"/>
      <c r="D39" s="19"/>
      <c r="E39" s="19"/>
      <c r="F39" s="19"/>
      <c r="G39" s="19"/>
      <c r="H39" s="19"/>
      <c r="I39" s="19"/>
      <c r="J39" s="19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19"/>
      <c r="C41" s="19"/>
      <c r="D41" s="19"/>
      <c r="E41" s="19"/>
      <c r="F41" s="19"/>
      <c r="G41" s="19"/>
      <c r="H41" s="19"/>
      <c r="I41" s="19"/>
      <c r="J41" s="19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19"/>
      <c r="C43" s="19"/>
      <c r="D43" s="19"/>
      <c r="E43" s="19"/>
      <c r="F43" s="19"/>
      <c r="G43" s="19"/>
      <c r="H43" s="19"/>
      <c r="I43" s="19"/>
      <c r="J43" s="19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19"/>
      <c r="C45" s="19"/>
      <c r="D45" s="19"/>
      <c r="E45" s="19"/>
      <c r="F45" s="19"/>
      <c r="G45" s="19"/>
      <c r="H45" s="19"/>
      <c r="I45" s="19"/>
      <c r="J45" s="19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19"/>
      <c r="C47" s="19"/>
      <c r="D47" s="19"/>
      <c r="E47" s="19"/>
      <c r="F47" s="19"/>
      <c r="G47" s="19"/>
      <c r="H47" s="19"/>
      <c r="I47" s="19"/>
      <c r="J47" s="19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19"/>
      <c r="C49" s="19"/>
      <c r="D49" s="19"/>
      <c r="E49" s="19"/>
      <c r="F49" s="19"/>
      <c r="G49" s="19"/>
      <c r="H49" s="19"/>
      <c r="I49" s="19"/>
      <c r="J49" s="19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19"/>
      <c r="C51" s="19"/>
      <c r="D51" s="19"/>
      <c r="E51" s="19"/>
      <c r="F51" s="19"/>
      <c r="G51" s="19"/>
      <c r="H51" s="19"/>
      <c r="I51" s="19"/>
      <c r="J51" s="19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19"/>
      <c r="C53" s="19"/>
      <c r="D53" s="19"/>
      <c r="E53" s="19"/>
      <c r="F53" s="19"/>
      <c r="G53" s="19"/>
      <c r="H53" s="19"/>
      <c r="I53" s="19"/>
      <c r="J53" s="19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19"/>
      <c r="C55" s="19"/>
      <c r="D55" s="19"/>
      <c r="E55" s="19"/>
      <c r="F55" s="19"/>
      <c r="G55" s="19"/>
      <c r="H55" s="19"/>
      <c r="I55" s="19"/>
      <c r="J55" s="19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19"/>
      <c r="C57" s="19"/>
      <c r="D57" s="19"/>
      <c r="E57" s="19"/>
      <c r="F57" s="19"/>
      <c r="G57" s="19"/>
      <c r="H57" s="19"/>
      <c r="I57" s="19"/>
      <c r="J57" s="19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19"/>
      <c r="C59" s="19"/>
      <c r="D59" s="19"/>
      <c r="E59" s="19"/>
      <c r="F59" s="19"/>
      <c r="G59" s="19"/>
      <c r="H59" s="19"/>
      <c r="I59" s="19"/>
      <c r="J59" s="19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19"/>
      <c r="C61" s="19"/>
      <c r="D61" s="19"/>
      <c r="E61" s="19"/>
      <c r="F61" s="19"/>
      <c r="G61" s="19"/>
      <c r="H61" s="19"/>
      <c r="I61" s="19"/>
      <c r="J61" s="19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0"/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8" min="4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0" t="s">
        <v>168</v>
      </c>
      <c r="B1" s="50"/>
      <c r="C1" s="50"/>
      <c r="D1" s="50"/>
      <c r="E1" s="50"/>
      <c r="F1" s="50"/>
      <c r="G1" s="50"/>
      <c r="H1" s="50"/>
      <c r="I1" s="50"/>
    </row>
    <row r="2" customFormat="false" ht="25.5" hidden="false" customHeight="true" outlineLevel="0" collapsed="false">
      <c r="A2" s="51" t="s">
        <v>169</v>
      </c>
      <c r="B2" s="51"/>
      <c r="C2" s="51"/>
      <c r="D2" s="51"/>
      <c r="E2" s="51"/>
      <c r="F2" s="51"/>
      <c r="G2" s="51"/>
      <c r="H2" s="51"/>
      <c r="I2" s="51"/>
    </row>
    <row r="3" customFormat="false" ht="23.85" hidden="false" customHeight="false" outlineLevel="0" collapsed="false">
      <c r="A3" s="52" t="s">
        <v>32</v>
      </c>
      <c r="B3" s="52" t="s">
        <v>42</v>
      </c>
      <c r="C3" s="52" t="s">
        <v>85</v>
      </c>
      <c r="D3" s="52" t="s">
        <v>170</v>
      </c>
      <c r="E3" s="52" t="s">
        <v>171</v>
      </c>
      <c r="F3" s="52" t="s">
        <v>172</v>
      </c>
      <c r="G3" s="52" t="s">
        <v>173</v>
      </c>
      <c r="H3" s="52" t="s">
        <v>174</v>
      </c>
      <c r="I3" s="52" t="s">
        <v>52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19"/>
    </row>
    <row r="35" customFormat="false" ht="25.5" hidden="false" customHeight="true" outlineLevel="0" collapsed="false">
      <c r="A35" s="23" t="s">
        <v>175</v>
      </c>
      <c r="B35" s="23"/>
      <c r="C35" s="23"/>
      <c r="D35" s="23"/>
      <c r="E35" s="23"/>
      <c r="F35" s="23"/>
      <c r="G35" s="23"/>
      <c r="H35" s="23"/>
      <c r="I35" s="23"/>
    </row>
    <row r="36" customFormat="false" ht="23.85" hidden="false" customHeight="false" outlineLevel="0" collapsed="false">
      <c r="A36" s="52" t="s">
        <v>2</v>
      </c>
      <c r="B36" s="52" t="s">
        <v>176</v>
      </c>
      <c r="C36" s="52" t="s">
        <v>177</v>
      </c>
      <c r="D36" s="52" t="s">
        <v>178</v>
      </c>
      <c r="E36" s="52" t="s">
        <v>179</v>
      </c>
      <c r="F36" s="52" t="s">
        <v>180</v>
      </c>
      <c r="G36" s="52" t="s">
        <v>181</v>
      </c>
      <c r="H36" s="52" t="s">
        <v>182</v>
      </c>
      <c r="I36" s="52" t="s">
        <v>183</v>
      </c>
    </row>
    <row r="37" customFormat="false" ht="30" hidden="false" customHeight="true" outlineLevel="0" collapsed="false">
      <c r="A37" s="4" t="n">
        <v>1</v>
      </c>
      <c r="B37" s="6" t="s">
        <v>184</v>
      </c>
      <c r="C37" s="19"/>
      <c r="D37" s="19"/>
      <c r="E37" s="19"/>
      <c r="F37" s="19"/>
      <c r="G37" s="19"/>
      <c r="H37" s="19"/>
      <c r="I37" s="19"/>
    </row>
    <row r="38" customFormat="false" ht="30" hidden="false" customHeight="true" outlineLevel="0" collapsed="false">
      <c r="A38" s="8" t="n">
        <v>2</v>
      </c>
      <c r="B38" s="10" t="s">
        <v>185</v>
      </c>
      <c r="C38" s="17"/>
      <c r="D38" s="17"/>
      <c r="E38" s="17"/>
      <c r="F38" s="17"/>
      <c r="G38" s="17"/>
      <c r="H38" s="17"/>
      <c r="I38" s="17"/>
    </row>
    <row r="39" customFormat="false" ht="30" hidden="false" customHeight="true" outlineLevel="0" collapsed="false">
      <c r="A39" s="4" t="n">
        <v>3</v>
      </c>
      <c r="B39" s="6" t="s">
        <v>186</v>
      </c>
      <c r="C39" s="19"/>
      <c r="D39" s="19"/>
      <c r="E39" s="19"/>
      <c r="F39" s="19"/>
      <c r="G39" s="19"/>
      <c r="H39" s="19"/>
      <c r="I39" s="19"/>
    </row>
    <row r="40" customFormat="false" ht="30" hidden="false" customHeight="true" outlineLevel="0" collapsed="false">
      <c r="A40" s="8" t="n">
        <v>4</v>
      </c>
      <c r="B40" s="10" t="s">
        <v>187</v>
      </c>
      <c r="C40" s="17"/>
      <c r="D40" s="17"/>
      <c r="E40" s="17"/>
      <c r="F40" s="17"/>
      <c r="G40" s="17"/>
      <c r="H40" s="17"/>
      <c r="I40" s="17"/>
    </row>
    <row r="41" customFormat="false" ht="30" hidden="false" customHeight="true" outlineLevel="0" collapsed="false">
      <c r="A41" s="4" t="n">
        <v>5</v>
      </c>
      <c r="B41" s="6" t="s">
        <v>188</v>
      </c>
      <c r="C41" s="19"/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8" t="n">
        <v>6</v>
      </c>
      <c r="B42" s="10" t="s">
        <v>189</v>
      </c>
      <c r="C42" s="17"/>
      <c r="D42" s="17"/>
      <c r="E42" s="17"/>
      <c r="F42" s="17"/>
      <c r="G42" s="17"/>
      <c r="H42" s="17"/>
      <c r="I42" s="17"/>
    </row>
    <row r="43" customFormat="false" ht="30" hidden="false" customHeight="true" outlineLevel="0" collapsed="false">
      <c r="A43" s="4" t="n">
        <v>7</v>
      </c>
      <c r="B43" s="6" t="s">
        <v>190</v>
      </c>
      <c r="C43" s="19"/>
      <c r="D43" s="19"/>
      <c r="E43" s="19"/>
      <c r="F43" s="19"/>
      <c r="G43" s="19"/>
      <c r="H43" s="19"/>
      <c r="I43" s="19"/>
    </row>
    <row r="44" customFormat="false" ht="30" hidden="false" customHeight="true" outlineLevel="0" collapsed="false">
      <c r="A44" s="8" t="n">
        <v>8</v>
      </c>
      <c r="B44" s="10" t="s">
        <v>191</v>
      </c>
      <c r="C44" s="17"/>
      <c r="D44" s="17"/>
      <c r="E44" s="17"/>
      <c r="F44" s="17"/>
      <c r="G44" s="17"/>
      <c r="H44" s="17"/>
      <c r="I44" s="17"/>
    </row>
    <row r="45" customFormat="false" ht="30" hidden="false" customHeight="true" outlineLevel="0" collapsed="false">
      <c r="A45" s="4" t="n">
        <v>9</v>
      </c>
      <c r="B45" s="6" t="s">
        <v>192</v>
      </c>
      <c r="C45" s="19"/>
      <c r="D45" s="19"/>
      <c r="E45" s="19"/>
      <c r="F45" s="19"/>
      <c r="G45" s="19"/>
      <c r="H45" s="19"/>
      <c r="I45" s="19"/>
    </row>
    <row r="46" customFormat="false" ht="30" hidden="false" customHeight="true" outlineLevel="0" collapsed="false">
      <c r="A46" s="8" t="n">
        <v>10</v>
      </c>
      <c r="B46" s="10" t="s">
        <v>193</v>
      </c>
      <c r="C46" s="17"/>
      <c r="D46" s="17"/>
      <c r="E46" s="17"/>
      <c r="F46" s="17"/>
      <c r="G46" s="17"/>
      <c r="H46" s="17"/>
      <c r="I46" s="17"/>
    </row>
  </sheetData>
  <mergeCells count="3">
    <mergeCell ref="A1:I1"/>
    <mergeCell ref="A2:I2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53" t="s">
        <v>194</v>
      </c>
      <c r="B1" s="53"/>
      <c r="C1" s="53"/>
      <c r="D1" s="53"/>
      <c r="E1" s="53"/>
      <c r="F1" s="53"/>
      <c r="G1" s="53"/>
    </row>
    <row r="2" customFormat="false" ht="25.5" hidden="false" customHeight="true" outlineLevel="0" collapsed="false">
      <c r="A2" s="54" t="s">
        <v>195</v>
      </c>
      <c r="B2" s="54"/>
      <c r="C2" s="54"/>
      <c r="D2" s="54"/>
      <c r="E2" s="54"/>
      <c r="F2" s="54"/>
      <c r="G2" s="54"/>
    </row>
    <row r="3" customFormat="false" ht="35.05" hidden="false" customHeight="false" outlineLevel="0" collapsed="false">
      <c r="A3" s="55" t="s">
        <v>2</v>
      </c>
      <c r="B3" s="55" t="s">
        <v>42</v>
      </c>
      <c r="C3" s="55" t="s">
        <v>196</v>
      </c>
      <c r="D3" s="55" t="s">
        <v>106</v>
      </c>
      <c r="E3" s="55" t="s">
        <v>197</v>
      </c>
      <c r="F3" s="55" t="s">
        <v>198</v>
      </c>
      <c r="G3" s="55" t="s">
        <v>199</v>
      </c>
    </row>
    <row r="4" customFormat="false" ht="30" hidden="false" customHeight="true" outlineLevel="0" collapsed="false">
      <c r="A4" s="8" t="n">
        <v>1</v>
      </c>
      <c r="B4" s="17"/>
      <c r="C4" s="10" t="s">
        <v>200</v>
      </c>
      <c r="D4" s="17"/>
      <c r="E4" s="17"/>
      <c r="F4" s="17"/>
      <c r="G4" s="17"/>
    </row>
    <row r="5" customFormat="false" ht="30" hidden="false" customHeight="true" outlineLevel="0" collapsed="false">
      <c r="A5" s="4" t="n">
        <v>2</v>
      </c>
      <c r="B5" s="19"/>
      <c r="C5" s="6" t="s">
        <v>201</v>
      </c>
      <c r="D5" s="19"/>
      <c r="E5" s="19"/>
      <c r="F5" s="19"/>
      <c r="G5" s="19"/>
    </row>
    <row r="6" customFormat="false" ht="30" hidden="false" customHeight="true" outlineLevel="0" collapsed="false">
      <c r="A6" s="8" t="n">
        <v>3</v>
      </c>
      <c r="B6" s="17"/>
      <c r="C6" s="10" t="s">
        <v>202</v>
      </c>
      <c r="D6" s="17"/>
      <c r="E6" s="17"/>
      <c r="F6" s="17"/>
      <c r="G6" s="17"/>
    </row>
    <row r="7" customFormat="false" ht="30" hidden="false" customHeight="true" outlineLevel="0" collapsed="false">
      <c r="A7" s="4" t="n">
        <v>4</v>
      </c>
      <c r="B7" s="19"/>
      <c r="C7" s="6" t="s">
        <v>203</v>
      </c>
      <c r="D7" s="19"/>
      <c r="E7" s="19"/>
      <c r="F7" s="19"/>
      <c r="G7" s="19"/>
    </row>
    <row r="8" customFormat="false" ht="30" hidden="false" customHeight="true" outlineLevel="0" collapsed="false">
      <c r="A8" s="8" t="n">
        <v>5</v>
      </c>
      <c r="B8" s="17"/>
      <c r="C8" s="10" t="s">
        <v>204</v>
      </c>
      <c r="D8" s="17"/>
      <c r="E8" s="17"/>
      <c r="F8" s="17"/>
      <c r="G8" s="17"/>
    </row>
    <row r="9" customFormat="false" ht="30" hidden="false" customHeight="true" outlineLevel="0" collapsed="false">
      <c r="A9" s="4" t="n">
        <v>6</v>
      </c>
      <c r="B9" s="19"/>
      <c r="C9" s="6" t="s">
        <v>205</v>
      </c>
      <c r="D9" s="19"/>
      <c r="E9" s="19"/>
      <c r="F9" s="19"/>
      <c r="G9" s="19"/>
    </row>
    <row r="10" customFormat="false" ht="30" hidden="false" customHeight="true" outlineLevel="0" collapsed="false">
      <c r="A10" s="8" t="n">
        <v>7</v>
      </c>
      <c r="B10" s="17"/>
      <c r="C10" s="10" t="s">
        <v>206</v>
      </c>
      <c r="D10" s="17"/>
      <c r="E10" s="17"/>
      <c r="F10" s="17"/>
      <c r="G10" s="17"/>
    </row>
    <row r="11" customFormat="false" ht="30" hidden="false" customHeight="true" outlineLevel="0" collapsed="false">
      <c r="A11" s="4" t="n">
        <v>8</v>
      </c>
      <c r="B11" s="19"/>
      <c r="C11" s="6" t="s">
        <v>207</v>
      </c>
      <c r="D11" s="19"/>
      <c r="E11" s="19"/>
      <c r="F11" s="19"/>
      <c r="G11" s="19"/>
    </row>
    <row r="12" customFormat="false" ht="30" hidden="false" customHeight="true" outlineLevel="0" collapsed="false">
      <c r="A12" s="8" t="n">
        <v>9</v>
      </c>
      <c r="B12" s="17"/>
      <c r="C12" s="10" t="s">
        <v>208</v>
      </c>
      <c r="D12" s="17"/>
      <c r="E12" s="17"/>
      <c r="F12" s="17"/>
      <c r="G12" s="17"/>
    </row>
    <row r="13" customFormat="false" ht="30" hidden="false" customHeight="true" outlineLevel="0" collapsed="false">
      <c r="A13" s="4" t="n">
        <v>10</v>
      </c>
      <c r="B13" s="19"/>
      <c r="C13" s="6" t="s">
        <v>209</v>
      </c>
      <c r="D13" s="19"/>
      <c r="E13" s="19"/>
      <c r="F13" s="19"/>
      <c r="G13" s="19"/>
    </row>
    <row r="14" customFormat="false" ht="30" hidden="false" customHeight="true" outlineLevel="0" collapsed="false">
      <c r="A14" s="8" t="n">
        <v>11</v>
      </c>
      <c r="B14" s="17"/>
      <c r="C14" s="10" t="s">
        <v>210</v>
      </c>
      <c r="D14" s="17"/>
      <c r="E14" s="17"/>
      <c r="F14" s="17"/>
      <c r="G14" s="17"/>
    </row>
    <row r="15" customFormat="false" ht="30" hidden="false" customHeight="true" outlineLevel="0" collapsed="false">
      <c r="A15" s="4" t="n">
        <v>12</v>
      </c>
      <c r="B15" s="19"/>
      <c r="C15" s="6" t="s">
        <v>211</v>
      </c>
      <c r="D15" s="19"/>
      <c r="E15" s="19"/>
      <c r="F15" s="19"/>
      <c r="G15" s="19"/>
    </row>
    <row r="16" customFormat="false" ht="30" hidden="false" customHeight="true" outlineLevel="0" collapsed="false">
      <c r="A16" s="8" t="n">
        <v>13</v>
      </c>
      <c r="B16" s="17"/>
      <c r="C16" s="10" t="s">
        <v>212</v>
      </c>
      <c r="D16" s="17"/>
      <c r="E16" s="17"/>
      <c r="F16" s="17"/>
      <c r="G16" s="17"/>
    </row>
    <row r="17" customFormat="false" ht="30" hidden="false" customHeight="true" outlineLevel="0" collapsed="false">
      <c r="A17" s="4" t="n">
        <v>14</v>
      </c>
      <c r="B17" s="19"/>
      <c r="C17" s="6" t="s">
        <v>213</v>
      </c>
      <c r="D17" s="19"/>
      <c r="E17" s="19"/>
      <c r="F17" s="19"/>
      <c r="G17" s="19"/>
    </row>
    <row r="18" customFormat="false" ht="30" hidden="false" customHeight="true" outlineLevel="0" collapsed="false">
      <c r="A18" s="8" t="n">
        <v>15</v>
      </c>
      <c r="B18" s="17"/>
      <c r="C18" s="10" t="s">
        <v>214</v>
      </c>
      <c r="D18" s="17"/>
      <c r="E18" s="17"/>
      <c r="F18" s="17"/>
      <c r="G18" s="17"/>
    </row>
    <row r="19" customFormat="false" ht="30" hidden="false" customHeight="true" outlineLevel="0" collapsed="false">
      <c r="A19" s="4" t="n">
        <v>16</v>
      </c>
      <c r="B19" s="19"/>
      <c r="C19" s="6" t="s">
        <v>215</v>
      </c>
      <c r="D19" s="19"/>
      <c r="E19" s="19"/>
      <c r="F19" s="19"/>
      <c r="G19" s="19"/>
    </row>
    <row r="20" customFormat="false" ht="30" hidden="false" customHeight="true" outlineLevel="0" collapsed="false">
      <c r="A20" s="8" t="n">
        <v>17</v>
      </c>
      <c r="B20" s="17"/>
      <c r="C20" s="10" t="s">
        <v>216</v>
      </c>
      <c r="D20" s="17"/>
      <c r="E20" s="17"/>
      <c r="F20" s="17"/>
      <c r="G20" s="17"/>
    </row>
    <row r="21" customFormat="false" ht="30" hidden="false" customHeight="true" outlineLevel="0" collapsed="false">
      <c r="A21" s="4" t="n">
        <v>18</v>
      </c>
      <c r="B21" s="19"/>
      <c r="C21" s="6" t="s">
        <v>217</v>
      </c>
      <c r="D21" s="19"/>
      <c r="E21" s="19"/>
      <c r="F21" s="19"/>
      <c r="G21" s="19"/>
    </row>
    <row r="23" customFormat="false" ht="25.5" hidden="false" customHeight="true" outlineLevel="0" collapsed="false">
      <c r="A23" s="21" t="s">
        <v>218</v>
      </c>
      <c r="B23" s="21"/>
      <c r="C23" s="21"/>
      <c r="D23" s="21"/>
      <c r="E23" s="21"/>
      <c r="F23" s="21"/>
      <c r="G23" s="21"/>
    </row>
    <row r="24" customFormat="false" ht="15" hidden="false" customHeight="true" outlineLevel="0" collapsed="false">
      <c r="A24" s="38" t="s">
        <v>219</v>
      </c>
      <c r="B24" s="38"/>
      <c r="C24" s="38"/>
      <c r="D24" s="41" t="n">
        <f aca="false">COUNTIF(D4:D21,"Implemented")</f>
        <v>0</v>
      </c>
      <c r="E24" s="40"/>
      <c r="F24" s="40"/>
      <c r="G24" s="40"/>
    </row>
    <row r="25" customFormat="false" ht="15" hidden="false" customHeight="true" outlineLevel="0" collapsed="false">
      <c r="A25" s="38" t="s">
        <v>220</v>
      </c>
      <c r="B25" s="38"/>
      <c r="C25" s="38"/>
      <c r="D25" s="41" t="n">
        <f aca="false">IFERROR(COUNTIF(D4:D21,"Implemented")/18*100,0)</f>
        <v>0</v>
      </c>
      <c r="E25" s="40"/>
      <c r="F25" s="40"/>
      <c r="G25" s="40"/>
    </row>
  </sheetData>
  <mergeCells count="5">
    <mergeCell ref="A1:G1"/>
    <mergeCell ref="A2:G2"/>
    <mergeCell ref="A23:G23"/>
    <mergeCell ref="A24:C24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6" t="s">
        <v>221</v>
      </c>
      <c r="B1" s="56"/>
      <c r="C1" s="56"/>
      <c r="D1" s="56"/>
      <c r="E1" s="56"/>
      <c r="F1" s="56"/>
      <c r="G1" s="56"/>
      <c r="H1" s="56"/>
      <c r="I1" s="56"/>
    </row>
    <row r="2" customFormat="false" ht="25.5" hidden="false" customHeight="true" outlineLevel="0" collapsed="false">
      <c r="A2" s="15" t="s">
        <v>222</v>
      </c>
      <c r="B2" s="15"/>
      <c r="C2" s="15"/>
      <c r="D2" s="15"/>
      <c r="E2" s="15"/>
      <c r="F2" s="15"/>
      <c r="G2" s="15"/>
      <c r="H2" s="15"/>
      <c r="I2" s="15"/>
    </row>
    <row r="3" customFormat="false" ht="23.85" hidden="false" customHeight="false" outlineLevel="0" collapsed="false">
      <c r="A3" s="57" t="s">
        <v>32</v>
      </c>
      <c r="B3" s="57" t="s">
        <v>42</v>
      </c>
      <c r="C3" s="57" t="s">
        <v>223</v>
      </c>
      <c r="D3" s="57" t="s">
        <v>224</v>
      </c>
      <c r="E3" s="57" t="s">
        <v>225</v>
      </c>
      <c r="F3" s="57" t="s">
        <v>226</v>
      </c>
      <c r="G3" s="57" t="s">
        <v>227</v>
      </c>
      <c r="H3" s="57" t="s">
        <v>228</v>
      </c>
      <c r="I3" s="57" t="s">
        <v>229</v>
      </c>
    </row>
    <row r="4" customFormat="false" ht="15" hidden="false" customHeight="false" outlineLevel="0" collapsed="false">
      <c r="B4" s="58" t="s">
        <v>230</v>
      </c>
      <c r="C4" s="59" t="n">
        <v>0.3</v>
      </c>
      <c r="D4" s="59" t="n">
        <v>0.25</v>
      </c>
      <c r="E4" s="59" t="n">
        <v>0.2</v>
      </c>
      <c r="F4" s="59" t="n">
        <v>0.15</v>
      </c>
      <c r="G4" s="59" t="n">
        <v>0.1</v>
      </c>
    </row>
    <row r="5" customFormat="false" ht="15" hidden="false" customHeight="false" outlineLevel="0" collapsed="false">
      <c r="A5" s="4" t="n">
        <v>1</v>
      </c>
      <c r="B5" s="19"/>
      <c r="C5" s="20"/>
      <c r="D5" s="20"/>
      <c r="E5" s="20"/>
      <c r="F5" s="20"/>
      <c r="G5" s="20"/>
      <c r="H5" s="60" t="n">
        <f aca="false">C5*$C$4+D5*$D$4+E5*$E$4+F5*$F$4+G5*$G$4</f>
        <v>0</v>
      </c>
      <c r="I5" s="7" t="n">
        <f aca="false">IFERROR(RANK(H5,$H$5:$H$34,0),"")</f>
        <v>1</v>
      </c>
    </row>
    <row r="6" customFormat="false" ht="15" hidden="false" customHeight="false" outlineLevel="0" collapsed="false">
      <c r="A6" s="8" t="n">
        <v>2</v>
      </c>
      <c r="B6" s="17"/>
      <c r="C6" s="18"/>
      <c r="D6" s="18"/>
      <c r="E6" s="18"/>
      <c r="F6" s="18"/>
      <c r="G6" s="18"/>
      <c r="H6" s="61" t="n">
        <f aca="false">C6*$C$4+D6*$D$4+E6*$E$4+F6*$F$4+G6*$G$4</f>
        <v>0</v>
      </c>
      <c r="I6" s="11" t="n">
        <f aca="false">IFERROR(RANK(H6,$H$5:$H$34,0),"")</f>
        <v>1</v>
      </c>
    </row>
    <row r="7" customFormat="false" ht="15" hidden="false" customHeight="false" outlineLevel="0" collapsed="false">
      <c r="A7" s="4" t="n">
        <v>3</v>
      </c>
      <c r="B7" s="19"/>
      <c r="C7" s="20"/>
      <c r="D7" s="20"/>
      <c r="E7" s="20"/>
      <c r="F7" s="20"/>
      <c r="G7" s="20"/>
      <c r="H7" s="60" t="n">
        <f aca="false">C7*$C$4+D7*$D$4+E7*$E$4+F7*$F$4+G7*$G$4</f>
        <v>0</v>
      </c>
      <c r="I7" s="7" t="n">
        <f aca="false">IFERROR(RANK(H7,$H$5:$H$34,0),"")</f>
        <v>1</v>
      </c>
    </row>
    <row r="8" customFormat="false" ht="15" hidden="false" customHeight="false" outlineLevel="0" collapsed="false">
      <c r="A8" s="8" t="n">
        <v>4</v>
      </c>
      <c r="B8" s="17"/>
      <c r="C8" s="18"/>
      <c r="D8" s="18"/>
      <c r="E8" s="18"/>
      <c r="F8" s="18"/>
      <c r="G8" s="18"/>
      <c r="H8" s="61" t="n">
        <f aca="false">C8*$C$4+D8*$D$4+E8*$E$4+F8*$F$4+G8*$G$4</f>
        <v>0</v>
      </c>
      <c r="I8" s="11" t="n">
        <f aca="false">IFERROR(RANK(H8,$H$5:$H$34,0),"")</f>
        <v>1</v>
      </c>
    </row>
    <row r="9" customFormat="false" ht="15" hidden="false" customHeight="false" outlineLevel="0" collapsed="false">
      <c r="A9" s="4" t="n">
        <v>5</v>
      </c>
      <c r="B9" s="19"/>
      <c r="C9" s="20"/>
      <c r="D9" s="20"/>
      <c r="E9" s="20"/>
      <c r="F9" s="20"/>
      <c r="G9" s="20"/>
      <c r="H9" s="60" t="n">
        <f aca="false">C9*$C$4+D9*$D$4+E9*$E$4+F9*$F$4+G9*$G$4</f>
        <v>0</v>
      </c>
      <c r="I9" s="7" t="n">
        <f aca="false">IFERROR(RANK(H9,$H$5:$H$34,0),"")</f>
        <v>1</v>
      </c>
    </row>
    <row r="10" customFormat="false" ht="15" hidden="false" customHeight="false" outlineLevel="0" collapsed="false">
      <c r="A10" s="8" t="n">
        <v>6</v>
      </c>
      <c r="B10" s="17"/>
      <c r="C10" s="18"/>
      <c r="D10" s="18"/>
      <c r="E10" s="18"/>
      <c r="F10" s="18"/>
      <c r="G10" s="18"/>
      <c r="H10" s="61" t="n">
        <f aca="false">C10*$C$4+D10*$D$4+E10*$E$4+F10*$F$4+G10*$G$4</f>
        <v>0</v>
      </c>
      <c r="I10" s="11" t="n">
        <f aca="false">IFERROR(RANK(H10,$H$5:$H$34,0),"")</f>
        <v>1</v>
      </c>
    </row>
    <row r="11" customFormat="false" ht="15" hidden="false" customHeight="false" outlineLevel="0" collapsed="false">
      <c r="A11" s="4" t="n">
        <v>7</v>
      </c>
      <c r="B11" s="19"/>
      <c r="C11" s="20"/>
      <c r="D11" s="20"/>
      <c r="E11" s="20"/>
      <c r="F11" s="20"/>
      <c r="G11" s="20"/>
      <c r="H11" s="60" t="n">
        <f aca="false">C11*$C$4+D11*$D$4+E11*$E$4+F11*$F$4+G11*$G$4</f>
        <v>0</v>
      </c>
      <c r="I11" s="7" t="n">
        <f aca="false">IFERROR(RANK(H11,$H$5:$H$34,0),"")</f>
        <v>1</v>
      </c>
    </row>
    <row r="12" customFormat="false" ht="15" hidden="false" customHeight="false" outlineLevel="0" collapsed="false">
      <c r="A12" s="8" t="n">
        <v>8</v>
      </c>
      <c r="B12" s="17"/>
      <c r="C12" s="18"/>
      <c r="D12" s="18"/>
      <c r="E12" s="18"/>
      <c r="F12" s="18"/>
      <c r="G12" s="18"/>
      <c r="H12" s="61" t="n">
        <f aca="false">C12*$C$4+D12*$D$4+E12*$E$4+F12*$F$4+G12*$G$4</f>
        <v>0</v>
      </c>
      <c r="I12" s="11" t="n">
        <f aca="false">IFERROR(RANK(H12,$H$5:$H$34,0),"")</f>
        <v>1</v>
      </c>
    </row>
    <row r="13" customFormat="false" ht="15" hidden="false" customHeight="false" outlineLevel="0" collapsed="false">
      <c r="A13" s="4" t="n">
        <v>9</v>
      </c>
      <c r="B13" s="19"/>
      <c r="C13" s="20"/>
      <c r="D13" s="20"/>
      <c r="E13" s="20"/>
      <c r="F13" s="20"/>
      <c r="G13" s="20"/>
      <c r="H13" s="60" t="n">
        <f aca="false">C13*$C$4+D13*$D$4+E13*$E$4+F13*$F$4+G13*$G$4</f>
        <v>0</v>
      </c>
      <c r="I13" s="7" t="n">
        <f aca="false">IFERROR(RANK(H13,$H$5:$H$34,0),"")</f>
        <v>1</v>
      </c>
    </row>
    <row r="14" customFormat="false" ht="15" hidden="false" customHeight="false" outlineLevel="0" collapsed="false">
      <c r="A14" s="8" t="n">
        <v>10</v>
      </c>
      <c r="B14" s="17"/>
      <c r="C14" s="18"/>
      <c r="D14" s="18"/>
      <c r="E14" s="18"/>
      <c r="F14" s="18"/>
      <c r="G14" s="18"/>
      <c r="H14" s="61" t="n">
        <f aca="false">C14*$C$4+D14*$D$4+E14*$E$4+F14*$F$4+G14*$G$4</f>
        <v>0</v>
      </c>
      <c r="I14" s="11" t="n">
        <f aca="false">IFERROR(RANK(H14,$H$5:$H$34,0),"")</f>
        <v>1</v>
      </c>
    </row>
    <row r="15" customFormat="false" ht="15" hidden="false" customHeight="false" outlineLevel="0" collapsed="false">
      <c r="A15" s="4" t="n">
        <v>11</v>
      </c>
      <c r="B15" s="19"/>
      <c r="C15" s="20"/>
      <c r="D15" s="20"/>
      <c r="E15" s="20"/>
      <c r="F15" s="20"/>
      <c r="G15" s="20"/>
      <c r="H15" s="60" t="n">
        <f aca="false">C15*$C$4+D15*$D$4+E15*$E$4+F15*$F$4+G15*$G$4</f>
        <v>0</v>
      </c>
      <c r="I15" s="7" t="n">
        <f aca="false">IFERROR(RANK(H15,$H$5:$H$34,0),"")</f>
        <v>1</v>
      </c>
    </row>
    <row r="16" customFormat="false" ht="15" hidden="false" customHeight="false" outlineLevel="0" collapsed="false">
      <c r="A16" s="8" t="n">
        <v>12</v>
      </c>
      <c r="B16" s="17"/>
      <c r="C16" s="18"/>
      <c r="D16" s="18"/>
      <c r="E16" s="18"/>
      <c r="F16" s="18"/>
      <c r="G16" s="18"/>
      <c r="H16" s="61" t="n">
        <f aca="false">C16*$C$4+D16*$D$4+E16*$E$4+F16*$F$4+G16*$G$4</f>
        <v>0</v>
      </c>
      <c r="I16" s="11" t="n">
        <f aca="false">IFERROR(RANK(H16,$H$5:$H$34,0),"")</f>
        <v>1</v>
      </c>
    </row>
    <row r="17" customFormat="false" ht="15" hidden="false" customHeight="false" outlineLevel="0" collapsed="false">
      <c r="A17" s="4" t="n">
        <v>13</v>
      </c>
      <c r="B17" s="19"/>
      <c r="C17" s="20"/>
      <c r="D17" s="20"/>
      <c r="E17" s="20"/>
      <c r="F17" s="20"/>
      <c r="G17" s="20"/>
      <c r="H17" s="60" t="n">
        <f aca="false">C17*$C$4+D17*$D$4+E17*$E$4+F17*$F$4+G17*$G$4</f>
        <v>0</v>
      </c>
      <c r="I17" s="7" t="n">
        <f aca="false">IFERROR(RANK(H17,$H$5:$H$34,0),"")</f>
        <v>1</v>
      </c>
    </row>
    <row r="18" customFormat="false" ht="15" hidden="false" customHeight="false" outlineLevel="0" collapsed="false">
      <c r="A18" s="8" t="n">
        <v>14</v>
      </c>
      <c r="B18" s="17"/>
      <c r="C18" s="18"/>
      <c r="D18" s="18"/>
      <c r="E18" s="18"/>
      <c r="F18" s="18"/>
      <c r="G18" s="18"/>
      <c r="H18" s="61" t="n">
        <f aca="false">C18*$C$4+D18*$D$4+E18*$E$4+F18*$F$4+G18*$G$4</f>
        <v>0</v>
      </c>
      <c r="I18" s="11" t="n">
        <f aca="false">IFERROR(RANK(H18,$H$5:$H$34,0),"")</f>
        <v>1</v>
      </c>
    </row>
    <row r="19" customFormat="false" ht="15" hidden="false" customHeight="false" outlineLevel="0" collapsed="false">
      <c r="A19" s="4" t="n">
        <v>15</v>
      </c>
      <c r="B19" s="19"/>
      <c r="C19" s="20"/>
      <c r="D19" s="20"/>
      <c r="E19" s="20"/>
      <c r="F19" s="20"/>
      <c r="G19" s="20"/>
      <c r="H19" s="60" t="n">
        <f aca="false">C19*$C$4+D19*$D$4+E19*$E$4+F19*$F$4+G19*$G$4</f>
        <v>0</v>
      </c>
      <c r="I19" s="7" t="n">
        <f aca="false">IFERROR(RANK(H19,$H$5:$H$34,0),"")</f>
        <v>1</v>
      </c>
    </row>
    <row r="20" customFormat="false" ht="15" hidden="false" customHeight="false" outlineLevel="0" collapsed="false">
      <c r="A20" s="8" t="n">
        <v>16</v>
      </c>
      <c r="B20" s="17"/>
      <c r="C20" s="18"/>
      <c r="D20" s="18"/>
      <c r="E20" s="18"/>
      <c r="F20" s="18"/>
      <c r="G20" s="18"/>
      <c r="H20" s="61" t="n">
        <f aca="false">C20*$C$4+D20*$D$4+E20*$E$4+F20*$F$4+G20*$G$4</f>
        <v>0</v>
      </c>
      <c r="I20" s="11" t="n">
        <f aca="false">IFERROR(RANK(H20,$H$5:$H$34,0),"")</f>
        <v>1</v>
      </c>
    </row>
    <row r="21" customFormat="false" ht="15" hidden="false" customHeight="false" outlineLevel="0" collapsed="false">
      <c r="A21" s="4" t="n">
        <v>17</v>
      </c>
      <c r="B21" s="19"/>
      <c r="C21" s="20"/>
      <c r="D21" s="20"/>
      <c r="E21" s="20"/>
      <c r="F21" s="20"/>
      <c r="G21" s="20"/>
      <c r="H21" s="60" t="n">
        <f aca="false">C21*$C$4+D21*$D$4+E21*$E$4+F21*$F$4+G21*$G$4</f>
        <v>0</v>
      </c>
      <c r="I21" s="7" t="n">
        <f aca="false">IFERROR(RANK(H21,$H$5:$H$34,0),"")</f>
        <v>1</v>
      </c>
    </row>
    <row r="22" customFormat="false" ht="15" hidden="false" customHeight="false" outlineLevel="0" collapsed="false">
      <c r="A22" s="8" t="n">
        <v>18</v>
      </c>
      <c r="B22" s="17"/>
      <c r="C22" s="18"/>
      <c r="D22" s="18"/>
      <c r="E22" s="18"/>
      <c r="F22" s="18"/>
      <c r="G22" s="18"/>
      <c r="H22" s="61" t="n">
        <f aca="false">C22*$C$4+D22*$D$4+E22*$E$4+F22*$F$4+G22*$G$4</f>
        <v>0</v>
      </c>
      <c r="I22" s="11" t="n">
        <f aca="false">IFERROR(RANK(H22,$H$5:$H$34,0),"")</f>
        <v>1</v>
      </c>
    </row>
    <row r="23" customFormat="false" ht="15" hidden="false" customHeight="false" outlineLevel="0" collapsed="false">
      <c r="A23" s="4" t="n">
        <v>19</v>
      </c>
      <c r="B23" s="19"/>
      <c r="C23" s="20"/>
      <c r="D23" s="20"/>
      <c r="E23" s="20"/>
      <c r="F23" s="20"/>
      <c r="G23" s="20"/>
      <c r="H23" s="60" t="n">
        <f aca="false">C23*$C$4+D23*$D$4+E23*$E$4+F23*$F$4+G23*$G$4</f>
        <v>0</v>
      </c>
      <c r="I23" s="7" t="n">
        <f aca="false">IFERROR(RANK(H23,$H$5:$H$34,0),"")</f>
        <v>1</v>
      </c>
    </row>
    <row r="24" customFormat="false" ht="15" hidden="false" customHeight="false" outlineLevel="0" collapsed="false">
      <c r="A24" s="8" t="n">
        <v>20</v>
      </c>
      <c r="B24" s="17"/>
      <c r="C24" s="18"/>
      <c r="D24" s="18"/>
      <c r="E24" s="18"/>
      <c r="F24" s="18"/>
      <c r="G24" s="18"/>
      <c r="H24" s="61" t="n">
        <f aca="false">C24*$C$4+D24*$D$4+E24*$E$4+F24*$F$4+G24*$G$4</f>
        <v>0</v>
      </c>
      <c r="I24" s="11" t="n">
        <f aca="false">IFERROR(RANK(H24,$H$5:$H$34,0),"")</f>
        <v>1</v>
      </c>
    </row>
    <row r="25" customFormat="false" ht="15" hidden="false" customHeight="false" outlineLevel="0" collapsed="false">
      <c r="A25" s="4" t="n">
        <v>21</v>
      </c>
      <c r="B25" s="19"/>
      <c r="C25" s="20"/>
      <c r="D25" s="20"/>
      <c r="E25" s="20"/>
      <c r="F25" s="20"/>
      <c r="G25" s="20"/>
      <c r="H25" s="60" t="n">
        <f aca="false">C25*$C$4+D25*$D$4+E25*$E$4+F25*$F$4+G25*$G$4</f>
        <v>0</v>
      </c>
      <c r="I25" s="7" t="n">
        <f aca="false">IFERROR(RANK(H25,$H$5:$H$34,0),"")</f>
        <v>1</v>
      </c>
    </row>
    <row r="26" customFormat="false" ht="15" hidden="false" customHeight="false" outlineLevel="0" collapsed="false">
      <c r="A26" s="8" t="n">
        <v>22</v>
      </c>
      <c r="B26" s="17"/>
      <c r="C26" s="18"/>
      <c r="D26" s="18"/>
      <c r="E26" s="18"/>
      <c r="F26" s="18"/>
      <c r="G26" s="18"/>
      <c r="H26" s="61" t="n">
        <f aca="false">C26*$C$4+D26*$D$4+E26*$E$4+F26*$F$4+G26*$G$4</f>
        <v>0</v>
      </c>
      <c r="I26" s="11" t="n">
        <f aca="false">IFERROR(RANK(H26,$H$5:$H$34,0),"")</f>
        <v>1</v>
      </c>
    </row>
    <row r="27" customFormat="false" ht="15" hidden="false" customHeight="false" outlineLevel="0" collapsed="false">
      <c r="A27" s="4" t="n">
        <v>23</v>
      </c>
      <c r="B27" s="19"/>
      <c r="C27" s="20"/>
      <c r="D27" s="20"/>
      <c r="E27" s="20"/>
      <c r="F27" s="20"/>
      <c r="G27" s="20"/>
      <c r="H27" s="60" t="n">
        <f aca="false">C27*$C$4+D27*$D$4+E27*$E$4+F27*$F$4+G27*$G$4</f>
        <v>0</v>
      </c>
      <c r="I27" s="7" t="n">
        <f aca="false">IFERROR(RANK(H27,$H$5:$H$34,0),"")</f>
        <v>1</v>
      </c>
    </row>
    <row r="28" customFormat="false" ht="15" hidden="false" customHeight="false" outlineLevel="0" collapsed="false">
      <c r="A28" s="8" t="n">
        <v>24</v>
      </c>
      <c r="B28" s="17"/>
      <c r="C28" s="18"/>
      <c r="D28" s="18"/>
      <c r="E28" s="18"/>
      <c r="F28" s="18"/>
      <c r="G28" s="18"/>
      <c r="H28" s="61" t="n">
        <f aca="false">C28*$C$4+D28*$D$4+E28*$E$4+F28*$F$4+G28*$G$4</f>
        <v>0</v>
      </c>
      <c r="I28" s="11" t="n">
        <f aca="false">IFERROR(RANK(H28,$H$5:$H$34,0),"")</f>
        <v>1</v>
      </c>
    </row>
    <row r="29" customFormat="false" ht="15" hidden="false" customHeight="false" outlineLevel="0" collapsed="false">
      <c r="A29" s="4" t="n">
        <v>25</v>
      </c>
      <c r="B29" s="19"/>
      <c r="C29" s="20"/>
      <c r="D29" s="20"/>
      <c r="E29" s="20"/>
      <c r="F29" s="20"/>
      <c r="G29" s="20"/>
      <c r="H29" s="60" t="n">
        <f aca="false">C29*$C$4+D29*$D$4+E29*$E$4+F29*$F$4+G29*$G$4</f>
        <v>0</v>
      </c>
      <c r="I29" s="7" t="n">
        <f aca="false">IFERROR(RANK(H29,$H$5:$H$34,0),"")</f>
        <v>1</v>
      </c>
    </row>
    <row r="30" customFormat="false" ht="15" hidden="false" customHeight="false" outlineLevel="0" collapsed="false">
      <c r="A30" s="8" t="n">
        <v>26</v>
      </c>
      <c r="B30" s="17"/>
      <c r="C30" s="18"/>
      <c r="D30" s="18"/>
      <c r="E30" s="18"/>
      <c r="F30" s="18"/>
      <c r="G30" s="18"/>
      <c r="H30" s="61" t="n">
        <f aca="false">C30*$C$4+D30*$D$4+E30*$E$4+F30*$F$4+G30*$G$4</f>
        <v>0</v>
      </c>
      <c r="I30" s="11" t="n">
        <f aca="false">IFERROR(RANK(H30,$H$5:$H$34,0),"")</f>
        <v>1</v>
      </c>
    </row>
    <row r="31" customFormat="false" ht="15" hidden="false" customHeight="false" outlineLevel="0" collapsed="false">
      <c r="A31" s="4" t="n">
        <v>27</v>
      </c>
      <c r="B31" s="19"/>
      <c r="C31" s="20"/>
      <c r="D31" s="20"/>
      <c r="E31" s="20"/>
      <c r="F31" s="20"/>
      <c r="G31" s="20"/>
      <c r="H31" s="60" t="n">
        <f aca="false">C31*$C$4+D31*$D$4+E31*$E$4+F31*$F$4+G31*$G$4</f>
        <v>0</v>
      </c>
      <c r="I31" s="7" t="n">
        <f aca="false">IFERROR(RANK(H31,$H$5:$H$34,0),"")</f>
        <v>1</v>
      </c>
    </row>
    <row r="32" customFormat="false" ht="15" hidden="false" customHeight="false" outlineLevel="0" collapsed="false">
      <c r="A32" s="8" t="n">
        <v>28</v>
      </c>
      <c r="B32" s="17"/>
      <c r="C32" s="18"/>
      <c r="D32" s="18"/>
      <c r="E32" s="18"/>
      <c r="F32" s="18"/>
      <c r="G32" s="18"/>
      <c r="H32" s="61" t="n">
        <f aca="false">C32*$C$4+D32*$D$4+E32*$E$4+F32*$F$4+G32*$G$4</f>
        <v>0</v>
      </c>
      <c r="I32" s="11" t="n">
        <f aca="false">IFERROR(RANK(H32,$H$5:$H$34,0),"")</f>
        <v>1</v>
      </c>
    </row>
    <row r="33" customFormat="false" ht="15" hidden="false" customHeight="false" outlineLevel="0" collapsed="false">
      <c r="A33" s="4" t="n">
        <v>29</v>
      </c>
      <c r="B33" s="19"/>
      <c r="C33" s="20"/>
      <c r="D33" s="20"/>
      <c r="E33" s="20"/>
      <c r="F33" s="20"/>
      <c r="G33" s="20"/>
      <c r="H33" s="60" t="n">
        <f aca="false">C33*$C$4+D33*$D$4+E33*$E$4+F33*$F$4+G33*$G$4</f>
        <v>0</v>
      </c>
      <c r="I33" s="7" t="n">
        <f aca="false">IFERROR(RANK(H33,$H$5:$H$34,0),"")</f>
        <v>1</v>
      </c>
    </row>
    <row r="34" customFormat="false" ht="15" hidden="false" customHeight="false" outlineLevel="0" collapsed="false">
      <c r="A34" s="8" t="n">
        <v>30</v>
      </c>
      <c r="B34" s="17"/>
      <c r="C34" s="18"/>
      <c r="D34" s="18"/>
      <c r="E34" s="18"/>
      <c r="F34" s="18"/>
      <c r="G34" s="18"/>
      <c r="H34" s="61" t="n">
        <f aca="false">C34*$C$4+D34*$D$4+E34*$E$4+F34*$F$4+G34*$G$4</f>
        <v>0</v>
      </c>
      <c r="I34" s="11" t="n">
        <f aca="false">IFERROR(RANK(H34,$H$5:$H$34,0),"")</f>
        <v>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7" min="3" style="0" width="16"/>
    <col collapsed="false" customWidth="true" hidden="false" outlineLevel="0" max="8" min="8" style="0" width="18"/>
    <col collapsed="false" customWidth="true" hidden="false" outlineLevel="0" max="9" min="9" style="0" width="22"/>
  </cols>
  <sheetData>
    <row r="1" customFormat="false" ht="33.75" hidden="false" customHeight="true" outlineLevel="0" collapsed="false">
      <c r="A1" s="29" t="s">
        <v>231</v>
      </c>
      <c r="B1" s="29"/>
      <c r="C1" s="29"/>
      <c r="D1" s="29"/>
      <c r="E1" s="29"/>
      <c r="F1" s="29"/>
      <c r="G1" s="29"/>
      <c r="H1" s="29"/>
      <c r="I1" s="29"/>
    </row>
    <row r="2" customFormat="false" ht="25.5" hidden="false" customHeight="true" outlineLevel="0" collapsed="false">
      <c r="A2" s="30" t="s">
        <v>232</v>
      </c>
      <c r="B2" s="30"/>
      <c r="C2" s="30"/>
      <c r="D2" s="30"/>
      <c r="E2" s="30"/>
      <c r="F2" s="30"/>
      <c r="G2" s="30"/>
      <c r="H2" s="30"/>
      <c r="I2" s="30"/>
    </row>
    <row r="3" customFormat="false" ht="15" hidden="false" customHeight="false" outlineLevel="0" collapsed="false">
      <c r="A3" s="31" t="s">
        <v>32</v>
      </c>
      <c r="B3" s="31" t="s">
        <v>233</v>
      </c>
      <c r="C3" s="31" t="s">
        <v>234</v>
      </c>
      <c r="D3" s="31" t="s">
        <v>235</v>
      </c>
      <c r="E3" s="31" t="s">
        <v>236</v>
      </c>
      <c r="F3" s="31" t="s">
        <v>237</v>
      </c>
      <c r="G3" s="31" t="s">
        <v>238</v>
      </c>
      <c r="H3" s="31" t="s">
        <v>239</v>
      </c>
      <c r="I3" s="31" t="s">
        <v>240</v>
      </c>
    </row>
    <row r="4" customFormat="false" ht="15" hidden="false" customHeight="false" outlineLevel="0" collapsed="false">
      <c r="A4" s="62" t="n">
        <v>1</v>
      </c>
      <c r="B4" s="63" t="s">
        <v>241</v>
      </c>
      <c r="C4" s="64"/>
      <c r="D4" s="64"/>
      <c r="E4" s="64"/>
      <c r="F4" s="64"/>
      <c r="G4" s="64"/>
      <c r="H4" s="64"/>
      <c r="I4" s="62" t="s">
        <v>242</v>
      </c>
    </row>
    <row r="5" customFormat="false" ht="15" hidden="false" customHeight="false" outlineLevel="0" collapsed="false">
      <c r="A5" s="4" t="n">
        <v>2</v>
      </c>
      <c r="B5" s="5" t="s">
        <v>243</v>
      </c>
      <c r="C5" s="19"/>
      <c r="D5" s="19"/>
      <c r="E5" s="19"/>
      <c r="F5" s="19"/>
      <c r="G5" s="19"/>
      <c r="H5" s="19"/>
      <c r="I5" s="4" t="s">
        <v>244</v>
      </c>
    </row>
    <row r="6" customFormat="false" ht="15" hidden="false" customHeight="false" outlineLevel="0" collapsed="false">
      <c r="A6" s="8" t="n">
        <v>3</v>
      </c>
      <c r="B6" s="9" t="s">
        <v>245</v>
      </c>
      <c r="C6" s="17"/>
      <c r="D6" s="17"/>
      <c r="E6" s="17"/>
      <c r="F6" s="17"/>
      <c r="G6" s="17"/>
      <c r="H6" s="17"/>
      <c r="I6" s="8" t="s">
        <v>246</v>
      </c>
    </row>
    <row r="7" customFormat="false" ht="15" hidden="false" customHeight="false" outlineLevel="0" collapsed="false">
      <c r="A7" s="4" t="n">
        <v>4</v>
      </c>
      <c r="B7" s="5" t="s">
        <v>247</v>
      </c>
      <c r="C7" s="19"/>
      <c r="D7" s="19"/>
      <c r="E7" s="19"/>
      <c r="F7" s="19"/>
      <c r="G7" s="19"/>
      <c r="H7" s="19"/>
      <c r="I7" s="4" t="s">
        <v>248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</row>
    <row r="9" customFormat="false" ht="15" hidden="false" customHeight="false" outlineLevel="0" collapsed="false">
      <c r="A9" s="4" t="n">
        <v>2</v>
      </c>
      <c r="B9" s="19"/>
      <c r="C9" s="19"/>
      <c r="D9" s="19"/>
      <c r="E9" s="19"/>
      <c r="F9" s="19"/>
      <c r="G9" s="19"/>
      <c r="H9" s="19"/>
      <c r="I9" s="19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A11" s="4" t="n">
        <v>4</v>
      </c>
      <c r="B11" s="19"/>
      <c r="C11" s="19"/>
      <c r="D11" s="19"/>
      <c r="E11" s="19"/>
      <c r="F11" s="19"/>
      <c r="G11" s="19"/>
      <c r="H11" s="19"/>
      <c r="I11" s="19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</row>
    <row r="13" customFormat="false" ht="15" hidden="false" customHeight="false" outlineLevel="0" collapsed="false">
      <c r="A13" s="4" t="n">
        <v>6</v>
      </c>
      <c r="B13" s="19"/>
      <c r="C13" s="19"/>
      <c r="D13" s="19"/>
      <c r="E13" s="19"/>
      <c r="F13" s="19"/>
      <c r="G13" s="19"/>
      <c r="H13" s="19"/>
      <c r="I13" s="19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</row>
    <row r="15" customFormat="false" ht="15" hidden="false" customHeight="false" outlineLevel="0" collapsed="false">
      <c r="A15" s="4" t="n">
        <v>8</v>
      </c>
      <c r="B15" s="19"/>
      <c r="C15" s="19"/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</row>
    <row r="17" customFormat="false" ht="15" hidden="false" customHeight="false" outlineLevel="0" collapsed="false">
      <c r="A17" s="4" t="n">
        <v>10</v>
      </c>
      <c r="B17" s="19"/>
      <c r="C17" s="19"/>
      <c r="D17" s="19"/>
      <c r="E17" s="19"/>
      <c r="F17" s="19"/>
      <c r="G17" s="19"/>
      <c r="H17" s="19"/>
      <c r="I17" s="19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A19" s="4" t="n">
        <v>12</v>
      </c>
      <c r="B19" s="19"/>
      <c r="C19" s="19"/>
      <c r="D19" s="19"/>
      <c r="E19" s="19"/>
      <c r="F19" s="19"/>
      <c r="G19" s="19"/>
      <c r="H19" s="19"/>
      <c r="I19" s="19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</row>
    <row r="21" customFormat="false" ht="15" hidden="false" customHeight="false" outlineLevel="0" collapsed="false">
      <c r="A21" s="4" t="n">
        <v>14</v>
      </c>
      <c r="B21" s="19"/>
      <c r="C21" s="19"/>
      <c r="D21" s="19"/>
      <c r="E21" s="19"/>
      <c r="F21" s="19"/>
      <c r="G21" s="19"/>
      <c r="H21" s="19"/>
      <c r="I21" s="19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249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65" t="s">
        <v>250</v>
      </c>
      <c r="B2" s="65"/>
      <c r="C2" s="65"/>
      <c r="D2" s="65"/>
      <c r="E2" s="65"/>
      <c r="F2" s="65"/>
    </row>
    <row r="3" customFormat="false" ht="15" hidden="false" customHeight="false" outlineLevel="0" collapsed="false">
      <c r="A3" s="16" t="s">
        <v>2</v>
      </c>
      <c r="B3" s="16" t="s">
        <v>251</v>
      </c>
      <c r="C3" s="16" t="s">
        <v>252</v>
      </c>
      <c r="D3" s="16" t="s">
        <v>253</v>
      </c>
      <c r="E3" s="16" t="s">
        <v>167</v>
      </c>
      <c r="F3" s="16" t="s">
        <v>254</v>
      </c>
    </row>
    <row r="4" customFormat="false" ht="31.5" hidden="false" customHeight="true" outlineLevel="0" collapsed="false">
      <c r="A4" s="8" t="n">
        <v>1</v>
      </c>
      <c r="B4" s="9" t="s">
        <v>255</v>
      </c>
      <c r="C4" s="10" t="s">
        <v>256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257</v>
      </c>
      <c r="C5" s="6" t="s">
        <v>258</v>
      </c>
      <c r="D5" s="19"/>
      <c r="E5" s="19"/>
      <c r="F5" s="19"/>
    </row>
    <row r="6" customFormat="false" ht="31.5" hidden="false" customHeight="true" outlineLevel="0" collapsed="false">
      <c r="A6" s="8" t="n">
        <v>3</v>
      </c>
      <c r="B6" s="9" t="s">
        <v>259</v>
      </c>
      <c r="C6" s="10" t="s">
        <v>260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261</v>
      </c>
      <c r="C7" s="6" t="s">
        <v>262</v>
      </c>
      <c r="D7" s="19"/>
      <c r="E7" s="19"/>
      <c r="F7" s="19"/>
    </row>
    <row r="8" customFormat="false" ht="31.5" hidden="false" customHeight="true" outlineLevel="0" collapsed="false">
      <c r="A8" s="8" t="n">
        <v>5</v>
      </c>
      <c r="B8" s="9" t="s">
        <v>263</v>
      </c>
      <c r="C8" s="10" t="s">
        <v>264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265</v>
      </c>
      <c r="C9" s="6" t="s">
        <v>266</v>
      </c>
      <c r="D9" s="19"/>
      <c r="E9" s="19"/>
      <c r="F9" s="19"/>
    </row>
    <row r="10" customFormat="false" ht="31.5" hidden="false" customHeight="true" outlineLevel="0" collapsed="false">
      <c r="A10" s="8" t="n">
        <v>7</v>
      </c>
      <c r="B10" s="9" t="s">
        <v>267</v>
      </c>
      <c r="C10" s="10" t="s">
        <v>268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269</v>
      </c>
      <c r="C11" s="6" t="s">
        <v>270</v>
      </c>
      <c r="D11" s="19"/>
      <c r="E11" s="19"/>
      <c r="F11" s="19"/>
    </row>
    <row r="12" customFormat="false" ht="31.5" hidden="false" customHeight="true" outlineLevel="0" collapsed="false">
      <c r="A12" s="8" t="n">
        <v>9</v>
      </c>
      <c r="B12" s="9" t="s">
        <v>271</v>
      </c>
      <c r="C12" s="10" t="s">
        <v>272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273</v>
      </c>
      <c r="C13" s="6" t="s">
        <v>274</v>
      </c>
      <c r="D13" s="19"/>
      <c r="E13" s="19"/>
      <c r="F13" s="19"/>
    </row>
    <row r="14" customFormat="false" ht="31.5" hidden="false" customHeight="true" outlineLevel="0" collapsed="false">
      <c r="A14" s="8" t="n">
        <v>11</v>
      </c>
      <c r="B14" s="9" t="s">
        <v>275</v>
      </c>
      <c r="C14" s="10" t="s">
        <v>276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277</v>
      </c>
      <c r="C15" s="6" t="s">
        <v>278</v>
      </c>
      <c r="D15" s="19"/>
      <c r="E15" s="19"/>
      <c r="F15" s="19"/>
    </row>
    <row r="16" customFormat="false" ht="31.5" hidden="false" customHeight="true" outlineLevel="0" collapsed="false">
      <c r="A16" s="8" t="n">
        <v>13</v>
      </c>
      <c r="B16" s="9" t="s">
        <v>279</v>
      </c>
      <c r="C16" s="10" t="s">
        <v>280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281</v>
      </c>
      <c r="C17" s="6" t="s">
        <v>282</v>
      </c>
      <c r="D17" s="19"/>
      <c r="E17" s="19"/>
      <c r="F17" s="19"/>
    </row>
    <row r="18" customFormat="false" ht="31.5" hidden="false" customHeight="true" outlineLevel="0" collapsed="false">
      <c r="A18" s="8" t="n">
        <v>15</v>
      </c>
      <c r="B18" s="9" t="s">
        <v>283</v>
      </c>
      <c r="C18" s="10" t="s">
        <v>284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285</v>
      </c>
      <c r="C19" s="6" t="s">
        <v>286</v>
      </c>
      <c r="D19" s="19"/>
      <c r="E19" s="19"/>
      <c r="F19" s="19"/>
    </row>
    <row r="20" customFormat="false" ht="31.5" hidden="false" customHeight="true" outlineLevel="0" collapsed="false">
      <c r="A20" s="8" t="n">
        <v>17</v>
      </c>
      <c r="B20" s="9" t="s">
        <v>287</v>
      </c>
      <c r="C20" s="10" t="s">
        <v>288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289</v>
      </c>
      <c r="C21" s="6" t="s">
        <v>290</v>
      </c>
      <c r="D21" s="19"/>
      <c r="E21" s="19"/>
      <c r="F21" s="19"/>
    </row>
    <row r="22" customFormat="false" ht="31.5" hidden="false" customHeight="true" outlineLevel="0" collapsed="false">
      <c r="A22" s="8" t="n">
        <v>19</v>
      </c>
      <c r="B22" s="9" t="s">
        <v>291</v>
      </c>
      <c r="C22" s="10" t="s">
        <v>292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293</v>
      </c>
      <c r="C23" s="6" t="s">
        <v>294</v>
      </c>
      <c r="D23" s="19"/>
      <c r="E23" s="19"/>
      <c r="F23" s="1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2026-05-04T09:45:30Z</dcterms:created>
  <dc:creator>openpyxl</dc:creator>
  <dc:description/>
  <dc:language>en-US</dc:language>
  <cp:lastModifiedBy/>
  <dcterms:modified xsi:type="dcterms:W3CDTF">2026-05-04T09:45:31Z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