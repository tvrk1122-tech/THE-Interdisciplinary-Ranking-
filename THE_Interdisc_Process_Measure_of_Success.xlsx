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PhD Completion" sheetId="2" state="visible" r:id="rId4"/>
    <sheet name="2. Graduate Employment" sheetId="3" state="visible" r:id="rId5"/>
    <sheet name="3. Research Efficiency" sheetId="4" state="visible" r:id="rId6"/>
    <sheet name="4. Awards &amp; Recognition" sheetId="5" state="visible" r:id="rId7"/>
    <sheet name="5. Satisfaction Surveys" sheetId="6" state="visible" r:id="rId8"/>
    <sheet name="6. Success KPI Dashboard" sheetId="7" state="visible" r:id="rId9"/>
    <sheet name="7. Composite MoS Score" sheetId="8" state="visible" r:id="rId10"/>
    <sheet name="8. Benchmarking" sheetId="9" state="visible" r:id="rId11"/>
    <sheet name="9. Data Quality Audi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<sst xmlns="http://schemas.openxmlformats.org/spreadsheetml/2006/main" count="293" uniqueCount="243">
  <si>
    <t xml:space="preserve">THE Interdisciplinary Rankings — Process Pillar (16%) → Measure of Success (4%)</t>
  </si>
  <si>
    <t xml:space="preserve">Evaluates Outcomes &amp; Achievement Indicators from Interdisciplinary Research &amp; Teaching Activities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</si>
  <si>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</si>
  <si>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</si>
  <si>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</si>
  <si>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</si>
  <si>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Interdisciplinary PhD Completion Rate</t>
  </si>
  <si>
    <t xml:space="preserve">Proportion of enrolled interdisciplinary PhD students who successfully complete their thesis within the stipulated timeline (typically 4–6 years). Tracks co-supervised PhDs across 2+ departments, joint-degree PhDs, and interdisciplinary doctoral programmes. Higher completion rate = better supervision, environment, and support structures.</t>
  </si>
  <si>
    <t xml:space="preserve">~1.2%</t>
  </si>
  <si>
    <t xml:space="preserve">Graduate Employment in Cross-Domain Roles</t>
  </si>
  <si>
    <t xml:space="preserve">Percentage of graduates (UG/PG/PhD) from interdisciplinary programmes placed in hybrid / cross-domain professional roles within 12 months of graduation. Tracks employment in convergent sectors (AI+health, climate-tech, biotech, data science+finance, etc.), cross-functional corporate roles, and interdisciplinary academic positions.</t>
  </si>
  <si>
    <t xml:space="preserve">~1%</t>
  </si>
  <si>
    <t xml:space="preserve">Interdisciplinary Research Completion &amp; Output Efficiency</t>
  </si>
  <si>
    <t xml:space="preserve">Ratio of completed interdisciplinary projects to initiated ones (5-year window). Measures research pipeline efficiency — how well cross-domain projects convert from initiation to publication, patent, product, or policy output. Includes on-time completion of funded grants and milestone achievement rates.</t>
  </si>
  <si>
    <t xml:space="preserve">~0.8%</t>
  </si>
  <si>
    <t xml:space="preserve">Award &amp; Recognition for Cross-Domain Work</t>
  </si>
  <si>
    <t xml:space="preserve">Count and prestige of awards, prizes, fellowships, and recognitions received by faculty and students for interdisciplinary work. Includes national/international research awards, best-paper prizes at multi-domain conferences, innovation competition wins, and fellowship grants (e.g., Fulbright, Rhodes, INSPIRE) for cross-domain research.</t>
  </si>
  <si>
    <t xml:space="preserve">~0.5%</t>
  </si>
  <si>
    <t xml:space="preserve">Student &amp; Stakeholder Satisfaction with Interdisciplinary Outcomes</t>
  </si>
  <si>
    <t xml:space="preserve">Satisfaction scores from structured surveys of: (a) students in interdisciplinary programmes, (b) employers hiring interdisciplinary graduates, (c) industry partners engaged in cross-domain R&amp;D. Captures perceived value and quality of interdisciplinary outcomes.</t>
  </si>
  <si>
    <t xml:space="preserve">Key Reference Notes</t>
  </si>
  <si>
    <t xml:space="preserve">• Measure of Success contributes 4% to total ranking — one of four components in the Process pillar (16%).</t>
  </si>
  <si>
    <t xml:space="preserve">• Process pillar (16%) = Research &amp; Teaching Collaboration (5%) + Knowledge Exchange (4%) + Measure of Success (4%) + Student Mobility (3%).</t>
  </si>
  <si>
    <t xml:space="preserve">• This sub-pillar focuses on OUTCOMES — whether interdisciplinary efforts actually produce measurable results.</t>
  </si>
  <si>
    <t xml:space="preserve">• PhD completion rates track specifically co-supervised / joint-degree / interdisciplinary-programme PhDs, not all PhDs.</t>
  </si>
  <si>
    <t xml:space="preserve">• Graduate employment in 'cross-domain roles' requires the role to span 2+ traditional disciplines.</t>
  </si>
  <si>
    <t xml:space="preserve">• Research completion efficiency captures the conversion rate of cross-domain projects from initiation to output.</t>
  </si>
  <si>
    <t xml:space="preserve">• Awards must be for explicitly interdisciplinary or cross-domain contributions (not single-discipline prizes).</t>
  </si>
  <si>
    <t xml:space="preserve">• Satisfaction surveys use validated instruments with minimum response rates (&gt;30%) for statistical reliability.</t>
  </si>
  <si>
    <t xml:space="preserve">Co-supervised / joint-degree / interdisc. programme PhDs | Completion within stipulated timeline</t>
  </si>
  <si>
    <t xml:space="preserve">S.No.</t>
  </si>
  <si>
    <t xml:space="preserve">University Name</t>
  </si>
  <si>
    <t xml:space="preserve">Country</t>
  </si>
  <si>
    <t xml:space="preserve">Total PhD Enrolment (Active)</t>
  </si>
  <si>
    <t xml:space="preserve">Interdisc. PhD Enrolment</t>
  </si>
  <si>
    <t xml:space="preserve">Interdisc. PhDs Awarded (5yr)</t>
  </si>
  <si>
    <t xml:space="preserve">Interdisc. PhDs Enrolled (5yr, Cohort)</t>
  </si>
  <si>
    <t xml:space="preserve">Completion Rate (%)</t>
  </si>
  <si>
    <t xml:space="preserve">Avg Time to Completion (Months)</t>
  </si>
  <si>
    <t xml:space="preserve">% Completed Within Stipulated Time</t>
  </si>
  <si>
    <t xml:space="preserve">Reporting Period</t>
  </si>
  <si>
    <t xml:space="preserve">Interdisciplinary PhD Student Detail Log</t>
  </si>
  <si>
    <t xml:space="preserve">PhD Scholar Name / ID</t>
  </si>
  <si>
    <t xml:space="preserve">Primary Department</t>
  </si>
  <si>
    <t xml:space="preserve">Co-Supervising Department(s)</t>
  </si>
  <si>
    <t xml:space="preserve">Research Topic (Cross-Domain)</t>
  </si>
  <si>
    <t xml:space="preserve">Year of Enrolment</t>
  </si>
  <si>
    <t xml:space="preserve">Year of Award / Current Status</t>
  </si>
  <si>
    <t xml:space="preserve">Time Taken (Months)</t>
  </si>
  <si>
    <t xml:space="preserve">No. of Publications</t>
  </si>
  <si>
    <t xml:space="preserve">Industry Co-supervision (Y/N)</t>
  </si>
  <si>
    <t xml:space="preserve">Graduate Employment in Cross-Domain / Hybrid Roles</t>
  </si>
  <si>
    <t xml:space="preserve">Placement within 12 months in roles spanning 2+ disciplines | UG, PG, PhD graduates from interdisc. programmes</t>
  </si>
  <si>
    <t xml:space="preserve">Total Interdisc. Graduates (3yr)</t>
  </si>
  <si>
    <t xml:space="preserve">Placed Within 12 Months</t>
  </si>
  <si>
    <t xml:space="preserve">Placed in Cross-Domain Roles</t>
  </si>
  <si>
    <t xml:space="preserve">% Cross-Domain Placement</t>
  </si>
  <si>
    <t xml:space="preserve">Avg Starting Salary (INR LPA / USD K)</t>
  </si>
  <si>
    <t xml:space="preserve">Pursuing Cross-Domain Higher Ed.</t>
  </si>
  <si>
    <t xml:space="preserve">Cross-Domain Employment Sector Breakdown (Per University)</t>
  </si>
  <si>
    <t xml:space="preserve">AI + Healthcare / HealthTech</t>
  </si>
  <si>
    <t xml:space="preserve">Climate-Tech / Green Energy</t>
  </si>
  <si>
    <t xml:space="preserve">FinTech / Data+Finance</t>
  </si>
  <si>
    <t xml:space="preserve">Biotech / BioEngineering</t>
  </si>
  <si>
    <t xml:space="preserve">EdTech / Digital Learning</t>
  </si>
  <si>
    <t xml:space="preserve">Robotics / Smart Manufacturing</t>
  </si>
  <si>
    <t xml:space="preserve">AgriTech / FoodTech</t>
  </si>
  <si>
    <t xml:space="preserve">Other Hybrid Sectors</t>
  </si>
  <si>
    <t xml:space="preserve">Employer Feedback on Interdisciplinary Graduate Preparedness</t>
  </si>
  <si>
    <t xml:space="preserve">Survey Question</t>
  </si>
  <si>
    <t xml:space="preserve">Avg Score (1–5)</t>
  </si>
  <si>
    <t xml:space="preserve">Std Dev</t>
  </si>
  <si>
    <t xml:space="preserve">N (Employers)</t>
  </si>
  <si>
    <t xml:space="preserve">% Agree (4-5)</t>
  </si>
  <si>
    <t xml:space="preserve">% Disagree (1-2)</t>
  </si>
  <si>
    <t xml:space="preserve">Benchmark (Top 10)</t>
  </si>
  <si>
    <t xml:space="preserve">Graduates demonstrate ability to integrate knowledge from multiple domains</t>
  </si>
  <si>
    <t xml:space="preserve">Graduates adapt quickly to cross-functional team environments</t>
  </si>
  <si>
    <t xml:space="preserve">Graduates bring innovative problem-solving approaches from diverse training</t>
  </si>
  <si>
    <t xml:space="preserve">Quality of interdisciplinary graduates is comparable to top institutions</t>
  </si>
  <si>
    <t xml:space="preserve">Would hire more interdisciplinary graduates from this university</t>
  </si>
  <si>
    <t xml:space="preserve">Conversion rate: initiated projects → completed outputs (publications, patents, products, policies) | 5-year window</t>
  </si>
  <si>
    <t xml:space="preserve">Interdisc. Projects Initiated (5yr)</t>
  </si>
  <si>
    <t xml:space="preserve">Projects Completed Successfully</t>
  </si>
  <si>
    <t xml:space="preserve">Total Outputs (Pubs+Patents+Products)</t>
  </si>
  <si>
    <t xml:space="preserve">Output-to-Project Ratio</t>
  </si>
  <si>
    <t xml:space="preserve">Funded Grant Milestone Achievement (%)</t>
  </si>
  <si>
    <t xml:space="preserve">Output Type Breakdown from Completed Interdisc. Projects</t>
  </si>
  <si>
    <t xml:space="preserve">Journal Publications</t>
  </si>
  <si>
    <t xml:space="preserve">Conference Papers</t>
  </si>
  <si>
    <t xml:space="preserve">Patents Filed</t>
  </si>
  <si>
    <t xml:space="preserve">Patents Granted</t>
  </si>
  <si>
    <t xml:space="preserve">Products / Prototypes</t>
  </si>
  <si>
    <t xml:space="preserve">Policy Documents / Briefs</t>
  </si>
  <si>
    <t xml:space="preserve">Start-ups / Spin-offs</t>
  </si>
  <si>
    <t xml:space="preserve">Total Outputs</t>
  </si>
  <si>
    <t xml:space="preserve">Awards &amp; Recognition for Interdisciplinary / Cross-Domain Work</t>
  </si>
  <si>
    <t xml:space="preserve">University-level summary | National &amp; international awards, fellowships, best-paper prizes, innovation wins</t>
  </si>
  <si>
    <t xml:space="preserve">National Research Awards (Interdisc.)</t>
  </si>
  <si>
    <t xml:space="preserve">International Research Awards</t>
  </si>
  <si>
    <t xml:space="preserve">Best Paper Prizes (Multi-Domain Conf.)</t>
  </si>
  <si>
    <t xml:space="preserve">Innovation / Hackathon Wins</t>
  </si>
  <si>
    <t xml:space="preserve">Fellowships (Fulbright/Rhodes/INSPIRE etc.)</t>
  </si>
  <si>
    <t xml:space="preserve">Total Awards (Interdisc.)</t>
  </si>
  <si>
    <t xml:space="preserve">Detailed Award / Recognition Log</t>
  </si>
  <si>
    <t xml:space="preserve">Award / Prize Name</t>
  </si>
  <si>
    <t xml:space="preserve">Awarding Body / Conference</t>
  </si>
  <si>
    <t xml:space="preserve">Level (National/International/State)</t>
  </si>
  <si>
    <t xml:space="preserve">Recipient Name(s)</t>
  </si>
  <si>
    <t xml:space="preserve">Department(s) Involved</t>
  </si>
  <si>
    <t xml:space="preserve">Disciplines Spanned (2+)</t>
  </si>
  <si>
    <t xml:space="preserve">Year</t>
  </si>
  <si>
    <t xml:space="preserve">Category (Research/Teaching/Innovation/Fellowship)</t>
  </si>
  <si>
    <t xml:space="preserve">Student, Employer &amp; Partner Satisfaction with Interdisciplinary Outcomes</t>
  </si>
  <si>
    <t xml:space="preserve">Three stakeholder groups surveyed on perceived quality of interdisciplinary outputs | Scale 1–5</t>
  </si>
  <si>
    <t xml:space="preserve">A. Student Satisfaction (Interdisciplinary Programme Graduates)</t>
  </si>
  <si>
    <t xml:space="preserve">Students Surveyed</t>
  </si>
  <si>
    <t xml:space="preserve">Avg Satisfaction (1–5)</t>
  </si>
  <si>
    <t xml:space="preserve">% Highly Satisfied (4-5)</t>
  </si>
  <si>
    <t xml:space="preserve">% Dissatisfied (1-2)</t>
  </si>
  <si>
    <t xml:space="preserve">Would Recommend Programme (% Yes)</t>
  </si>
  <si>
    <t xml:space="preserve">Reporting Year</t>
  </si>
  <si>
    <t xml:space="preserve">B. Employer Satisfaction (Hiring Interdisciplinary Graduates)</t>
  </si>
  <si>
    <t xml:space="preserve">Employers Surveyed</t>
  </si>
  <si>
    <t xml:space="preserve">% Would Hire Again</t>
  </si>
  <si>
    <t xml:space="preserve">Avg Competency Rating (1–5)</t>
  </si>
  <si>
    <t xml:space="preserve">C. Industry R&amp;D Partner Satisfaction (Cross-Domain Collaboration Quality)</t>
  </si>
  <si>
    <t xml:space="preserve">Partners Surveyed</t>
  </si>
  <si>
    <t xml:space="preserve">% Would Renew Partnership</t>
  </si>
  <si>
    <t xml:space="preserve">Avg Innovation Value Rating (1–5)</t>
  </si>
  <si>
    <t xml:space="preserve">D. Combined Satisfaction Score (Per University)</t>
  </si>
  <si>
    <t xml:space="preserve">Student Avg (1-5)</t>
  </si>
  <si>
    <t xml:space="preserve">Employer Avg (1-5)</t>
  </si>
  <si>
    <t xml:space="preserve">Partner Avg (1-5)</t>
  </si>
  <si>
    <t xml:space="preserve">Weighted Combined Score</t>
  </si>
  <si>
    <t xml:space="preserve">Combined Score (0–100)</t>
  </si>
  <si>
    <t xml:space="preserve">Satisfaction Tier</t>
  </si>
  <si>
    <t xml:space="preserve">Measure of Success — KPI Tracking Dashboard (Per University)</t>
  </si>
  <si>
    <t xml:space="preserve">Comprehensive checklist of outcome KPIs for self-assessment &amp; THE submission preparation</t>
  </si>
  <si>
    <t xml:space="preserve">KPI / Success Metric</t>
  </si>
  <si>
    <t xml:space="preserve">Current Value</t>
  </si>
  <si>
    <t xml:space="preserve">Target Value</t>
  </si>
  <si>
    <t xml:space="preserve">Achievement Status</t>
  </si>
  <si>
    <t xml:space="preserve">Interdisciplinary PhD completion rate (%)</t>
  </si>
  <si>
    <t xml:space="preserve">Avg time-to-PhD for interdisc. students (months)</t>
  </si>
  <si>
    <t xml:space="preserve">% PhDs completed within stipulated timeline</t>
  </si>
  <si>
    <t xml:space="preserve">Cross-domain graduate placement rate within 12 months (%)</t>
  </si>
  <si>
    <t xml:space="preserve">% graduates placed in hybrid-sector roles</t>
  </si>
  <si>
    <t xml:space="preserve">Avg starting salary of interdisc. graduates (INR LPA / USD K)</t>
  </si>
  <si>
    <t xml:space="preserve">Interdisc. project completion rate (%)</t>
  </si>
  <si>
    <t xml:space="preserve">Output-to-project ratio (publications+patents per project)</t>
  </si>
  <si>
    <t xml:space="preserve">Funded grant milestone achievement rate (%)</t>
  </si>
  <si>
    <t xml:space="preserve">National awards for interdisciplinary research (count)</t>
  </si>
  <si>
    <t xml:space="preserve">International awards for cross-domain work (count)</t>
  </si>
  <si>
    <t xml:space="preserve">Innovation competition wins (count)</t>
  </si>
  <si>
    <t xml:space="preserve">Prestigious fellowships for cross-domain research (count)</t>
  </si>
  <si>
    <t xml:space="preserve">Student satisfaction with interdisc. experience (1–5 avg)</t>
  </si>
  <si>
    <t xml:space="preserve">Employer satisfaction with interdisc. graduates (1–5 avg)</t>
  </si>
  <si>
    <t xml:space="preserve">Industry partner satisfaction with cross-domain R&amp;D (1–5 avg)</t>
  </si>
  <si>
    <t xml:space="preserve">% employers who would hire more interdisc. graduates</t>
  </si>
  <si>
    <t xml:space="preserve">% industry partners who would renew collaboration</t>
  </si>
  <si>
    <t xml:space="preserve">Alumni in cross-domain leadership roles (count, 5yr post-grad)</t>
  </si>
  <si>
    <t xml:space="preserve">Media mentions / citations of interdisc. research impact (count)</t>
  </si>
  <si>
    <t xml:space="preserve">KPI Achievement Summary</t>
  </si>
  <si>
    <t xml:space="preserve">KPIs Achieved</t>
  </si>
  <si>
    <t xml:space="preserve">KPIs On Track</t>
  </si>
  <si>
    <t xml:space="preserve">KPIs Behind</t>
  </si>
  <si>
    <t xml:space="preserve">Overall Achievement Rate (%)</t>
  </si>
  <si>
    <t xml:space="preserve">Composite Measure of Success Score (0–100) — 4% of Total Ranking</t>
  </si>
  <si>
    <t xml:space="preserve">Weighted composite of 5 sub-indicators | Weights editable in Row 4</t>
  </si>
  <si>
    <t xml:space="preserve">PhD Completion (A)</t>
  </si>
  <si>
    <t xml:space="preserve">Grad Employment (B)</t>
  </si>
  <si>
    <t xml:space="preserve">Research Efficiency (C)</t>
  </si>
  <si>
    <t xml:space="preserve">Awards (D)</t>
  </si>
  <si>
    <t xml:space="preserve">Satisfaction (E)</t>
  </si>
  <si>
    <t xml:space="preserve">Composite MoS Score (0–100)</t>
  </si>
  <si>
    <t xml:space="preserve">Global Rank</t>
  </si>
  <si>
    <t xml:space="preserve">Weights →</t>
  </si>
  <si>
    <t xml:space="preserve">Benchmarking &amp; Peer Comparison — Measure of Success</t>
  </si>
  <si>
    <t xml:space="preserve">Compare against peers, aspirational targets, and global top performers</t>
  </si>
  <si>
    <t xml:space="preserve">University / Benchmark</t>
  </si>
  <si>
    <t xml:space="preserve">PhD Compl.</t>
  </si>
  <si>
    <t xml:space="preserve">Grad Employ.</t>
  </si>
  <si>
    <t xml:space="preserve">Research Eff.</t>
  </si>
  <si>
    <t xml:space="preserve">Awards</t>
  </si>
  <si>
    <t xml:space="preserve">Satisfaction</t>
  </si>
  <si>
    <t xml:space="preserve">Composite MoS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</si>
  <si>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</si>
  <si>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</si>
  <si>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</si>
  <si>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</si>
  <si>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</si>
  <si>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</si>
  <si>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</si>
  <si>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</si>
  <si>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</si>
  <si>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Measure of Success — Data Quality &amp; Audit Checklist</t>
  </si>
  <si>
    <t xml:space="preserve">Validation checks for the MoS component (4% of total ranking) within the Process pillar (16%)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</si>
  <si>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</si>
  <si>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</si>
  <si>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</si>
  <si>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</si>
  <si>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</si>
  <si>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PhD interdisciplinarity verification</t>
  </si>
  <si>
    <t xml:space="preserve">Each PhD counted as 'interdisciplinary' has co-supervisors from 2+ departments or enrolled in a designated interdisc. programme</t>
  </si>
  <si>
    <t xml:space="preserve">Completion rate cohort definition</t>
  </si>
  <si>
    <t xml:space="preserve">Cohort = all interdisc. PhD students enrolled in the relevant 5-year intake window; completion = thesis awarded</t>
  </si>
  <si>
    <t xml:space="preserve">Stipulated timeline definition</t>
  </si>
  <si>
    <t xml:space="preserve">Timeline aligns with university/UGC regulations (typically 4–6 years for full-time PhD)</t>
  </si>
  <si>
    <t xml:space="preserve">Graduate employment tracking period</t>
  </si>
  <si>
    <t xml:space="preserve">Placement data tracked within 12 months of graduation; source = placement cell records</t>
  </si>
  <si>
    <t xml:space="preserve">Cross-domain role classification</t>
  </si>
  <si>
    <t xml:space="preserve">'Cross-domain role' requires the job description / function to span 2+ traditional disciplines</t>
  </si>
  <si>
    <t xml:space="preserve">Hybrid sector taxonomy</t>
  </si>
  <si>
    <t xml:space="preserve">Sectors classified using a documented standard taxonomy (AI+Health, ClimateTech, FinTech, etc.)</t>
  </si>
  <si>
    <t xml:space="preserve">Project initiation definition</t>
  </si>
  <si>
    <t xml:space="preserve">'Initiated' = formally approved with allocated budget or PI assignment; not just proposals</t>
  </si>
  <si>
    <t xml:space="preserve">Output attribution</t>
  </si>
  <si>
    <t xml:space="preserve">Outputs attributed to projects only when directly linked (acknowledged in publication/patent)</t>
  </si>
  <si>
    <t xml:space="preserve">Award interdisciplinarity check</t>
  </si>
  <si>
    <t xml:space="preserve">Each award counted is explicitly for cross-domain/interdisciplinary work, not single-discipline achievements</t>
  </si>
  <si>
    <t xml:space="preserve">Award prestige weighting</t>
  </si>
  <si>
    <t xml:space="preserve">If weighted, prestige scale documented (e.g., international=3, national=2, state=1)</t>
  </si>
  <si>
    <t xml:space="preserve">Survey instrument validation</t>
  </si>
  <si>
    <t xml:space="preserve">All satisfaction surveys use psychometrically validated instruments with documented reliability</t>
  </si>
  <si>
    <t xml:space="preserve">Survey response rate threshold</t>
  </si>
  <si>
    <t xml:space="preserve">Minimum 30% response rate for each stakeholder group; lower rates flagged</t>
  </si>
  <si>
    <t xml:space="preserve">Anonymity ensured</t>
  </si>
  <si>
    <t xml:space="preserve">Survey responses anonymous; no identifiable data in analysis</t>
  </si>
  <si>
    <t xml:space="preserve">Employer survey independence</t>
  </si>
  <si>
    <t xml:space="preserve">Employer satisfaction survey conducted independently, not by placement cell staff</t>
  </si>
  <si>
    <t xml:space="preserve">KPI target-setting methodology</t>
  </si>
  <si>
    <t xml:space="preserve">Target values based on documented benchmarks (peer group, national average, or strategic plan)</t>
  </si>
  <si>
    <t xml:space="preserve">Double-counting prevention</t>
  </si>
  <si>
    <t xml:space="preserve">Same outcome (PhD, placement, award) not counted across multiple sub-indicators</t>
  </si>
  <si>
    <t xml:space="preserve">Normalization method</t>
  </si>
  <si>
    <t xml:space="preserve">Z-scoring or min-max normalization applied consistently across all universities</t>
  </si>
  <si>
    <t xml:space="preserve">Weight validation</t>
  </si>
  <si>
    <t xml:space="preserve">Sub-indicator weights sum to 100% of the MoS component (4% of total ranking)</t>
  </si>
  <si>
    <t xml:space="preserve">Year-on-year trend check</t>
  </si>
  <si>
    <t xml:space="preserve">Compare current data with previous cycle; flag anomalous changes (&gt;25% shift)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</si>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</sst>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880E4F"/>
        <bgColor rgb="FF800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80E4F"/>
      </patternFill>
    </fill>
    <fill>
      <patternFill patternType="solid">
        <fgColor rgb="FF3F51B5"/>
        <bgColor rgb="FF455A64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808080"/>
      </patternFill>
    </fill>
    <fill>
      <patternFill patternType="solid">
        <fgColor rgb="FFBF8F00"/>
        <bgColor rgb="FFED7D31"/>
      </patternFill>
    </fill>
    <fill>
      <patternFill patternType="solid">
        <fgColor rgb="FF8B0000"/>
        <bgColor rgb="FF800000"/>
      </patternFill>
    </fill>
    <fill>
      <patternFill patternType="solid">
        <fgColor rgb="FF455A64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80E4F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55A64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E4F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0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90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17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15" hidden="false" customHeight="true" outlineLevel="0" collapsed="false">
      <c r="A12" s="13" t="s">
        <v>21</v>
      </c>
      <c r="B12" s="13"/>
      <c r="C12" s="13"/>
      <c r="D12" s="13"/>
    </row>
    <row r="13" customFormat="false" ht="23.8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10" min="8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5.5" hidden="false" customHeight="true" outlineLevel="0" collapsed="false">
      <c r="A2" s="15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35.05" hidden="false" customHeight="false" outlineLevel="0" collapsed="false">
      <c r="A3" s="16" t="s">
        <v>30</v>
      </c>
      <c r="B3" s="16" t="s">
        <v>31</v>
      </c>
      <c r="C3" s="16" t="s">
        <v>32</v>
      </c>
      <c r="D3" s="16" t="s">
        <v>33</v>
      </c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8" t="n">
        <f aca="false">IF(G4&gt;0,F4/G4*100,0)</f>
        <v>0</v>
      </c>
      <c r="I4" s="17"/>
      <c r="J4" s="19"/>
      <c r="K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1" t="n">
        <f aca="false">IF(G5&gt;0,F5/G5*100,0)</f>
        <v>0</v>
      </c>
      <c r="I5" s="20"/>
      <c r="J5" s="22"/>
      <c r="K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8" t="n">
        <f aca="false">IF(G6&gt;0,F6/G6*100,0)</f>
        <v>0</v>
      </c>
      <c r="I6" s="17"/>
      <c r="J6" s="19"/>
      <c r="K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1" t="n">
        <f aca="false">IF(G7&gt;0,F7/G7*100,0)</f>
        <v>0</v>
      </c>
      <c r="I7" s="20"/>
      <c r="J7" s="22"/>
      <c r="K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8" t="n">
        <f aca="false">IF(G8&gt;0,F8/G8*100,0)</f>
        <v>0</v>
      </c>
      <c r="I8" s="17"/>
      <c r="J8" s="19"/>
      <c r="K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1" t="n">
        <f aca="false">IF(G9&gt;0,F9/G9*100,0)</f>
        <v>0</v>
      </c>
      <c r="I9" s="20"/>
      <c r="J9" s="22"/>
      <c r="K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8" t="n">
        <f aca="false">IF(G10&gt;0,F10/G10*100,0)</f>
        <v>0</v>
      </c>
      <c r="I10" s="17"/>
      <c r="J10" s="19"/>
      <c r="K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1" t="n">
        <f aca="false">IF(G11&gt;0,F11/G11*100,0)</f>
        <v>0</v>
      </c>
      <c r="I11" s="20"/>
      <c r="J11" s="22"/>
      <c r="K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8" t="n">
        <f aca="false">IF(G12&gt;0,F12/G12*100,0)</f>
        <v>0</v>
      </c>
      <c r="I12" s="17"/>
      <c r="J12" s="19"/>
      <c r="K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1" t="n">
        <f aca="false">IF(G13&gt;0,F13/G13*100,0)</f>
        <v>0</v>
      </c>
      <c r="I13" s="20"/>
      <c r="J13" s="22"/>
      <c r="K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8" t="n">
        <f aca="false">IF(G14&gt;0,F14/G14*100,0)</f>
        <v>0</v>
      </c>
      <c r="I14" s="17"/>
      <c r="J14" s="19"/>
      <c r="K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1" t="n">
        <f aca="false">IF(G15&gt;0,F15/G15*100,0)</f>
        <v>0</v>
      </c>
      <c r="I15" s="20"/>
      <c r="J15" s="22"/>
      <c r="K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8" t="n">
        <f aca="false">IF(G16&gt;0,F16/G16*100,0)</f>
        <v>0</v>
      </c>
      <c r="I16" s="17"/>
      <c r="J16" s="19"/>
      <c r="K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1" t="n">
        <f aca="false">IF(G17&gt;0,F17/G17*100,0)</f>
        <v>0</v>
      </c>
      <c r="I17" s="20"/>
      <c r="J17" s="22"/>
      <c r="K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8" t="n">
        <f aca="false">IF(G18&gt;0,F18/G18*100,0)</f>
        <v>0</v>
      </c>
      <c r="I18" s="17"/>
      <c r="J18" s="19"/>
      <c r="K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1" t="n">
        <f aca="false">IF(G19&gt;0,F19/G19*100,0)</f>
        <v>0</v>
      </c>
      <c r="I19" s="20"/>
      <c r="J19" s="22"/>
      <c r="K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8" t="n">
        <f aca="false">IF(G20&gt;0,F20/G20*100,0)</f>
        <v>0</v>
      </c>
      <c r="I20" s="17"/>
      <c r="J20" s="19"/>
      <c r="K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1" t="n">
        <f aca="false">IF(G21&gt;0,F21/G21*100,0)</f>
        <v>0</v>
      </c>
      <c r="I21" s="20"/>
      <c r="J21" s="22"/>
      <c r="K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8" t="n">
        <f aca="false">IF(G22&gt;0,F22/G22*100,0)</f>
        <v>0</v>
      </c>
      <c r="I22" s="17"/>
      <c r="J22" s="19"/>
      <c r="K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1" t="n">
        <f aca="false">IF(G23&gt;0,F23/G23*100,0)</f>
        <v>0</v>
      </c>
      <c r="I23" s="20"/>
      <c r="J23" s="22"/>
      <c r="K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8" t="n">
        <f aca="false">IF(G24&gt;0,F24/G24*100,0)</f>
        <v>0</v>
      </c>
      <c r="I24" s="17"/>
      <c r="J24" s="19"/>
      <c r="K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1" t="n">
        <f aca="false">IF(G25&gt;0,F25/G25*100,0)</f>
        <v>0</v>
      </c>
      <c r="I25" s="20"/>
      <c r="J25" s="22"/>
      <c r="K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8" t="n">
        <f aca="false">IF(G26&gt;0,F26/G26*100,0)</f>
        <v>0</v>
      </c>
      <c r="I26" s="17"/>
      <c r="J26" s="19"/>
      <c r="K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1" t="n">
        <f aca="false">IF(G27&gt;0,F27/G27*100,0)</f>
        <v>0</v>
      </c>
      <c r="I27" s="20"/>
      <c r="J27" s="22"/>
      <c r="K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8" t="n">
        <f aca="false">IF(G28&gt;0,F28/G28*100,0)</f>
        <v>0</v>
      </c>
      <c r="I28" s="17"/>
      <c r="J28" s="19"/>
      <c r="K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1" t="n">
        <f aca="false">IF(G29&gt;0,F29/G29*100,0)</f>
        <v>0</v>
      </c>
      <c r="I29" s="20"/>
      <c r="J29" s="22"/>
      <c r="K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8" t="n">
        <f aca="false">IF(G30&gt;0,F30/G30*100,0)</f>
        <v>0</v>
      </c>
      <c r="I30" s="17"/>
      <c r="J30" s="19"/>
      <c r="K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1" t="n">
        <f aca="false">IF(G31&gt;0,F31/G31*100,0)</f>
        <v>0</v>
      </c>
      <c r="I31" s="20"/>
      <c r="J31" s="22"/>
      <c r="K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8" t="n">
        <f aca="false">IF(G32&gt;0,F32/G32*100,0)</f>
        <v>0</v>
      </c>
      <c r="I32" s="17"/>
      <c r="J32" s="19"/>
      <c r="K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1" t="n">
        <f aca="false">IF(G33&gt;0,F33/G33*100,0)</f>
        <v>0</v>
      </c>
      <c r="I33" s="20"/>
      <c r="J33" s="22"/>
      <c r="K33" s="20"/>
    </row>
    <row r="35" customFormat="false" ht="25.5" hidden="false" customHeight="true" outlineLevel="0" collapsed="false">
      <c r="A35" s="23" t="s">
        <v>41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customFormat="false" ht="23.85" hidden="false" customHeight="false" outlineLevel="0" collapsed="false">
      <c r="A36" s="24" t="s">
        <v>30</v>
      </c>
      <c r="B36" s="24" t="s">
        <v>42</v>
      </c>
      <c r="C36" s="24" t="s">
        <v>43</v>
      </c>
      <c r="D36" s="24" t="s">
        <v>44</v>
      </c>
      <c r="E36" s="24" t="s">
        <v>45</v>
      </c>
      <c r="F36" s="24" t="s">
        <v>46</v>
      </c>
      <c r="G36" s="24" t="s">
        <v>47</v>
      </c>
      <c r="H36" s="24" t="s">
        <v>48</v>
      </c>
      <c r="I36" s="24" t="s">
        <v>49</v>
      </c>
      <c r="J36" s="24" t="s">
        <v>50</v>
      </c>
      <c r="K36" s="24" t="s">
        <v>31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4" t="n">
        <v>21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4" t="n">
        <v>23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4" t="n">
        <v>25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4" t="n">
        <v>27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4" t="n">
        <v>29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4" t="n">
        <v>31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4" t="n">
        <v>33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4" t="n">
        <v>35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4" t="n">
        <v>37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4" t="n">
        <v>39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customFormat="false" ht="15" hidden="false" customHeight="false" outlineLevel="0" collapsed="false">
      <c r="A77" s="4" t="n">
        <v>41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customFormat="false" ht="15" hidden="false" customHeight="false" outlineLevel="0" collapsed="false">
      <c r="A78" s="8" t="n">
        <v>42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customFormat="false" ht="15" hidden="false" customHeight="false" outlineLevel="0" collapsed="false">
      <c r="A79" s="4" t="n">
        <v>43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customFormat="false" ht="15" hidden="false" customHeight="false" outlineLevel="0" collapsed="false">
      <c r="A80" s="8" t="n">
        <v>44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customFormat="false" ht="15" hidden="false" customHeight="false" outlineLevel="0" collapsed="false">
      <c r="A81" s="4" t="n">
        <v>45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customFormat="false" ht="15" hidden="false" customHeight="false" outlineLevel="0" collapsed="false">
      <c r="A82" s="8" t="n">
        <v>46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customFormat="false" ht="15" hidden="false" customHeight="false" outlineLevel="0" collapsed="false">
      <c r="A83" s="4" t="n">
        <v>47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customFormat="false" ht="15" hidden="false" customHeight="false" outlineLevel="0" collapsed="false">
      <c r="A84" s="8" t="n">
        <v>48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customFormat="false" ht="15" hidden="false" customHeight="false" outlineLevel="0" collapsed="false">
      <c r="A85" s="4" t="n">
        <v>49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customFormat="false" ht="15" hidden="false" customHeight="false" outlineLevel="0" collapsed="false">
      <c r="A86" s="8" t="n">
        <v>50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5.5" hidden="false" customHeight="true" outlineLevel="0" collapsed="false">
      <c r="A2" s="26" t="s">
        <v>52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23.85" hidden="false" customHeight="false" outlineLevel="0" collapsed="false">
      <c r="A3" s="27" t="s">
        <v>30</v>
      </c>
      <c r="B3" s="27" t="s">
        <v>31</v>
      </c>
      <c r="C3" s="27" t="s">
        <v>32</v>
      </c>
      <c r="D3" s="27" t="s">
        <v>53</v>
      </c>
      <c r="E3" s="27" t="s">
        <v>54</v>
      </c>
      <c r="F3" s="27" t="s">
        <v>55</v>
      </c>
      <c r="G3" s="27" t="s">
        <v>56</v>
      </c>
      <c r="H3" s="27" t="s">
        <v>57</v>
      </c>
      <c r="I3" s="27" t="s">
        <v>58</v>
      </c>
      <c r="J3" s="27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8" t="n">
        <f aca="false">IF(D4&gt;0,F4/D4*100,0)</f>
        <v>0</v>
      </c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1" t="n">
        <f aca="false">IF(D5&gt;0,F5/D5*100,0)</f>
        <v>0</v>
      </c>
      <c r="H5" s="20"/>
      <c r="I5" s="20"/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8" t="n">
        <f aca="false">IF(D6&gt;0,F6/D6*100,0)</f>
        <v>0</v>
      </c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1" t="n">
        <f aca="false">IF(D7&gt;0,F7/D7*100,0)</f>
        <v>0</v>
      </c>
      <c r="H7" s="20"/>
      <c r="I7" s="20"/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8" t="n">
        <f aca="false">IF(D8&gt;0,F8/D8*100,0)</f>
        <v>0</v>
      </c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1" t="n">
        <f aca="false">IF(D9&gt;0,F9/D9*100,0)</f>
        <v>0</v>
      </c>
      <c r="H9" s="20"/>
      <c r="I9" s="20"/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8" t="n">
        <f aca="false">IF(D10&gt;0,F10/D10*100,0)</f>
        <v>0</v>
      </c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1" t="n">
        <f aca="false">IF(D11&gt;0,F11/D11*100,0)</f>
        <v>0</v>
      </c>
      <c r="H11" s="20"/>
      <c r="I11" s="20"/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8" t="n">
        <f aca="false">IF(D12&gt;0,F12/D12*100,0)</f>
        <v>0</v>
      </c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1" t="n">
        <f aca="false">IF(D13&gt;0,F13/D13*100,0)</f>
        <v>0</v>
      </c>
      <c r="H13" s="20"/>
      <c r="I13" s="20"/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8" t="n">
        <f aca="false">IF(D14&gt;0,F14/D14*100,0)</f>
        <v>0</v>
      </c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1" t="n">
        <f aca="false">IF(D15&gt;0,F15/D15*100,0)</f>
        <v>0</v>
      </c>
      <c r="H15" s="20"/>
      <c r="I15" s="20"/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8" t="n">
        <f aca="false">IF(D16&gt;0,F16/D16*100,0)</f>
        <v>0</v>
      </c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1" t="n">
        <f aca="false">IF(D17&gt;0,F17/D17*100,0)</f>
        <v>0</v>
      </c>
      <c r="H17" s="20"/>
      <c r="I17" s="20"/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8" t="n">
        <f aca="false">IF(D18&gt;0,F18/D18*100,0)</f>
        <v>0</v>
      </c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1" t="n">
        <f aca="false">IF(D19&gt;0,F19/D19*100,0)</f>
        <v>0</v>
      </c>
      <c r="H19" s="20"/>
      <c r="I19" s="20"/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8" t="n">
        <f aca="false">IF(D20&gt;0,F20/D20*100,0)</f>
        <v>0</v>
      </c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1" t="n">
        <f aca="false">IF(D21&gt;0,F21/D21*100,0)</f>
        <v>0</v>
      </c>
      <c r="H21" s="20"/>
      <c r="I21" s="20"/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8" t="n">
        <f aca="false">IF(D22&gt;0,F22/D22*100,0)</f>
        <v>0</v>
      </c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1" t="n">
        <f aca="false">IF(D23&gt;0,F23/D23*100,0)</f>
        <v>0</v>
      </c>
      <c r="H23" s="20"/>
      <c r="I23" s="20"/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8" t="n">
        <f aca="false">IF(D24&gt;0,F24/D24*100,0)</f>
        <v>0</v>
      </c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1" t="n">
        <f aca="false">IF(D25&gt;0,F25/D25*100,0)</f>
        <v>0</v>
      </c>
      <c r="H25" s="20"/>
      <c r="I25" s="20"/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8" t="n">
        <f aca="false">IF(D26&gt;0,F26/D26*100,0)</f>
        <v>0</v>
      </c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1" t="n">
        <f aca="false">IF(D27&gt;0,F27/D27*100,0)</f>
        <v>0</v>
      </c>
      <c r="H27" s="20"/>
      <c r="I27" s="20"/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8" t="n">
        <f aca="false">IF(D28&gt;0,F28/D28*100,0)</f>
        <v>0</v>
      </c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1" t="n">
        <f aca="false">IF(D29&gt;0,F29/D29*100,0)</f>
        <v>0</v>
      </c>
      <c r="H29" s="20"/>
      <c r="I29" s="20"/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8" t="n">
        <f aca="false">IF(D30&gt;0,F30/D30*100,0)</f>
        <v>0</v>
      </c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1" t="n">
        <f aca="false">IF(D31&gt;0,F31/D31*100,0)</f>
        <v>0</v>
      </c>
      <c r="H31" s="20"/>
      <c r="I31" s="20"/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8" t="n">
        <f aca="false">IF(D32&gt;0,F32/D32*100,0)</f>
        <v>0</v>
      </c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1" t="n">
        <f aca="false">IF(D33&gt;0,F33/D33*100,0)</f>
        <v>0</v>
      </c>
      <c r="H33" s="20"/>
      <c r="I33" s="20"/>
      <c r="J33" s="20"/>
    </row>
    <row r="35" customFormat="false" ht="25.5" hidden="false" customHeight="true" outlineLevel="0" collapsed="false">
      <c r="A35" s="28" t="s">
        <v>59</v>
      </c>
      <c r="B35" s="28"/>
      <c r="C35" s="28"/>
      <c r="D35" s="28"/>
      <c r="E35" s="28"/>
      <c r="F35" s="28"/>
      <c r="G35" s="28"/>
      <c r="H35" s="28"/>
      <c r="I35" s="28"/>
      <c r="J35" s="28"/>
    </row>
    <row r="36" customFormat="false" ht="23.85" hidden="false" customHeight="false" outlineLevel="0" collapsed="false">
      <c r="A36" s="29" t="s">
        <v>30</v>
      </c>
      <c r="B36" s="29" t="s">
        <v>31</v>
      </c>
      <c r="C36" s="29" t="s">
        <v>60</v>
      </c>
      <c r="D36" s="29" t="s">
        <v>61</v>
      </c>
      <c r="E36" s="29" t="s">
        <v>62</v>
      </c>
      <c r="F36" s="29" t="s">
        <v>63</v>
      </c>
      <c r="G36" s="29" t="s">
        <v>64</v>
      </c>
      <c r="H36" s="29" t="s">
        <v>65</v>
      </c>
      <c r="I36" s="29" t="s">
        <v>66</v>
      </c>
      <c r="J36" s="29" t="s">
        <v>67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9" customFormat="false" ht="25.5" hidden="false" customHeight="true" outlineLevel="0" collapsed="false">
      <c r="A59" s="30" t="s">
        <v>68</v>
      </c>
      <c r="B59" s="30"/>
      <c r="C59" s="30"/>
      <c r="D59" s="30"/>
      <c r="E59" s="30"/>
      <c r="F59" s="30"/>
      <c r="G59" s="30"/>
      <c r="H59" s="30"/>
      <c r="I59" s="30"/>
      <c r="J59" s="30"/>
    </row>
    <row r="60" customFormat="false" ht="23.85" hidden="false" customHeight="false" outlineLevel="0" collapsed="false">
      <c r="A60" s="31" t="s">
        <v>2</v>
      </c>
      <c r="B60" s="31" t="s">
        <v>69</v>
      </c>
      <c r="C60" s="31" t="s">
        <v>70</v>
      </c>
      <c r="D60" s="31" t="s">
        <v>71</v>
      </c>
      <c r="E60" s="31" t="s">
        <v>72</v>
      </c>
      <c r="F60" s="31" t="s">
        <v>73</v>
      </c>
      <c r="G60" s="31" t="s">
        <v>74</v>
      </c>
      <c r="H60" s="31" t="s">
        <v>75</v>
      </c>
      <c r="I60" s="31"/>
      <c r="J60" s="31"/>
    </row>
    <row r="61" customFormat="false" ht="30" hidden="false" customHeight="true" outlineLevel="0" collapsed="false">
      <c r="A61" s="4" t="n">
        <v>1</v>
      </c>
      <c r="B61" s="6" t="s">
        <v>76</v>
      </c>
      <c r="C61" s="20"/>
      <c r="D61" s="20"/>
      <c r="E61" s="20"/>
      <c r="F61" s="20"/>
      <c r="G61" s="20"/>
      <c r="H61" s="20"/>
      <c r="I61" s="32"/>
      <c r="J61" s="32"/>
    </row>
    <row r="62" customFormat="false" ht="30" hidden="false" customHeight="true" outlineLevel="0" collapsed="false">
      <c r="A62" s="8" t="n">
        <v>2</v>
      </c>
      <c r="B62" s="10" t="s">
        <v>77</v>
      </c>
      <c r="C62" s="17"/>
      <c r="D62" s="17"/>
      <c r="E62" s="17"/>
      <c r="F62" s="17"/>
      <c r="G62" s="17"/>
      <c r="H62" s="17"/>
      <c r="I62" s="33"/>
      <c r="J62" s="33"/>
    </row>
    <row r="63" customFormat="false" ht="30" hidden="false" customHeight="true" outlineLevel="0" collapsed="false">
      <c r="A63" s="4" t="n">
        <v>3</v>
      </c>
      <c r="B63" s="6" t="s">
        <v>78</v>
      </c>
      <c r="C63" s="20"/>
      <c r="D63" s="20"/>
      <c r="E63" s="20"/>
      <c r="F63" s="20"/>
      <c r="G63" s="20"/>
      <c r="H63" s="20"/>
      <c r="I63" s="32"/>
      <c r="J63" s="32"/>
    </row>
    <row r="64" customFormat="false" ht="30" hidden="false" customHeight="true" outlineLevel="0" collapsed="false">
      <c r="A64" s="8" t="n">
        <v>4</v>
      </c>
      <c r="B64" s="10" t="s">
        <v>79</v>
      </c>
      <c r="C64" s="17"/>
      <c r="D64" s="17"/>
      <c r="E64" s="17"/>
      <c r="F64" s="17"/>
      <c r="G64" s="17"/>
      <c r="H64" s="17"/>
      <c r="I64" s="33"/>
      <c r="J64" s="33"/>
    </row>
    <row r="65" customFormat="false" ht="30" hidden="false" customHeight="true" outlineLevel="0" collapsed="false">
      <c r="A65" s="4" t="n">
        <v>5</v>
      </c>
      <c r="B65" s="6" t="s">
        <v>80</v>
      </c>
      <c r="C65" s="20"/>
      <c r="D65" s="20"/>
      <c r="E65" s="20"/>
      <c r="F65" s="20"/>
      <c r="G65" s="20"/>
      <c r="H65" s="20"/>
      <c r="I65" s="32"/>
      <c r="J65" s="32"/>
    </row>
  </sheetData>
  <mergeCells count="4">
    <mergeCell ref="A1:J1"/>
    <mergeCell ref="A2:J2"/>
    <mergeCell ref="A35:J35"/>
    <mergeCell ref="A59:J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25.5" hidden="false" customHeight="true" outlineLevel="0" collapsed="false">
      <c r="A2" s="28" t="s">
        <v>81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35.05" hidden="false" customHeight="false" outlineLevel="0" collapsed="false">
      <c r="A3" s="29" t="s">
        <v>30</v>
      </c>
      <c r="B3" s="29" t="s">
        <v>31</v>
      </c>
      <c r="C3" s="29" t="s">
        <v>32</v>
      </c>
      <c r="D3" s="29" t="s">
        <v>82</v>
      </c>
      <c r="E3" s="29" t="s">
        <v>83</v>
      </c>
      <c r="F3" s="29" t="s">
        <v>37</v>
      </c>
      <c r="G3" s="29" t="s">
        <v>84</v>
      </c>
      <c r="H3" s="29" t="s">
        <v>85</v>
      </c>
      <c r="I3" s="29" t="s">
        <v>86</v>
      </c>
      <c r="J3" s="29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8" t="n">
        <f aca="false">IF(D4&gt;0,G4/D4,0)</f>
        <v>0</v>
      </c>
      <c r="I4" s="19"/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20"/>
      <c r="H5" s="21" t="n">
        <f aca="false">IF(D5&gt;0,G5/D5,0)</f>
        <v>0</v>
      </c>
      <c r="I5" s="22"/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8" t="n">
        <f aca="false">IF(D6&gt;0,G6/D6,0)</f>
        <v>0</v>
      </c>
      <c r="I6" s="19"/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20"/>
      <c r="H7" s="21" t="n">
        <f aca="false">IF(D7&gt;0,G7/D7,0)</f>
        <v>0</v>
      </c>
      <c r="I7" s="22"/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8" t="n">
        <f aca="false">IF(D8&gt;0,G8/D8,0)</f>
        <v>0</v>
      </c>
      <c r="I8" s="19"/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20"/>
      <c r="H9" s="21" t="n">
        <f aca="false">IF(D9&gt;0,G9/D9,0)</f>
        <v>0</v>
      </c>
      <c r="I9" s="22"/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8" t="n">
        <f aca="false">IF(D10&gt;0,G10/D10,0)</f>
        <v>0</v>
      </c>
      <c r="I10" s="19"/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20"/>
      <c r="H11" s="21" t="n">
        <f aca="false">IF(D11&gt;0,G11/D11,0)</f>
        <v>0</v>
      </c>
      <c r="I11" s="22"/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8" t="n">
        <f aca="false">IF(D12&gt;0,G12/D12,0)</f>
        <v>0</v>
      </c>
      <c r="I12" s="19"/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20"/>
      <c r="H13" s="21" t="n">
        <f aca="false">IF(D13&gt;0,G13/D13,0)</f>
        <v>0</v>
      </c>
      <c r="I13" s="22"/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8" t="n">
        <f aca="false">IF(D14&gt;0,G14/D14,0)</f>
        <v>0</v>
      </c>
      <c r="I14" s="19"/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20"/>
      <c r="H15" s="21" t="n">
        <f aca="false">IF(D15&gt;0,G15/D15,0)</f>
        <v>0</v>
      </c>
      <c r="I15" s="22"/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8" t="n">
        <f aca="false">IF(D16&gt;0,G16/D16,0)</f>
        <v>0</v>
      </c>
      <c r="I16" s="19"/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20"/>
      <c r="H17" s="21" t="n">
        <f aca="false">IF(D17&gt;0,G17/D17,0)</f>
        <v>0</v>
      </c>
      <c r="I17" s="22"/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8" t="n">
        <f aca="false">IF(D18&gt;0,G18/D18,0)</f>
        <v>0</v>
      </c>
      <c r="I18" s="19"/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20"/>
      <c r="H19" s="21" t="n">
        <f aca="false">IF(D19&gt;0,G19/D19,0)</f>
        <v>0</v>
      </c>
      <c r="I19" s="22"/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8" t="n">
        <f aca="false">IF(D20&gt;0,G20/D20,0)</f>
        <v>0</v>
      </c>
      <c r="I20" s="19"/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20"/>
      <c r="H21" s="21" t="n">
        <f aca="false">IF(D21&gt;0,G21/D21,0)</f>
        <v>0</v>
      </c>
      <c r="I21" s="22"/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8" t="n">
        <f aca="false">IF(D22&gt;0,G22/D22,0)</f>
        <v>0</v>
      </c>
      <c r="I22" s="19"/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20"/>
      <c r="H23" s="21" t="n">
        <f aca="false">IF(D23&gt;0,G23/D23,0)</f>
        <v>0</v>
      </c>
      <c r="I23" s="22"/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8" t="n">
        <f aca="false">IF(D24&gt;0,G24/D24,0)</f>
        <v>0</v>
      </c>
      <c r="I24" s="19"/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20"/>
      <c r="H25" s="21" t="n">
        <f aca="false">IF(D25&gt;0,G25/D25,0)</f>
        <v>0</v>
      </c>
      <c r="I25" s="22"/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8" t="n">
        <f aca="false">IF(D26&gt;0,G26/D26,0)</f>
        <v>0</v>
      </c>
      <c r="I26" s="19"/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20"/>
      <c r="H27" s="21" t="n">
        <f aca="false">IF(D27&gt;0,G27/D27,0)</f>
        <v>0</v>
      </c>
      <c r="I27" s="22"/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8" t="n">
        <f aca="false">IF(D28&gt;0,G28/D28,0)</f>
        <v>0</v>
      </c>
      <c r="I28" s="19"/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20"/>
      <c r="H29" s="21" t="n">
        <f aca="false">IF(D29&gt;0,G29/D29,0)</f>
        <v>0</v>
      </c>
      <c r="I29" s="22"/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8" t="n">
        <f aca="false">IF(D30&gt;0,G30/D30,0)</f>
        <v>0</v>
      </c>
      <c r="I30" s="19"/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20"/>
      <c r="H31" s="21" t="n">
        <f aca="false">IF(D31&gt;0,G31/D31,0)</f>
        <v>0</v>
      </c>
      <c r="I31" s="22"/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8" t="n">
        <f aca="false">IF(D32&gt;0,G32/D32,0)</f>
        <v>0</v>
      </c>
      <c r="I32" s="19"/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20"/>
      <c r="H33" s="21" t="n">
        <f aca="false">IF(D33&gt;0,G33/D33,0)</f>
        <v>0</v>
      </c>
      <c r="I33" s="22"/>
      <c r="J33" s="20"/>
    </row>
    <row r="35" customFormat="false" ht="25.5" hidden="false" customHeight="true" outlineLevel="0" collapsed="false">
      <c r="A35" s="35" t="s">
        <v>87</v>
      </c>
      <c r="B35" s="35"/>
      <c r="C35" s="35"/>
      <c r="D35" s="35"/>
      <c r="E35" s="35"/>
      <c r="F35" s="35"/>
      <c r="G35" s="35"/>
      <c r="H35" s="35"/>
      <c r="I35" s="35"/>
      <c r="J35" s="35"/>
    </row>
    <row r="36" customFormat="false" ht="23.85" hidden="false" customHeight="false" outlineLevel="0" collapsed="false">
      <c r="A36" s="36" t="s">
        <v>30</v>
      </c>
      <c r="B36" s="36" t="s">
        <v>31</v>
      </c>
      <c r="C36" s="36" t="s">
        <v>88</v>
      </c>
      <c r="D36" s="36" t="s">
        <v>89</v>
      </c>
      <c r="E36" s="36" t="s">
        <v>90</v>
      </c>
      <c r="F36" s="36" t="s">
        <v>91</v>
      </c>
      <c r="G36" s="36" t="s">
        <v>92</v>
      </c>
      <c r="H36" s="36" t="s">
        <v>93</v>
      </c>
      <c r="I36" s="36" t="s">
        <v>94</v>
      </c>
      <c r="J36" s="36" t="s">
        <v>95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7" t="n">
        <f aca="false">SUM(C37:I37)</f>
        <v>0</v>
      </c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1" t="n">
        <f aca="false">SUM(C38:I38)</f>
        <v>0</v>
      </c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7" t="n">
        <f aca="false">SUM(C39:I39)</f>
        <v>0</v>
      </c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1" t="n">
        <f aca="false">SUM(C40:I40)</f>
        <v>0</v>
      </c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7" t="n">
        <f aca="false">SUM(C41:I41)</f>
        <v>0</v>
      </c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1" t="n">
        <f aca="false">SUM(C42:I42)</f>
        <v>0</v>
      </c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7" t="n">
        <f aca="false">SUM(C43:I43)</f>
        <v>0</v>
      </c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1" t="n">
        <f aca="false">SUM(C44:I44)</f>
        <v>0</v>
      </c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7" t="n">
        <f aca="false">SUM(C45:I45)</f>
        <v>0</v>
      </c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1" t="n">
        <f aca="false">SUM(C46:I46)</f>
        <v>0</v>
      </c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7" t="n">
        <f aca="false">SUM(C47:I47)</f>
        <v>0</v>
      </c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1" t="n">
        <f aca="false">SUM(C48:I48)</f>
        <v>0</v>
      </c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7" t="n">
        <f aca="false">SUM(C49:I49)</f>
        <v>0</v>
      </c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1" t="n">
        <f aca="false">SUM(C50:I50)</f>
        <v>0</v>
      </c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7" t="n">
        <f aca="false">SUM(C51:I51)</f>
        <v>0</v>
      </c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1" t="n">
        <f aca="false">SUM(C52:I52)</f>
        <v>0</v>
      </c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7" t="n">
        <f aca="false">SUM(C53:I53)</f>
        <v>0</v>
      </c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1" t="n">
        <f aca="false">SUM(C54:I54)</f>
        <v>0</v>
      </c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7" t="n">
        <f aca="false">SUM(C55:I55)</f>
        <v>0</v>
      </c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1" t="n">
        <f aca="false">SUM(C56:I56)</f>
        <v>0</v>
      </c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7" t="s">
        <v>96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5.5" hidden="false" customHeight="true" outlineLevel="0" collapsed="false">
      <c r="A2" s="38" t="s">
        <v>97</v>
      </c>
      <c r="B2" s="38"/>
      <c r="C2" s="38"/>
      <c r="D2" s="38"/>
      <c r="E2" s="38"/>
      <c r="F2" s="38"/>
      <c r="G2" s="38"/>
      <c r="H2" s="38"/>
      <c r="I2" s="38"/>
      <c r="J2" s="38"/>
    </row>
    <row r="3" customFormat="false" ht="35.05" hidden="false" customHeight="false" outlineLevel="0" collapsed="false">
      <c r="A3" s="39" t="s">
        <v>30</v>
      </c>
      <c r="B3" s="39" t="s">
        <v>31</v>
      </c>
      <c r="C3" s="39" t="s">
        <v>32</v>
      </c>
      <c r="D3" s="39" t="s">
        <v>98</v>
      </c>
      <c r="E3" s="39" t="s">
        <v>99</v>
      </c>
      <c r="F3" s="39" t="s">
        <v>100</v>
      </c>
      <c r="G3" s="39" t="s">
        <v>101</v>
      </c>
      <c r="H3" s="39" t="s">
        <v>102</v>
      </c>
      <c r="I3" s="39" t="s">
        <v>103</v>
      </c>
      <c r="J3" s="39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SUM(D4:H4)</f>
        <v>0</v>
      </c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0"/>
      <c r="I5" s="4" t="n">
        <f aca="false">SUM(D5:H5)</f>
        <v>0</v>
      </c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SUM(D6:H6)</f>
        <v>0</v>
      </c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0"/>
      <c r="I7" s="4" t="n">
        <f aca="false">SUM(D7:H7)</f>
        <v>0</v>
      </c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SUM(D8:H8)</f>
        <v>0</v>
      </c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0"/>
      <c r="I9" s="4" t="n">
        <f aca="false">SUM(D9:H9)</f>
        <v>0</v>
      </c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SUM(D10:H10)</f>
        <v>0</v>
      </c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0"/>
      <c r="I11" s="4" t="n">
        <f aca="false">SUM(D11:H11)</f>
        <v>0</v>
      </c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SUM(D12:H12)</f>
        <v>0</v>
      </c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0"/>
      <c r="I13" s="4" t="n">
        <f aca="false">SUM(D13:H13)</f>
        <v>0</v>
      </c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SUM(D14:H14)</f>
        <v>0</v>
      </c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0"/>
      <c r="I15" s="4" t="n">
        <f aca="false">SUM(D15:H15)</f>
        <v>0</v>
      </c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SUM(D16:H16)</f>
        <v>0</v>
      </c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0"/>
      <c r="I17" s="4" t="n">
        <f aca="false">SUM(D17:H17)</f>
        <v>0</v>
      </c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SUM(D18:H18)</f>
        <v>0</v>
      </c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0"/>
      <c r="I19" s="4" t="n">
        <f aca="false">SUM(D19:H19)</f>
        <v>0</v>
      </c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SUM(D20:H20)</f>
        <v>0</v>
      </c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0"/>
      <c r="I21" s="4" t="n">
        <f aca="false">SUM(D21:H21)</f>
        <v>0</v>
      </c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SUM(D22:H22)</f>
        <v>0</v>
      </c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0"/>
      <c r="I23" s="4" t="n">
        <f aca="false">SUM(D23:H23)</f>
        <v>0</v>
      </c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SUM(D24:H24)</f>
        <v>0</v>
      </c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0"/>
      <c r="I25" s="4" t="n">
        <f aca="false">SUM(D25:H25)</f>
        <v>0</v>
      </c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SUM(D26:H26)</f>
        <v>0</v>
      </c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0"/>
      <c r="I27" s="4" t="n">
        <f aca="false">SUM(D27:H27)</f>
        <v>0</v>
      </c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SUM(D28:H28)</f>
        <v>0</v>
      </c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0"/>
      <c r="I29" s="4" t="n">
        <f aca="false">SUM(D29:H29)</f>
        <v>0</v>
      </c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SUM(D30:H30)</f>
        <v>0</v>
      </c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0"/>
      <c r="I31" s="4" t="n">
        <f aca="false">SUM(D31:H31)</f>
        <v>0</v>
      </c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SUM(D32:H32)</f>
        <v>0</v>
      </c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0"/>
      <c r="I33" s="4" t="n">
        <f aca="false">SUM(D33:H33)</f>
        <v>0</v>
      </c>
      <c r="J33" s="20"/>
    </row>
    <row r="35" customFormat="false" ht="25.5" hidden="false" customHeight="true" outlineLevel="0" collapsed="false">
      <c r="A35" s="40" t="s">
        <v>104</v>
      </c>
      <c r="B35" s="40"/>
      <c r="C35" s="40"/>
      <c r="D35" s="40"/>
      <c r="E35" s="40"/>
      <c r="F35" s="40"/>
      <c r="G35" s="40"/>
      <c r="H35" s="40"/>
      <c r="I35" s="40"/>
      <c r="J35" s="40"/>
    </row>
    <row r="36" customFormat="false" ht="46.25" hidden="false" customHeight="false" outlineLevel="0" collapsed="false">
      <c r="A36" s="41" t="s">
        <v>30</v>
      </c>
      <c r="B36" s="41" t="s">
        <v>105</v>
      </c>
      <c r="C36" s="41" t="s">
        <v>106</v>
      </c>
      <c r="D36" s="41" t="s">
        <v>107</v>
      </c>
      <c r="E36" s="41" t="s">
        <v>108</v>
      </c>
      <c r="F36" s="41" t="s">
        <v>109</v>
      </c>
      <c r="G36" s="41" t="s">
        <v>110</v>
      </c>
      <c r="H36" s="41" t="s">
        <v>111</v>
      </c>
      <c r="I36" s="41" t="s">
        <v>112</v>
      </c>
      <c r="J36" s="41" t="s">
        <v>31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20"/>
      <c r="C59" s="20"/>
      <c r="D59" s="20"/>
      <c r="E59" s="20"/>
      <c r="F59" s="20"/>
      <c r="G59" s="20"/>
      <c r="H59" s="20"/>
      <c r="I59" s="20"/>
      <c r="J59" s="20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20"/>
      <c r="C61" s="20"/>
      <c r="D61" s="20"/>
      <c r="E61" s="20"/>
      <c r="F61" s="20"/>
      <c r="G61" s="20"/>
      <c r="H61" s="20"/>
      <c r="I61" s="20"/>
      <c r="J61" s="20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20"/>
      <c r="C65" s="20"/>
      <c r="D65" s="20"/>
      <c r="E65" s="20"/>
      <c r="F65" s="20"/>
      <c r="G65" s="20"/>
      <c r="H65" s="20"/>
      <c r="I65" s="20"/>
      <c r="J65" s="20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31</v>
      </c>
      <c r="B67" s="20"/>
      <c r="C67" s="20"/>
      <c r="D67" s="20"/>
      <c r="E67" s="20"/>
      <c r="F67" s="20"/>
      <c r="G67" s="20"/>
      <c r="H67" s="20"/>
      <c r="I67" s="20"/>
      <c r="J67" s="20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33</v>
      </c>
      <c r="B69" s="20"/>
      <c r="C69" s="20"/>
      <c r="D69" s="20"/>
      <c r="E69" s="20"/>
      <c r="F69" s="20"/>
      <c r="G69" s="20"/>
      <c r="H69" s="20"/>
      <c r="I69" s="20"/>
      <c r="J69" s="20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35</v>
      </c>
      <c r="B71" s="20"/>
      <c r="C71" s="20"/>
      <c r="D71" s="20"/>
      <c r="E71" s="20"/>
      <c r="F71" s="20"/>
      <c r="G71" s="20"/>
      <c r="H71" s="20"/>
      <c r="I71" s="20"/>
      <c r="J71" s="20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37</v>
      </c>
      <c r="B73" s="20"/>
      <c r="C73" s="20"/>
      <c r="D73" s="20"/>
      <c r="E73" s="20"/>
      <c r="F73" s="20"/>
      <c r="G73" s="20"/>
      <c r="H73" s="20"/>
      <c r="I73" s="20"/>
      <c r="J73" s="20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39</v>
      </c>
      <c r="B75" s="20"/>
      <c r="C75" s="20"/>
      <c r="D75" s="20"/>
      <c r="E75" s="20"/>
      <c r="F75" s="20"/>
      <c r="G75" s="20"/>
      <c r="H75" s="20"/>
      <c r="I75" s="20"/>
      <c r="J75" s="20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</row>
    <row r="77" customFormat="false" ht="15" hidden="false" customHeight="false" outlineLevel="0" collapsed="false">
      <c r="A77" s="4" t="n">
        <v>41</v>
      </c>
      <c r="B77" s="20"/>
      <c r="C77" s="20"/>
      <c r="D77" s="20"/>
      <c r="E77" s="20"/>
      <c r="F77" s="20"/>
      <c r="G77" s="20"/>
      <c r="H77" s="20"/>
      <c r="I77" s="20"/>
      <c r="J77" s="20"/>
    </row>
    <row r="78" customFormat="false" ht="15" hidden="false" customHeight="false" outlineLevel="0" collapsed="false">
      <c r="A78" s="8" t="n">
        <v>42</v>
      </c>
      <c r="B78" s="17"/>
      <c r="C78" s="17"/>
      <c r="D78" s="17"/>
      <c r="E78" s="17"/>
      <c r="F78" s="17"/>
      <c r="G78" s="17"/>
      <c r="H78" s="17"/>
      <c r="I78" s="17"/>
      <c r="J78" s="17"/>
    </row>
    <row r="79" customFormat="false" ht="15" hidden="false" customHeight="false" outlineLevel="0" collapsed="false">
      <c r="A79" s="4" t="n">
        <v>43</v>
      </c>
      <c r="B79" s="20"/>
      <c r="C79" s="20"/>
      <c r="D79" s="20"/>
      <c r="E79" s="20"/>
      <c r="F79" s="20"/>
      <c r="G79" s="20"/>
      <c r="H79" s="20"/>
      <c r="I79" s="20"/>
      <c r="J79" s="20"/>
    </row>
    <row r="80" customFormat="false" ht="15" hidden="false" customHeight="false" outlineLevel="0" collapsed="false">
      <c r="A80" s="8" t="n">
        <v>44</v>
      </c>
      <c r="B80" s="17"/>
      <c r="C80" s="17"/>
      <c r="D80" s="17"/>
      <c r="E80" s="17"/>
      <c r="F80" s="17"/>
      <c r="G80" s="17"/>
      <c r="H80" s="17"/>
      <c r="I80" s="17"/>
      <c r="J80" s="17"/>
    </row>
    <row r="81" customFormat="false" ht="15" hidden="false" customHeight="false" outlineLevel="0" collapsed="false">
      <c r="A81" s="4" t="n">
        <v>45</v>
      </c>
      <c r="B81" s="20"/>
      <c r="C81" s="20"/>
      <c r="D81" s="20"/>
      <c r="E81" s="20"/>
      <c r="F81" s="20"/>
      <c r="G81" s="20"/>
      <c r="H81" s="20"/>
      <c r="I81" s="20"/>
      <c r="J81" s="20"/>
    </row>
    <row r="82" customFormat="false" ht="15" hidden="false" customHeight="false" outlineLevel="0" collapsed="false">
      <c r="A82" s="8" t="n">
        <v>46</v>
      </c>
      <c r="B82" s="17"/>
      <c r="C82" s="17"/>
      <c r="D82" s="17"/>
      <c r="E82" s="17"/>
      <c r="F82" s="17"/>
      <c r="G82" s="17"/>
      <c r="H82" s="17"/>
      <c r="I82" s="17"/>
      <c r="J82" s="17"/>
    </row>
    <row r="83" customFormat="false" ht="15" hidden="false" customHeight="false" outlineLevel="0" collapsed="false">
      <c r="A83" s="4" t="n">
        <v>47</v>
      </c>
      <c r="B83" s="20"/>
      <c r="C83" s="20"/>
      <c r="D83" s="20"/>
      <c r="E83" s="20"/>
      <c r="F83" s="20"/>
      <c r="G83" s="20"/>
      <c r="H83" s="20"/>
      <c r="I83" s="20"/>
      <c r="J83" s="20"/>
    </row>
    <row r="84" customFormat="false" ht="15" hidden="false" customHeight="false" outlineLevel="0" collapsed="false">
      <c r="A84" s="8" t="n">
        <v>48</v>
      </c>
      <c r="B84" s="17"/>
      <c r="C84" s="17"/>
      <c r="D84" s="17"/>
      <c r="E84" s="17"/>
      <c r="F84" s="17"/>
      <c r="G84" s="17"/>
      <c r="H84" s="17"/>
      <c r="I84" s="17"/>
      <c r="J84" s="17"/>
    </row>
    <row r="85" customFormat="false" ht="15" hidden="false" customHeight="false" outlineLevel="0" collapsed="false">
      <c r="A85" s="4" t="n">
        <v>49</v>
      </c>
      <c r="B85" s="20"/>
      <c r="C85" s="20"/>
      <c r="D85" s="20"/>
      <c r="E85" s="20"/>
      <c r="F85" s="20"/>
      <c r="G85" s="20"/>
      <c r="H85" s="20"/>
      <c r="I85" s="20"/>
      <c r="J85" s="20"/>
    </row>
    <row r="86" customFormat="false" ht="15" hidden="false" customHeight="false" outlineLevel="0" collapsed="false">
      <c r="A86" s="8" t="n">
        <v>50</v>
      </c>
      <c r="B86" s="17"/>
      <c r="C86" s="17"/>
      <c r="D86" s="17"/>
      <c r="E86" s="17"/>
      <c r="F86" s="17"/>
      <c r="G86" s="17"/>
      <c r="H86" s="17"/>
      <c r="I86" s="17"/>
      <c r="J8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2" t="s">
        <v>113</v>
      </c>
      <c r="B1" s="42"/>
      <c r="C1" s="42"/>
      <c r="D1" s="42"/>
      <c r="E1" s="42"/>
      <c r="F1" s="42"/>
      <c r="G1" s="42"/>
      <c r="H1" s="42"/>
      <c r="I1" s="42"/>
    </row>
    <row r="2" customFormat="false" ht="25.5" hidden="false" customHeight="true" outlineLevel="0" collapsed="false">
      <c r="A2" s="30" t="s">
        <v>114</v>
      </c>
      <c r="B2" s="30"/>
      <c r="C2" s="30"/>
      <c r="D2" s="30"/>
      <c r="E2" s="30"/>
      <c r="F2" s="30"/>
      <c r="G2" s="30"/>
      <c r="H2" s="30"/>
      <c r="I2" s="30"/>
    </row>
    <row r="3" customFormat="false" ht="25.5" hidden="false" customHeight="true" outlineLevel="0" collapsed="false">
      <c r="A3" s="23" t="s">
        <v>115</v>
      </c>
      <c r="B3" s="23"/>
      <c r="C3" s="23"/>
      <c r="D3" s="23"/>
      <c r="E3" s="23"/>
      <c r="F3" s="23"/>
      <c r="G3" s="23"/>
      <c r="H3" s="23"/>
      <c r="I3" s="23"/>
    </row>
    <row r="4" customFormat="false" ht="23.85" hidden="false" customHeight="false" outlineLevel="0" collapsed="false">
      <c r="A4" s="24" t="s">
        <v>30</v>
      </c>
      <c r="B4" s="24" t="s">
        <v>31</v>
      </c>
      <c r="C4" s="24" t="s">
        <v>32</v>
      </c>
      <c r="D4" s="24" t="s">
        <v>116</v>
      </c>
      <c r="E4" s="24" t="s">
        <v>117</v>
      </c>
      <c r="F4" s="24" t="s">
        <v>118</v>
      </c>
      <c r="G4" s="24" t="s">
        <v>119</v>
      </c>
      <c r="H4" s="24" t="s">
        <v>120</v>
      </c>
      <c r="I4" s="24" t="s">
        <v>121</v>
      </c>
    </row>
    <row r="5" customFormat="false" ht="15" hidden="false" customHeight="false" outlineLevel="0" collapsed="false">
      <c r="A5" s="4" t="n">
        <v>1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8" t="n">
        <v>2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4" t="n">
        <v>3</v>
      </c>
      <c r="B7" s="20"/>
      <c r="C7" s="20"/>
      <c r="D7" s="20"/>
      <c r="E7" s="20"/>
      <c r="F7" s="20"/>
      <c r="G7" s="20"/>
      <c r="H7" s="20"/>
      <c r="I7" s="20"/>
    </row>
    <row r="8" customFormat="false" ht="15" hidden="false" customHeight="false" outlineLevel="0" collapsed="false">
      <c r="A8" s="8" t="n">
        <v>4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5</v>
      </c>
      <c r="B9" s="20"/>
      <c r="C9" s="20"/>
      <c r="D9" s="20"/>
      <c r="E9" s="20"/>
      <c r="F9" s="20"/>
      <c r="G9" s="20"/>
      <c r="H9" s="20"/>
      <c r="I9" s="20"/>
    </row>
    <row r="10" customFormat="false" ht="15" hidden="false" customHeight="false" outlineLevel="0" collapsed="false">
      <c r="A10" s="8" t="n">
        <v>6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7</v>
      </c>
      <c r="B11" s="20"/>
      <c r="C11" s="20"/>
      <c r="D11" s="20"/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8" t="n">
        <v>8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9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8" t="n">
        <v>10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11</v>
      </c>
      <c r="B15" s="20"/>
      <c r="C15" s="20"/>
      <c r="D15" s="20"/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8" t="n">
        <v>12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13</v>
      </c>
      <c r="B17" s="20"/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8" t="n">
        <v>14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15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8" t="n">
        <v>16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17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8" t="n">
        <v>18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4" t="n">
        <v>19</v>
      </c>
      <c r="B23" s="20"/>
      <c r="C23" s="20"/>
      <c r="D23" s="20"/>
      <c r="E23" s="20"/>
      <c r="F23" s="20"/>
      <c r="G23" s="20"/>
      <c r="H23" s="20"/>
      <c r="I23" s="20"/>
    </row>
    <row r="24" customFormat="false" ht="15" hidden="false" customHeight="false" outlineLevel="0" collapsed="false">
      <c r="A24" s="8" t="n">
        <v>20</v>
      </c>
      <c r="B24" s="17"/>
      <c r="C24" s="17"/>
      <c r="D24" s="17"/>
      <c r="E24" s="17"/>
      <c r="F24" s="17"/>
      <c r="G24" s="17"/>
      <c r="H24" s="17"/>
      <c r="I24" s="17"/>
    </row>
    <row r="26" customFormat="false" ht="25.5" hidden="false" customHeight="true" outlineLevel="0" collapsed="false">
      <c r="A26" s="28" t="s">
        <v>122</v>
      </c>
      <c r="B26" s="28"/>
      <c r="C26" s="28"/>
      <c r="D26" s="28"/>
      <c r="E26" s="28"/>
      <c r="F26" s="28"/>
      <c r="G26" s="28"/>
      <c r="H26" s="28"/>
      <c r="I26" s="28"/>
    </row>
    <row r="27" customFormat="false" ht="23.85" hidden="false" customHeight="false" outlineLevel="0" collapsed="false">
      <c r="A27" s="29" t="s">
        <v>30</v>
      </c>
      <c r="B27" s="29" t="s">
        <v>31</v>
      </c>
      <c r="C27" s="29" t="s">
        <v>32</v>
      </c>
      <c r="D27" s="29" t="s">
        <v>123</v>
      </c>
      <c r="E27" s="29" t="s">
        <v>117</v>
      </c>
      <c r="F27" s="29" t="s">
        <v>118</v>
      </c>
      <c r="G27" s="29" t="s">
        <v>124</v>
      </c>
      <c r="H27" s="29" t="s">
        <v>125</v>
      </c>
      <c r="I27" s="29" t="s">
        <v>121</v>
      </c>
    </row>
    <row r="28" customFormat="false" ht="15" hidden="false" customHeight="false" outlineLevel="0" collapsed="false">
      <c r="A28" s="8" t="n">
        <v>1</v>
      </c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4" t="n">
        <v>2</v>
      </c>
      <c r="B29" s="20"/>
      <c r="C29" s="20"/>
      <c r="D29" s="20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8" t="n">
        <v>3</v>
      </c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4" t="n">
        <v>4</v>
      </c>
      <c r="B31" s="20"/>
      <c r="C31" s="20"/>
      <c r="D31" s="20"/>
      <c r="E31" s="20"/>
      <c r="F31" s="20"/>
      <c r="G31" s="20"/>
      <c r="H31" s="20"/>
      <c r="I31" s="20"/>
    </row>
    <row r="32" customFormat="false" ht="15" hidden="false" customHeight="false" outlineLevel="0" collapsed="false">
      <c r="A32" s="8" t="n">
        <v>5</v>
      </c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4" t="n">
        <v>6</v>
      </c>
      <c r="B33" s="20"/>
      <c r="C33" s="20"/>
      <c r="D33" s="20"/>
      <c r="E33" s="20"/>
      <c r="F33" s="20"/>
      <c r="G33" s="20"/>
      <c r="H33" s="20"/>
      <c r="I33" s="20"/>
    </row>
    <row r="34" customFormat="false" ht="15" hidden="false" customHeight="false" outlineLevel="0" collapsed="false">
      <c r="A34" s="8" t="n">
        <v>7</v>
      </c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4" t="n">
        <v>8</v>
      </c>
      <c r="B35" s="20"/>
      <c r="C35" s="20"/>
      <c r="D35" s="20"/>
      <c r="E35" s="20"/>
      <c r="F35" s="20"/>
      <c r="G35" s="20"/>
      <c r="H35" s="20"/>
      <c r="I35" s="20"/>
    </row>
    <row r="36" customFormat="false" ht="15" hidden="false" customHeight="false" outlineLevel="0" collapsed="false">
      <c r="A36" s="8" t="n">
        <v>9</v>
      </c>
      <c r="B36" s="17"/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A37" s="4" t="n">
        <v>10</v>
      </c>
      <c r="B37" s="20"/>
      <c r="C37" s="20"/>
      <c r="D37" s="20"/>
      <c r="E37" s="20"/>
      <c r="F37" s="20"/>
      <c r="G37" s="20"/>
      <c r="H37" s="20"/>
      <c r="I37" s="20"/>
    </row>
    <row r="38" customFormat="false" ht="15" hidden="false" customHeight="false" outlineLevel="0" collapsed="false">
      <c r="A38" s="8" t="n">
        <v>11</v>
      </c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A39" s="4" t="n">
        <v>12</v>
      </c>
      <c r="B39" s="20"/>
      <c r="C39" s="20"/>
      <c r="D39" s="20"/>
      <c r="E39" s="20"/>
      <c r="F39" s="20"/>
      <c r="G39" s="20"/>
      <c r="H39" s="20"/>
      <c r="I39" s="20"/>
    </row>
    <row r="40" customFormat="false" ht="15" hidden="false" customHeight="false" outlineLevel="0" collapsed="false">
      <c r="A40" s="8" t="n">
        <v>13</v>
      </c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4" t="n">
        <v>14</v>
      </c>
      <c r="B41" s="20"/>
      <c r="C41" s="20"/>
      <c r="D41" s="20"/>
      <c r="E41" s="20"/>
      <c r="F41" s="20"/>
      <c r="G41" s="20"/>
      <c r="H41" s="20"/>
      <c r="I41" s="20"/>
    </row>
    <row r="42" customFormat="false" ht="15" hidden="false" customHeight="false" outlineLevel="0" collapsed="false">
      <c r="A42" s="8" t="n">
        <v>15</v>
      </c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A43" s="4" t="n">
        <v>16</v>
      </c>
      <c r="B43" s="20"/>
      <c r="C43" s="20"/>
      <c r="D43" s="20"/>
      <c r="E43" s="20"/>
      <c r="F43" s="20"/>
      <c r="G43" s="20"/>
      <c r="H43" s="20"/>
      <c r="I43" s="20"/>
    </row>
    <row r="44" customFormat="false" ht="15" hidden="false" customHeight="false" outlineLevel="0" collapsed="false">
      <c r="A44" s="8" t="n">
        <v>17</v>
      </c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4" t="n">
        <v>18</v>
      </c>
      <c r="B45" s="20"/>
      <c r="C45" s="20"/>
      <c r="D45" s="20"/>
      <c r="E45" s="20"/>
      <c r="F45" s="20"/>
      <c r="G45" s="20"/>
      <c r="H45" s="20"/>
      <c r="I45" s="20"/>
    </row>
    <row r="46" customFormat="false" ht="15" hidden="false" customHeight="false" outlineLevel="0" collapsed="false">
      <c r="A46" s="8" t="n">
        <v>19</v>
      </c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4" t="n">
        <v>20</v>
      </c>
      <c r="B47" s="20"/>
      <c r="C47" s="20"/>
      <c r="D47" s="20"/>
      <c r="E47" s="20"/>
      <c r="F47" s="20"/>
      <c r="G47" s="20"/>
      <c r="H47" s="20"/>
      <c r="I47" s="20"/>
    </row>
    <row r="50" customFormat="false" ht="25.5" hidden="false" customHeight="true" outlineLevel="0" collapsed="false">
      <c r="A50" s="26" t="s">
        <v>126</v>
      </c>
      <c r="B50" s="26"/>
      <c r="C50" s="26"/>
      <c r="D50" s="26"/>
      <c r="E50" s="26"/>
      <c r="F50" s="26"/>
      <c r="G50" s="26"/>
      <c r="H50" s="26"/>
      <c r="I50" s="26"/>
    </row>
    <row r="51" customFormat="false" ht="23.85" hidden="false" customHeight="false" outlineLevel="0" collapsed="false">
      <c r="A51" s="27" t="s">
        <v>30</v>
      </c>
      <c r="B51" s="27" t="s">
        <v>31</v>
      </c>
      <c r="C51" s="27" t="s">
        <v>32</v>
      </c>
      <c r="D51" s="27" t="s">
        <v>127</v>
      </c>
      <c r="E51" s="27" t="s">
        <v>117</v>
      </c>
      <c r="F51" s="27" t="s">
        <v>118</v>
      </c>
      <c r="G51" s="27" t="s">
        <v>128</v>
      </c>
      <c r="H51" s="27" t="s">
        <v>129</v>
      </c>
      <c r="I51" s="27" t="s">
        <v>121</v>
      </c>
    </row>
    <row r="52" customFormat="false" ht="15" hidden="false" customHeight="false" outlineLevel="0" collapsed="false">
      <c r="A52" s="8" t="n">
        <v>1</v>
      </c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false" outlineLevel="0" collapsed="false">
      <c r="A53" s="4" t="n">
        <v>2</v>
      </c>
      <c r="B53" s="20"/>
      <c r="C53" s="20"/>
      <c r="D53" s="20"/>
      <c r="E53" s="20"/>
      <c r="F53" s="20"/>
      <c r="G53" s="20"/>
      <c r="H53" s="20"/>
      <c r="I53" s="20"/>
    </row>
    <row r="54" customFormat="false" ht="15" hidden="false" customHeight="false" outlineLevel="0" collapsed="false">
      <c r="A54" s="8" t="n">
        <v>3</v>
      </c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false" outlineLevel="0" collapsed="false">
      <c r="A55" s="4" t="n">
        <v>4</v>
      </c>
      <c r="B55" s="20"/>
      <c r="C55" s="20"/>
      <c r="D55" s="20"/>
      <c r="E55" s="20"/>
      <c r="F55" s="20"/>
      <c r="G55" s="20"/>
      <c r="H55" s="20"/>
      <c r="I55" s="20"/>
    </row>
    <row r="56" customFormat="false" ht="15" hidden="false" customHeight="false" outlineLevel="0" collapsed="false">
      <c r="A56" s="8" t="n">
        <v>5</v>
      </c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4" t="n">
        <v>6</v>
      </c>
      <c r="B57" s="20"/>
      <c r="C57" s="20"/>
      <c r="D57" s="20"/>
      <c r="E57" s="20"/>
      <c r="F57" s="20"/>
      <c r="G57" s="20"/>
      <c r="H57" s="20"/>
      <c r="I57" s="20"/>
    </row>
    <row r="58" customFormat="false" ht="15" hidden="false" customHeight="false" outlineLevel="0" collapsed="false">
      <c r="A58" s="8" t="n">
        <v>7</v>
      </c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false" outlineLevel="0" collapsed="false">
      <c r="A59" s="4" t="n">
        <v>8</v>
      </c>
      <c r="B59" s="20"/>
      <c r="C59" s="20"/>
      <c r="D59" s="20"/>
      <c r="E59" s="20"/>
      <c r="F59" s="20"/>
      <c r="G59" s="20"/>
      <c r="H59" s="20"/>
      <c r="I59" s="20"/>
    </row>
    <row r="60" customFormat="false" ht="15" hidden="false" customHeight="false" outlineLevel="0" collapsed="false">
      <c r="A60" s="8" t="n">
        <v>9</v>
      </c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A61" s="4" t="n">
        <v>10</v>
      </c>
      <c r="B61" s="20"/>
      <c r="C61" s="20"/>
      <c r="D61" s="20"/>
      <c r="E61" s="20"/>
      <c r="F61" s="20"/>
      <c r="G61" s="20"/>
      <c r="H61" s="20"/>
      <c r="I61" s="20"/>
    </row>
    <row r="62" customFormat="false" ht="15" hidden="false" customHeight="false" outlineLevel="0" collapsed="false">
      <c r="A62" s="8" t="n">
        <v>11</v>
      </c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false" outlineLevel="0" collapsed="false">
      <c r="A63" s="4" t="n">
        <v>12</v>
      </c>
      <c r="B63" s="20"/>
      <c r="C63" s="20"/>
      <c r="D63" s="20"/>
      <c r="E63" s="20"/>
      <c r="F63" s="20"/>
      <c r="G63" s="20"/>
      <c r="H63" s="20"/>
      <c r="I63" s="20"/>
    </row>
    <row r="64" customFormat="false" ht="15" hidden="false" customHeight="false" outlineLevel="0" collapsed="false">
      <c r="A64" s="8" t="n">
        <v>13</v>
      </c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false" outlineLevel="0" collapsed="false">
      <c r="A65" s="4" t="n">
        <v>14</v>
      </c>
      <c r="B65" s="20"/>
      <c r="C65" s="20"/>
      <c r="D65" s="20"/>
      <c r="E65" s="20"/>
      <c r="F65" s="20"/>
      <c r="G65" s="20"/>
      <c r="H65" s="20"/>
      <c r="I65" s="20"/>
    </row>
    <row r="66" customFormat="false" ht="15" hidden="false" customHeight="false" outlineLevel="0" collapsed="false">
      <c r="A66" s="8" t="n">
        <v>15</v>
      </c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false" outlineLevel="0" collapsed="false">
      <c r="A67" s="4" t="n">
        <v>16</v>
      </c>
      <c r="B67" s="20"/>
      <c r="C67" s="20"/>
      <c r="D67" s="20"/>
      <c r="E67" s="20"/>
      <c r="F67" s="20"/>
      <c r="G67" s="20"/>
      <c r="H67" s="20"/>
      <c r="I67" s="20"/>
    </row>
    <row r="68" customFormat="false" ht="15" hidden="false" customHeight="false" outlineLevel="0" collapsed="false">
      <c r="A68" s="8" t="n">
        <v>17</v>
      </c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false" outlineLevel="0" collapsed="false">
      <c r="A69" s="4" t="n">
        <v>18</v>
      </c>
      <c r="B69" s="20"/>
      <c r="C69" s="20"/>
      <c r="D69" s="20"/>
      <c r="E69" s="20"/>
      <c r="F69" s="20"/>
      <c r="G69" s="20"/>
      <c r="H69" s="20"/>
      <c r="I69" s="20"/>
    </row>
    <row r="70" customFormat="false" ht="15" hidden="false" customHeight="false" outlineLevel="0" collapsed="false">
      <c r="A70" s="8" t="n">
        <v>19</v>
      </c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false" outlineLevel="0" collapsed="false">
      <c r="A71" s="4" t="n">
        <v>20</v>
      </c>
      <c r="B71" s="20"/>
      <c r="C71" s="20"/>
      <c r="D71" s="20"/>
      <c r="E71" s="20"/>
      <c r="F71" s="20"/>
      <c r="G71" s="20"/>
      <c r="H71" s="20"/>
      <c r="I71" s="20"/>
    </row>
    <row r="74" customFormat="false" ht="25.5" hidden="false" customHeight="true" outlineLevel="0" collapsed="false">
      <c r="A74" s="12" t="s">
        <v>130</v>
      </c>
      <c r="B74" s="12"/>
      <c r="C74" s="12"/>
      <c r="D74" s="12"/>
      <c r="E74" s="12"/>
      <c r="F74" s="12"/>
      <c r="G74" s="12"/>
      <c r="H74" s="12"/>
      <c r="I74" s="12"/>
    </row>
    <row r="75" customFormat="false" ht="23.85" hidden="false" customHeight="false" outlineLevel="0" collapsed="false">
      <c r="A75" s="43" t="s">
        <v>30</v>
      </c>
      <c r="B75" s="43" t="s">
        <v>31</v>
      </c>
      <c r="C75" s="43" t="s">
        <v>131</v>
      </c>
      <c r="D75" s="43" t="s">
        <v>132</v>
      </c>
      <c r="E75" s="43" t="s">
        <v>133</v>
      </c>
      <c r="F75" s="43" t="s">
        <v>134</v>
      </c>
      <c r="G75" s="43" t="s">
        <v>135</v>
      </c>
      <c r="H75" s="43" t="s">
        <v>136</v>
      </c>
      <c r="I75" s="43" t="s">
        <v>121</v>
      </c>
    </row>
    <row r="76" customFormat="false" ht="15" hidden="false" customHeight="false" outlineLevel="0" collapsed="false">
      <c r="A76" s="8" t="n">
        <v>1</v>
      </c>
      <c r="B76" s="17"/>
      <c r="C76" s="17"/>
      <c r="D76" s="17"/>
      <c r="E76" s="17"/>
      <c r="F76" s="44" t="n">
        <f aca="false">C76*0.4+D76*0.3+E76*0.3</f>
        <v>0</v>
      </c>
      <c r="G76" s="45" t="n">
        <f aca="false">IF(F76&gt;0,(F76-1)/4*100,0)</f>
        <v>0</v>
      </c>
      <c r="H76" s="11" t="str">
        <f aca="false">IF(G76&gt;=80,"Excellent",IF(G76&gt;=60,"Good",IF(G76&gt;=40,"Moderate",IF(G76&gt;=20,"Below Avg","Poor"))))</f>
        <v>Poor</v>
      </c>
      <c r="I76" s="17"/>
    </row>
    <row r="77" customFormat="false" ht="15" hidden="false" customHeight="false" outlineLevel="0" collapsed="false">
      <c r="A77" s="4" t="n">
        <v>2</v>
      </c>
      <c r="B77" s="20"/>
      <c r="C77" s="20"/>
      <c r="D77" s="20"/>
      <c r="E77" s="20"/>
      <c r="F77" s="46" t="n">
        <f aca="false">C77*0.4+D77*0.3+E77*0.3</f>
        <v>0</v>
      </c>
      <c r="G77" s="47" t="n">
        <f aca="false">IF(F77&gt;0,(F77-1)/4*100,0)</f>
        <v>0</v>
      </c>
      <c r="H77" s="7" t="str">
        <f aca="false">IF(G77&gt;=80,"Excellent",IF(G77&gt;=60,"Good",IF(G77&gt;=40,"Moderate",IF(G77&gt;=20,"Below Avg","Poor"))))</f>
        <v>Poor</v>
      </c>
      <c r="I77" s="20"/>
    </row>
    <row r="78" customFormat="false" ht="15" hidden="false" customHeight="false" outlineLevel="0" collapsed="false">
      <c r="A78" s="8" t="n">
        <v>3</v>
      </c>
      <c r="B78" s="17"/>
      <c r="C78" s="17"/>
      <c r="D78" s="17"/>
      <c r="E78" s="17"/>
      <c r="F78" s="44" t="n">
        <f aca="false">C78*0.4+D78*0.3+E78*0.3</f>
        <v>0</v>
      </c>
      <c r="G78" s="45" t="n">
        <f aca="false">IF(F78&gt;0,(F78-1)/4*100,0)</f>
        <v>0</v>
      </c>
      <c r="H78" s="11" t="str">
        <f aca="false">IF(G78&gt;=80,"Excellent",IF(G78&gt;=60,"Good",IF(G78&gt;=40,"Moderate",IF(G78&gt;=20,"Below Avg","Poor"))))</f>
        <v>Poor</v>
      </c>
      <c r="I78" s="17"/>
    </row>
    <row r="79" customFormat="false" ht="15" hidden="false" customHeight="false" outlineLevel="0" collapsed="false">
      <c r="A79" s="4" t="n">
        <v>4</v>
      </c>
      <c r="B79" s="20"/>
      <c r="C79" s="20"/>
      <c r="D79" s="20"/>
      <c r="E79" s="20"/>
      <c r="F79" s="46" t="n">
        <f aca="false">C79*0.4+D79*0.3+E79*0.3</f>
        <v>0</v>
      </c>
      <c r="G79" s="47" t="n">
        <f aca="false">IF(F79&gt;0,(F79-1)/4*100,0)</f>
        <v>0</v>
      </c>
      <c r="H79" s="7" t="str">
        <f aca="false">IF(G79&gt;=80,"Excellent",IF(G79&gt;=60,"Good",IF(G79&gt;=40,"Moderate",IF(G79&gt;=20,"Below Avg","Poor"))))</f>
        <v>Poor</v>
      </c>
      <c r="I79" s="20"/>
    </row>
    <row r="80" customFormat="false" ht="15" hidden="false" customHeight="false" outlineLevel="0" collapsed="false">
      <c r="A80" s="8" t="n">
        <v>5</v>
      </c>
      <c r="B80" s="17"/>
      <c r="C80" s="17"/>
      <c r="D80" s="17"/>
      <c r="E80" s="17"/>
      <c r="F80" s="44" t="n">
        <f aca="false">C80*0.4+D80*0.3+E80*0.3</f>
        <v>0</v>
      </c>
      <c r="G80" s="45" t="n">
        <f aca="false">IF(F80&gt;0,(F80-1)/4*100,0)</f>
        <v>0</v>
      </c>
      <c r="H80" s="11" t="str">
        <f aca="false">IF(G80&gt;=80,"Excellent",IF(G80&gt;=60,"Good",IF(G80&gt;=40,"Moderate",IF(G80&gt;=20,"Below Avg","Poor"))))</f>
        <v>Poor</v>
      </c>
      <c r="I80" s="17"/>
    </row>
    <row r="81" customFormat="false" ht="15" hidden="false" customHeight="false" outlineLevel="0" collapsed="false">
      <c r="A81" s="4" t="n">
        <v>6</v>
      </c>
      <c r="B81" s="20"/>
      <c r="C81" s="20"/>
      <c r="D81" s="20"/>
      <c r="E81" s="20"/>
      <c r="F81" s="46" t="n">
        <f aca="false">C81*0.4+D81*0.3+E81*0.3</f>
        <v>0</v>
      </c>
      <c r="G81" s="47" t="n">
        <f aca="false">IF(F81&gt;0,(F81-1)/4*100,0)</f>
        <v>0</v>
      </c>
      <c r="H81" s="7" t="str">
        <f aca="false">IF(G81&gt;=80,"Excellent",IF(G81&gt;=60,"Good",IF(G81&gt;=40,"Moderate",IF(G81&gt;=20,"Below Avg","Poor"))))</f>
        <v>Poor</v>
      </c>
      <c r="I81" s="20"/>
    </row>
    <row r="82" customFormat="false" ht="15" hidden="false" customHeight="false" outlineLevel="0" collapsed="false">
      <c r="A82" s="8" t="n">
        <v>7</v>
      </c>
      <c r="B82" s="17"/>
      <c r="C82" s="17"/>
      <c r="D82" s="17"/>
      <c r="E82" s="17"/>
      <c r="F82" s="44" t="n">
        <f aca="false">C82*0.4+D82*0.3+E82*0.3</f>
        <v>0</v>
      </c>
      <c r="G82" s="45" t="n">
        <f aca="false">IF(F82&gt;0,(F82-1)/4*100,0)</f>
        <v>0</v>
      </c>
      <c r="H82" s="11" t="str">
        <f aca="false">IF(G82&gt;=80,"Excellent",IF(G82&gt;=60,"Good",IF(G82&gt;=40,"Moderate",IF(G82&gt;=20,"Below Avg","Poor"))))</f>
        <v>Poor</v>
      </c>
      <c r="I82" s="17"/>
    </row>
    <row r="83" customFormat="false" ht="15" hidden="false" customHeight="false" outlineLevel="0" collapsed="false">
      <c r="A83" s="4" t="n">
        <v>8</v>
      </c>
      <c r="B83" s="20"/>
      <c r="C83" s="20"/>
      <c r="D83" s="20"/>
      <c r="E83" s="20"/>
      <c r="F83" s="46" t="n">
        <f aca="false">C83*0.4+D83*0.3+E83*0.3</f>
        <v>0</v>
      </c>
      <c r="G83" s="47" t="n">
        <f aca="false">IF(F83&gt;0,(F83-1)/4*100,0)</f>
        <v>0</v>
      </c>
      <c r="H83" s="7" t="str">
        <f aca="false">IF(G83&gt;=80,"Excellent",IF(G83&gt;=60,"Good",IF(G83&gt;=40,"Moderate",IF(G83&gt;=20,"Below Avg","Poor"))))</f>
        <v>Poor</v>
      </c>
      <c r="I83" s="20"/>
    </row>
    <row r="84" customFormat="false" ht="15" hidden="false" customHeight="false" outlineLevel="0" collapsed="false">
      <c r="A84" s="8" t="n">
        <v>9</v>
      </c>
      <c r="B84" s="17"/>
      <c r="C84" s="17"/>
      <c r="D84" s="17"/>
      <c r="E84" s="17"/>
      <c r="F84" s="44" t="n">
        <f aca="false">C84*0.4+D84*0.3+E84*0.3</f>
        <v>0</v>
      </c>
      <c r="G84" s="45" t="n">
        <f aca="false">IF(F84&gt;0,(F84-1)/4*100,0)</f>
        <v>0</v>
      </c>
      <c r="H84" s="11" t="str">
        <f aca="false">IF(G84&gt;=80,"Excellent",IF(G84&gt;=60,"Good",IF(G84&gt;=40,"Moderate",IF(G84&gt;=20,"Below Avg","Poor"))))</f>
        <v>Poor</v>
      </c>
      <c r="I84" s="17"/>
    </row>
    <row r="85" customFormat="false" ht="15" hidden="false" customHeight="false" outlineLevel="0" collapsed="false">
      <c r="A85" s="4" t="n">
        <v>10</v>
      </c>
      <c r="B85" s="20"/>
      <c r="C85" s="20"/>
      <c r="D85" s="20"/>
      <c r="E85" s="20"/>
      <c r="F85" s="46" t="n">
        <f aca="false">C85*0.4+D85*0.3+E85*0.3</f>
        <v>0</v>
      </c>
      <c r="G85" s="47" t="n">
        <f aca="false">IF(F85&gt;0,(F85-1)/4*100,0)</f>
        <v>0</v>
      </c>
      <c r="H85" s="7" t="str">
        <f aca="false">IF(G85&gt;=80,"Excellent",IF(G85&gt;=60,"Good",IF(G85&gt;=40,"Moderate",IF(G85&gt;=20,"Below Avg","Poor"))))</f>
        <v>Poor</v>
      </c>
      <c r="I85" s="20"/>
    </row>
    <row r="86" customFormat="false" ht="15" hidden="false" customHeight="false" outlineLevel="0" collapsed="false">
      <c r="A86" s="8" t="n">
        <v>11</v>
      </c>
      <c r="B86" s="17"/>
      <c r="C86" s="17"/>
      <c r="D86" s="17"/>
      <c r="E86" s="17"/>
      <c r="F86" s="44" t="n">
        <f aca="false">C86*0.4+D86*0.3+E86*0.3</f>
        <v>0</v>
      </c>
      <c r="G86" s="45" t="n">
        <f aca="false">IF(F86&gt;0,(F86-1)/4*100,0)</f>
        <v>0</v>
      </c>
      <c r="H86" s="11" t="str">
        <f aca="false">IF(G86&gt;=80,"Excellent",IF(G86&gt;=60,"Good",IF(G86&gt;=40,"Moderate",IF(G86&gt;=20,"Below Avg","Poor"))))</f>
        <v>Poor</v>
      </c>
      <c r="I86" s="17"/>
    </row>
    <row r="87" customFormat="false" ht="15" hidden="false" customHeight="false" outlineLevel="0" collapsed="false">
      <c r="A87" s="4" t="n">
        <v>12</v>
      </c>
      <c r="B87" s="20"/>
      <c r="C87" s="20"/>
      <c r="D87" s="20"/>
      <c r="E87" s="20"/>
      <c r="F87" s="46" t="n">
        <f aca="false">C87*0.4+D87*0.3+E87*0.3</f>
        <v>0</v>
      </c>
      <c r="G87" s="47" t="n">
        <f aca="false">IF(F87&gt;0,(F87-1)/4*100,0)</f>
        <v>0</v>
      </c>
      <c r="H87" s="7" t="str">
        <f aca="false">IF(G87&gt;=80,"Excellent",IF(G87&gt;=60,"Good",IF(G87&gt;=40,"Moderate",IF(G87&gt;=20,"Below Avg","Poor"))))</f>
        <v>Poor</v>
      </c>
      <c r="I87" s="20"/>
    </row>
    <row r="88" customFormat="false" ht="15" hidden="false" customHeight="false" outlineLevel="0" collapsed="false">
      <c r="A88" s="8" t="n">
        <v>13</v>
      </c>
      <c r="B88" s="17"/>
      <c r="C88" s="17"/>
      <c r="D88" s="17"/>
      <c r="E88" s="17"/>
      <c r="F88" s="44" t="n">
        <f aca="false">C88*0.4+D88*0.3+E88*0.3</f>
        <v>0</v>
      </c>
      <c r="G88" s="45" t="n">
        <f aca="false">IF(F88&gt;0,(F88-1)/4*100,0)</f>
        <v>0</v>
      </c>
      <c r="H88" s="11" t="str">
        <f aca="false">IF(G88&gt;=80,"Excellent",IF(G88&gt;=60,"Good",IF(G88&gt;=40,"Moderate",IF(G88&gt;=20,"Below Avg","Poor"))))</f>
        <v>Poor</v>
      </c>
      <c r="I88" s="17"/>
    </row>
    <row r="89" customFormat="false" ht="15" hidden="false" customHeight="false" outlineLevel="0" collapsed="false">
      <c r="A89" s="4" t="n">
        <v>14</v>
      </c>
      <c r="B89" s="20"/>
      <c r="C89" s="20"/>
      <c r="D89" s="20"/>
      <c r="E89" s="20"/>
      <c r="F89" s="46" t="n">
        <f aca="false">C89*0.4+D89*0.3+E89*0.3</f>
        <v>0</v>
      </c>
      <c r="G89" s="47" t="n">
        <f aca="false">IF(F89&gt;0,(F89-1)/4*100,0)</f>
        <v>0</v>
      </c>
      <c r="H89" s="7" t="str">
        <f aca="false">IF(G89&gt;=80,"Excellent",IF(G89&gt;=60,"Good",IF(G89&gt;=40,"Moderate",IF(G89&gt;=20,"Below Avg","Poor"))))</f>
        <v>Poor</v>
      </c>
      <c r="I89" s="20"/>
    </row>
    <row r="90" customFormat="false" ht="15" hidden="false" customHeight="false" outlineLevel="0" collapsed="false">
      <c r="A90" s="8" t="n">
        <v>15</v>
      </c>
      <c r="B90" s="17"/>
      <c r="C90" s="17"/>
      <c r="D90" s="17"/>
      <c r="E90" s="17"/>
      <c r="F90" s="44" t="n">
        <f aca="false">C90*0.4+D90*0.3+E90*0.3</f>
        <v>0</v>
      </c>
      <c r="G90" s="45" t="n">
        <f aca="false">IF(F90&gt;0,(F90-1)/4*100,0)</f>
        <v>0</v>
      </c>
      <c r="H90" s="11" t="str">
        <f aca="false">IF(G90&gt;=80,"Excellent",IF(G90&gt;=60,"Good",IF(G90&gt;=40,"Moderate",IF(G90&gt;=20,"Below Avg","Poor"))))</f>
        <v>Poor</v>
      </c>
      <c r="I90" s="17"/>
    </row>
    <row r="91" customFormat="false" ht="15" hidden="false" customHeight="false" outlineLevel="0" collapsed="false">
      <c r="A91" s="4" t="n">
        <v>16</v>
      </c>
      <c r="B91" s="20"/>
      <c r="C91" s="20"/>
      <c r="D91" s="20"/>
      <c r="E91" s="20"/>
      <c r="F91" s="46" t="n">
        <f aca="false">C91*0.4+D91*0.3+E91*0.3</f>
        <v>0</v>
      </c>
      <c r="G91" s="47" t="n">
        <f aca="false">IF(F91&gt;0,(F91-1)/4*100,0)</f>
        <v>0</v>
      </c>
      <c r="H91" s="7" t="str">
        <f aca="false">IF(G91&gt;=80,"Excellent",IF(G91&gt;=60,"Good",IF(G91&gt;=40,"Moderate",IF(G91&gt;=20,"Below Avg","Poor"))))</f>
        <v>Poor</v>
      </c>
      <c r="I91" s="20"/>
    </row>
    <row r="92" customFormat="false" ht="15" hidden="false" customHeight="false" outlineLevel="0" collapsed="false">
      <c r="A92" s="8" t="n">
        <v>17</v>
      </c>
      <c r="B92" s="17"/>
      <c r="C92" s="17"/>
      <c r="D92" s="17"/>
      <c r="E92" s="17"/>
      <c r="F92" s="44" t="n">
        <f aca="false">C92*0.4+D92*0.3+E92*0.3</f>
        <v>0</v>
      </c>
      <c r="G92" s="45" t="n">
        <f aca="false">IF(F92&gt;0,(F92-1)/4*100,0)</f>
        <v>0</v>
      </c>
      <c r="H92" s="11" t="str">
        <f aca="false">IF(G92&gt;=80,"Excellent",IF(G92&gt;=60,"Good",IF(G92&gt;=40,"Moderate",IF(G92&gt;=20,"Below Avg","Poor"))))</f>
        <v>Poor</v>
      </c>
      <c r="I92" s="17"/>
    </row>
    <row r="93" customFormat="false" ht="15" hidden="false" customHeight="false" outlineLevel="0" collapsed="false">
      <c r="A93" s="4" t="n">
        <v>18</v>
      </c>
      <c r="B93" s="20"/>
      <c r="C93" s="20"/>
      <c r="D93" s="20"/>
      <c r="E93" s="20"/>
      <c r="F93" s="46" t="n">
        <f aca="false">C93*0.4+D93*0.3+E93*0.3</f>
        <v>0</v>
      </c>
      <c r="G93" s="47" t="n">
        <f aca="false">IF(F93&gt;0,(F93-1)/4*100,0)</f>
        <v>0</v>
      </c>
      <c r="H93" s="7" t="str">
        <f aca="false">IF(G93&gt;=80,"Excellent",IF(G93&gt;=60,"Good",IF(G93&gt;=40,"Moderate",IF(G93&gt;=20,"Below Avg","Poor"))))</f>
        <v>Poor</v>
      </c>
      <c r="I93" s="20"/>
    </row>
    <row r="94" customFormat="false" ht="15" hidden="false" customHeight="false" outlineLevel="0" collapsed="false">
      <c r="A94" s="8" t="n">
        <v>19</v>
      </c>
      <c r="B94" s="17"/>
      <c r="C94" s="17"/>
      <c r="D94" s="17"/>
      <c r="E94" s="17"/>
      <c r="F94" s="44" t="n">
        <f aca="false">C94*0.4+D94*0.3+E94*0.3</f>
        <v>0</v>
      </c>
      <c r="G94" s="45" t="n">
        <f aca="false">IF(F94&gt;0,(F94-1)/4*100,0)</f>
        <v>0</v>
      </c>
      <c r="H94" s="11" t="str">
        <f aca="false">IF(G94&gt;=80,"Excellent",IF(G94&gt;=60,"Good",IF(G94&gt;=40,"Moderate",IF(G94&gt;=20,"Below Avg","Poor"))))</f>
        <v>Poor</v>
      </c>
      <c r="I94" s="17"/>
    </row>
    <row r="95" customFormat="false" ht="15" hidden="false" customHeight="false" outlineLevel="0" collapsed="false">
      <c r="A95" s="4" t="n">
        <v>20</v>
      </c>
      <c r="B95" s="20"/>
      <c r="C95" s="20"/>
      <c r="D95" s="20"/>
      <c r="E95" s="20"/>
      <c r="F95" s="46" t="n">
        <f aca="false">C95*0.4+D95*0.3+E95*0.3</f>
        <v>0</v>
      </c>
      <c r="G95" s="47" t="n">
        <f aca="false">IF(F95&gt;0,(F95-1)/4*100,0)</f>
        <v>0</v>
      </c>
      <c r="H95" s="7" t="str">
        <f aca="false">IF(G95&gt;=80,"Excellent",IF(G95&gt;=60,"Good",IF(G95&gt;=40,"Moderate",IF(G95&gt;=20,"Below Avg","Poor"))))</f>
        <v>Poor</v>
      </c>
      <c r="I95" s="20"/>
    </row>
  </sheetData>
  <mergeCells count="6">
    <mergeCell ref="A1:I1"/>
    <mergeCell ref="A2:I2"/>
    <mergeCell ref="A3:I3"/>
    <mergeCell ref="A26:I26"/>
    <mergeCell ref="A50:I50"/>
    <mergeCell ref="A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8" t="s">
        <v>137</v>
      </c>
      <c r="B1" s="48"/>
      <c r="C1" s="48"/>
      <c r="D1" s="48"/>
      <c r="E1" s="48"/>
      <c r="F1" s="48"/>
      <c r="G1" s="48"/>
    </row>
    <row r="2" customFormat="false" ht="25.5" hidden="false" customHeight="true" outlineLevel="0" collapsed="false">
      <c r="A2" s="49" t="s">
        <v>138</v>
      </c>
      <c r="B2" s="49"/>
      <c r="C2" s="49"/>
      <c r="D2" s="49"/>
      <c r="E2" s="49"/>
      <c r="F2" s="49"/>
      <c r="G2" s="49"/>
    </row>
    <row r="3" customFormat="false" ht="15" hidden="false" customHeight="false" outlineLevel="0" collapsed="false">
      <c r="A3" s="50" t="s">
        <v>2</v>
      </c>
      <c r="B3" s="50" t="s">
        <v>31</v>
      </c>
      <c r="C3" s="50" t="s">
        <v>139</v>
      </c>
      <c r="D3" s="50" t="s">
        <v>140</v>
      </c>
      <c r="E3" s="50" t="s">
        <v>141</v>
      </c>
      <c r="F3" s="50" t="s">
        <v>142</v>
      </c>
      <c r="G3" s="50" t="s">
        <v>121</v>
      </c>
    </row>
    <row r="4" customFormat="false" ht="27.75" hidden="false" customHeight="true" outlineLevel="0" collapsed="false">
      <c r="A4" s="8" t="n">
        <v>1</v>
      </c>
      <c r="B4" s="17"/>
      <c r="C4" s="10" t="s">
        <v>143</v>
      </c>
      <c r="D4" s="17"/>
      <c r="E4" s="17"/>
      <c r="F4" s="51" t="str">
        <f aca="false">IF(AND(D4&lt;&gt;"",E4&lt;&gt;""),IF(D4&gt;=E4,"Achieved",IF(D4&gt;=E4*0.75,"On Track","Behind")),"—")</f>
        <v>—</v>
      </c>
      <c r="G4" s="17"/>
    </row>
    <row r="5" customFormat="false" ht="27.75" hidden="false" customHeight="true" outlineLevel="0" collapsed="false">
      <c r="A5" s="4" t="n">
        <v>2</v>
      </c>
      <c r="B5" s="20"/>
      <c r="C5" s="6" t="s">
        <v>144</v>
      </c>
      <c r="D5" s="20"/>
      <c r="E5" s="20"/>
      <c r="F5" s="52" t="str">
        <f aca="false">IF(AND(D5&lt;&gt;"",E5&lt;&gt;""),IF(D5&gt;=E5,"Achieved",IF(D5&gt;=E5*0.75,"On Track","Behind")),"—")</f>
        <v>—</v>
      </c>
      <c r="G5" s="20"/>
    </row>
    <row r="6" customFormat="false" ht="27.75" hidden="false" customHeight="true" outlineLevel="0" collapsed="false">
      <c r="A6" s="8" t="n">
        <v>3</v>
      </c>
      <c r="B6" s="17"/>
      <c r="C6" s="10" t="s">
        <v>145</v>
      </c>
      <c r="D6" s="17"/>
      <c r="E6" s="17"/>
      <c r="F6" s="51" t="str">
        <f aca="false">IF(AND(D6&lt;&gt;"",E6&lt;&gt;""),IF(D6&gt;=E6,"Achieved",IF(D6&gt;=E6*0.75,"On Track","Behind")),"—")</f>
        <v>—</v>
      </c>
      <c r="G6" s="17"/>
    </row>
    <row r="7" customFormat="false" ht="27.75" hidden="false" customHeight="true" outlineLevel="0" collapsed="false">
      <c r="A7" s="4" t="n">
        <v>4</v>
      </c>
      <c r="B7" s="20"/>
      <c r="C7" s="6" t="s">
        <v>146</v>
      </c>
      <c r="D7" s="20"/>
      <c r="E7" s="20"/>
      <c r="F7" s="52" t="str">
        <f aca="false">IF(AND(D7&lt;&gt;"",E7&lt;&gt;""),IF(D7&gt;=E7,"Achieved",IF(D7&gt;=E7*0.75,"On Track","Behind")),"—")</f>
        <v>—</v>
      </c>
      <c r="G7" s="20"/>
    </row>
    <row r="8" customFormat="false" ht="27.75" hidden="false" customHeight="true" outlineLevel="0" collapsed="false">
      <c r="A8" s="8" t="n">
        <v>5</v>
      </c>
      <c r="B8" s="17"/>
      <c r="C8" s="10" t="s">
        <v>147</v>
      </c>
      <c r="D8" s="17"/>
      <c r="E8" s="17"/>
      <c r="F8" s="51" t="str">
        <f aca="false">IF(AND(D8&lt;&gt;"",E8&lt;&gt;""),IF(D8&gt;=E8,"Achieved",IF(D8&gt;=E8*0.75,"On Track","Behind")),"—")</f>
        <v>—</v>
      </c>
      <c r="G8" s="17"/>
    </row>
    <row r="9" customFormat="false" ht="27.75" hidden="false" customHeight="true" outlineLevel="0" collapsed="false">
      <c r="A9" s="4" t="n">
        <v>6</v>
      </c>
      <c r="B9" s="20"/>
      <c r="C9" s="6" t="s">
        <v>148</v>
      </c>
      <c r="D9" s="20"/>
      <c r="E9" s="20"/>
      <c r="F9" s="52" t="str">
        <f aca="false">IF(AND(D9&lt;&gt;"",E9&lt;&gt;""),IF(D9&gt;=E9,"Achieved",IF(D9&gt;=E9*0.75,"On Track","Behind")),"—")</f>
        <v>—</v>
      </c>
      <c r="G9" s="20"/>
    </row>
    <row r="10" customFormat="false" ht="27.75" hidden="false" customHeight="true" outlineLevel="0" collapsed="false">
      <c r="A10" s="8" t="n">
        <v>7</v>
      </c>
      <c r="B10" s="17"/>
      <c r="C10" s="10" t="s">
        <v>149</v>
      </c>
      <c r="D10" s="17"/>
      <c r="E10" s="17"/>
      <c r="F10" s="51" t="str">
        <f aca="false">IF(AND(D10&lt;&gt;"",E10&lt;&gt;""),IF(D10&gt;=E10,"Achieved",IF(D10&gt;=E10*0.75,"On Track","Behind")),"—")</f>
        <v>—</v>
      </c>
      <c r="G10" s="17"/>
    </row>
    <row r="11" customFormat="false" ht="27.75" hidden="false" customHeight="true" outlineLevel="0" collapsed="false">
      <c r="A11" s="4" t="n">
        <v>8</v>
      </c>
      <c r="B11" s="20"/>
      <c r="C11" s="6" t="s">
        <v>150</v>
      </c>
      <c r="D11" s="20"/>
      <c r="E11" s="20"/>
      <c r="F11" s="52" t="str">
        <f aca="false">IF(AND(D11&lt;&gt;"",E11&lt;&gt;""),IF(D11&gt;=E11,"Achieved",IF(D11&gt;=E11*0.75,"On Track","Behind")),"—")</f>
        <v>—</v>
      </c>
      <c r="G11" s="20"/>
    </row>
    <row r="12" customFormat="false" ht="27.75" hidden="false" customHeight="true" outlineLevel="0" collapsed="false">
      <c r="A12" s="8" t="n">
        <v>9</v>
      </c>
      <c r="B12" s="17"/>
      <c r="C12" s="10" t="s">
        <v>151</v>
      </c>
      <c r="D12" s="17"/>
      <c r="E12" s="17"/>
      <c r="F12" s="51" t="str">
        <f aca="false">IF(AND(D12&lt;&gt;"",E12&lt;&gt;""),IF(D12&gt;=E12,"Achieved",IF(D12&gt;=E12*0.75,"On Track","Behind")),"—")</f>
        <v>—</v>
      </c>
      <c r="G12" s="17"/>
    </row>
    <row r="13" customFormat="false" ht="27.75" hidden="false" customHeight="true" outlineLevel="0" collapsed="false">
      <c r="A13" s="4" t="n">
        <v>10</v>
      </c>
      <c r="B13" s="20"/>
      <c r="C13" s="6" t="s">
        <v>152</v>
      </c>
      <c r="D13" s="20"/>
      <c r="E13" s="20"/>
      <c r="F13" s="52" t="str">
        <f aca="false">IF(AND(D13&lt;&gt;"",E13&lt;&gt;""),IF(D13&gt;=E13,"Achieved",IF(D13&gt;=E13*0.75,"On Track","Behind")),"—")</f>
        <v>—</v>
      </c>
      <c r="G13" s="20"/>
    </row>
    <row r="14" customFormat="false" ht="27.75" hidden="false" customHeight="true" outlineLevel="0" collapsed="false">
      <c r="A14" s="8" t="n">
        <v>11</v>
      </c>
      <c r="B14" s="17"/>
      <c r="C14" s="10" t="s">
        <v>153</v>
      </c>
      <c r="D14" s="17"/>
      <c r="E14" s="17"/>
      <c r="F14" s="51" t="str">
        <f aca="false">IF(AND(D14&lt;&gt;"",E14&lt;&gt;""),IF(D14&gt;=E14,"Achieved",IF(D14&gt;=E14*0.75,"On Track","Behind")),"—")</f>
        <v>—</v>
      </c>
      <c r="G14" s="17"/>
    </row>
    <row r="15" customFormat="false" ht="27.75" hidden="false" customHeight="true" outlineLevel="0" collapsed="false">
      <c r="A15" s="4" t="n">
        <v>12</v>
      </c>
      <c r="B15" s="20"/>
      <c r="C15" s="6" t="s">
        <v>154</v>
      </c>
      <c r="D15" s="20"/>
      <c r="E15" s="20"/>
      <c r="F15" s="52" t="str">
        <f aca="false">IF(AND(D15&lt;&gt;"",E15&lt;&gt;""),IF(D15&gt;=E15,"Achieved",IF(D15&gt;=E15*0.75,"On Track","Behind")),"—")</f>
        <v>—</v>
      </c>
      <c r="G15" s="20"/>
    </row>
    <row r="16" customFormat="false" ht="27.75" hidden="false" customHeight="true" outlineLevel="0" collapsed="false">
      <c r="A16" s="8" t="n">
        <v>13</v>
      </c>
      <c r="B16" s="17"/>
      <c r="C16" s="10" t="s">
        <v>155</v>
      </c>
      <c r="D16" s="17"/>
      <c r="E16" s="17"/>
      <c r="F16" s="51" t="str">
        <f aca="false">IF(AND(D16&lt;&gt;"",E16&lt;&gt;""),IF(D16&gt;=E16,"Achieved",IF(D16&gt;=E16*0.75,"On Track","Behind")),"—")</f>
        <v>—</v>
      </c>
      <c r="G16" s="17"/>
    </row>
    <row r="17" customFormat="false" ht="27.75" hidden="false" customHeight="true" outlineLevel="0" collapsed="false">
      <c r="A17" s="4" t="n">
        <v>14</v>
      </c>
      <c r="B17" s="20"/>
      <c r="C17" s="6" t="s">
        <v>156</v>
      </c>
      <c r="D17" s="20"/>
      <c r="E17" s="20"/>
      <c r="F17" s="52" t="str">
        <f aca="false">IF(AND(D17&lt;&gt;"",E17&lt;&gt;""),IF(D17&gt;=E17,"Achieved",IF(D17&gt;=E17*0.75,"On Track","Behind")),"—")</f>
        <v>—</v>
      </c>
      <c r="G17" s="20"/>
    </row>
    <row r="18" customFormat="false" ht="27.75" hidden="false" customHeight="true" outlineLevel="0" collapsed="false">
      <c r="A18" s="8" t="n">
        <v>15</v>
      </c>
      <c r="B18" s="17"/>
      <c r="C18" s="10" t="s">
        <v>157</v>
      </c>
      <c r="D18" s="17"/>
      <c r="E18" s="17"/>
      <c r="F18" s="51" t="str">
        <f aca="false">IF(AND(D18&lt;&gt;"",E18&lt;&gt;""),IF(D18&gt;=E18,"Achieved",IF(D18&gt;=E18*0.75,"On Track","Behind")),"—")</f>
        <v>—</v>
      </c>
      <c r="G18" s="17"/>
    </row>
    <row r="19" customFormat="false" ht="27.75" hidden="false" customHeight="true" outlineLevel="0" collapsed="false">
      <c r="A19" s="4" t="n">
        <v>16</v>
      </c>
      <c r="B19" s="20"/>
      <c r="C19" s="6" t="s">
        <v>158</v>
      </c>
      <c r="D19" s="20"/>
      <c r="E19" s="20"/>
      <c r="F19" s="52" t="str">
        <f aca="false">IF(AND(D19&lt;&gt;"",E19&lt;&gt;""),IF(D19&gt;=E19,"Achieved",IF(D19&gt;=E19*0.75,"On Track","Behind")),"—")</f>
        <v>—</v>
      </c>
      <c r="G19" s="20"/>
    </row>
    <row r="20" customFormat="false" ht="27.75" hidden="false" customHeight="true" outlineLevel="0" collapsed="false">
      <c r="A20" s="8" t="n">
        <v>17</v>
      </c>
      <c r="B20" s="17"/>
      <c r="C20" s="10" t="s">
        <v>159</v>
      </c>
      <c r="D20" s="17"/>
      <c r="E20" s="17"/>
      <c r="F20" s="51" t="str">
        <f aca="false">IF(AND(D20&lt;&gt;"",E20&lt;&gt;""),IF(D20&gt;=E20,"Achieved",IF(D20&gt;=E20*0.75,"On Track","Behind")),"—")</f>
        <v>—</v>
      </c>
      <c r="G20" s="17"/>
    </row>
    <row r="21" customFormat="false" ht="27.75" hidden="false" customHeight="true" outlineLevel="0" collapsed="false">
      <c r="A21" s="4" t="n">
        <v>18</v>
      </c>
      <c r="B21" s="20"/>
      <c r="C21" s="6" t="s">
        <v>160</v>
      </c>
      <c r="D21" s="20"/>
      <c r="E21" s="20"/>
      <c r="F21" s="52" t="str">
        <f aca="false">IF(AND(D21&lt;&gt;"",E21&lt;&gt;""),IF(D21&gt;=E21,"Achieved",IF(D21&gt;=E21*0.75,"On Track","Behind")),"—")</f>
        <v>—</v>
      </c>
      <c r="G21" s="20"/>
    </row>
    <row r="22" customFormat="false" ht="27.75" hidden="false" customHeight="true" outlineLevel="0" collapsed="false">
      <c r="A22" s="8" t="n">
        <v>19</v>
      </c>
      <c r="B22" s="17"/>
      <c r="C22" s="10" t="s">
        <v>161</v>
      </c>
      <c r="D22" s="17"/>
      <c r="E22" s="17"/>
      <c r="F22" s="51" t="str">
        <f aca="false">IF(AND(D22&lt;&gt;"",E22&lt;&gt;""),IF(D22&gt;=E22,"Achieved",IF(D22&gt;=E22*0.75,"On Track","Behind")),"—")</f>
        <v>—</v>
      </c>
      <c r="G22" s="17"/>
    </row>
    <row r="23" customFormat="false" ht="27.75" hidden="false" customHeight="true" outlineLevel="0" collapsed="false">
      <c r="A23" s="4" t="n">
        <v>20</v>
      </c>
      <c r="B23" s="20"/>
      <c r="C23" s="6" t="s">
        <v>162</v>
      </c>
      <c r="D23" s="20"/>
      <c r="E23" s="20"/>
      <c r="F23" s="52" t="str">
        <f aca="false">IF(AND(D23&lt;&gt;"",E23&lt;&gt;""),IF(D23&gt;=E23,"Achieved",IF(D23&gt;=E23*0.75,"On Track","Behind")),"—")</f>
        <v>—</v>
      </c>
      <c r="G23" s="20"/>
    </row>
    <row r="25" customFormat="false" ht="25.5" hidden="false" customHeight="true" outlineLevel="0" collapsed="false">
      <c r="A25" s="35" t="s">
        <v>163</v>
      </c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A26" s="53" t="s">
        <v>164</v>
      </c>
      <c r="B26" s="53"/>
      <c r="C26" s="53"/>
      <c r="D26" s="54" t="n">
        <f aca="false">COUNTIF(F4:F23,"Achieved")</f>
        <v>0</v>
      </c>
      <c r="E26" s="55"/>
      <c r="F26" s="55"/>
      <c r="G26" s="55"/>
    </row>
    <row r="27" customFormat="false" ht="15" hidden="false" customHeight="true" outlineLevel="0" collapsed="false">
      <c r="A27" s="53" t="s">
        <v>165</v>
      </c>
      <c r="B27" s="53"/>
      <c r="C27" s="53"/>
      <c r="D27" s="54" t="n">
        <f aca="false">COUNTIF(F4:F23,"On Track")</f>
        <v>0</v>
      </c>
      <c r="E27" s="55"/>
      <c r="F27" s="55"/>
      <c r="G27" s="55"/>
    </row>
    <row r="28" customFormat="false" ht="15" hidden="false" customHeight="true" outlineLevel="0" collapsed="false">
      <c r="A28" s="53" t="s">
        <v>166</v>
      </c>
      <c r="B28" s="53"/>
      <c r="C28" s="53"/>
      <c r="D28" s="54" t="n">
        <f aca="false">COUNTIF(F4:F23,"Behind")</f>
        <v>0</v>
      </c>
      <c r="E28" s="55"/>
      <c r="F28" s="55"/>
      <c r="G28" s="55"/>
    </row>
    <row r="29" customFormat="false" ht="15" hidden="false" customHeight="true" outlineLevel="0" collapsed="false">
      <c r="A29" s="53" t="s">
        <v>167</v>
      </c>
      <c r="B29" s="53"/>
      <c r="C29" s="53"/>
      <c r="D29" s="54" t="n">
        <f aca="false">IFERROR((COUNTIF(F4:F23,"Achieved")+COUNTIF(F4:F23,"On Track"))/(COUNTA(F4:F23)-COUNTIF(F4:F23,"—"))*100,0)</f>
        <v>0</v>
      </c>
      <c r="E29" s="55"/>
      <c r="F29" s="55"/>
      <c r="G29" s="55"/>
    </row>
  </sheetData>
  <mergeCells count="7">
    <mergeCell ref="A1:G1"/>
    <mergeCell ref="A2:G2"/>
    <mergeCell ref="A25:G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6" t="s">
        <v>168</v>
      </c>
      <c r="B1" s="56"/>
      <c r="C1" s="56"/>
      <c r="D1" s="56"/>
      <c r="E1" s="56"/>
      <c r="F1" s="56"/>
      <c r="G1" s="56"/>
      <c r="H1" s="56"/>
      <c r="I1" s="56"/>
    </row>
    <row r="2" customFormat="false" ht="25.5" hidden="false" customHeight="true" outlineLevel="0" collapsed="false">
      <c r="A2" s="15" t="s">
        <v>169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43" t="s">
        <v>30</v>
      </c>
      <c r="B3" s="43" t="s">
        <v>31</v>
      </c>
      <c r="C3" s="43" t="s">
        <v>170</v>
      </c>
      <c r="D3" s="43" t="s">
        <v>171</v>
      </c>
      <c r="E3" s="43" t="s">
        <v>172</v>
      </c>
      <c r="F3" s="43" t="s">
        <v>173</v>
      </c>
      <c r="G3" s="43" t="s">
        <v>174</v>
      </c>
      <c r="H3" s="43" t="s">
        <v>175</v>
      </c>
      <c r="I3" s="43" t="s">
        <v>176</v>
      </c>
    </row>
    <row r="4" customFormat="false" ht="15" hidden="false" customHeight="false" outlineLevel="0" collapsed="false">
      <c r="B4" s="57" t="s">
        <v>177</v>
      </c>
      <c r="C4" s="58" t="n">
        <v>0.3</v>
      </c>
      <c r="D4" s="58" t="n">
        <v>0.25</v>
      </c>
      <c r="E4" s="58" t="n">
        <v>0.2</v>
      </c>
      <c r="F4" s="58" t="n">
        <v>0.125</v>
      </c>
      <c r="G4" s="58" t="n">
        <v>0.125</v>
      </c>
    </row>
    <row r="5" customFormat="false" ht="15" hidden="false" customHeight="false" outlineLevel="0" collapsed="false">
      <c r="A5" s="4" t="n">
        <v>1</v>
      </c>
      <c r="B5" s="20"/>
      <c r="C5" s="22"/>
      <c r="D5" s="22"/>
      <c r="E5" s="22"/>
      <c r="F5" s="22"/>
      <c r="G5" s="22"/>
      <c r="H5" s="47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19"/>
      <c r="D6" s="19"/>
      <c r="E6" s="19"/>
      <c r="F6" s="19"/>
      <c r="G6" s="19"/>
      <c r="H6" s="45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20"/>
      <c r="C7" s="22"/>
      <c r="D7" s="22"/>
      <c r="E7" s="22"/>
      <c r="F7" s="22"/>
      <c r="G7" s="22"/>
      <c r="H7" s="47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19"/>
      <c r="D8" s="19"/>
      <c r="E8" s="19"/>
      <c r="F8" s="19"/>
      <c r="G8" s="19"/>
      <c r="H8" s="45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20"/>
      <c r="C9" s="22"/>
      <c r="D9" s="22"/>
      <c r="E9" s="22"/>
      <c r="F9" s="22"/>
      <c r="G9" s="22"/>
      <c r="H9" s="47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19"/>
      <c r="D10" s="19"/>
      <c r="E10" s="19"/>
      <c r="F10" s="19"/>
      <c r="G10" s="19"/>
      <c r="H10" s="45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20"/>
      <c r="C11" s="22"/>
      <c r="D11" s="22"/>
      <c r="E11" s="22"/>
      <c r="F11" s="22"/>
      <c r="G11" s="22"/>
      <c r="H11" s="47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19"/>
      <c r="D12" s="19"/>
      <c r="E12" s="19"/>
      <c r="F12" s="19"/>
      <c r="G12" s="19"/>
      <c r="H12" s="45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20"/>
      <c r="C13" s="22"/>
      <c r="D13" s="22"/>
      <c r="E13" s="22"/>
      <c r="F13" s="22"/>
      <c r="G13" s="22"/>
      <c r="H13" s="47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19"/>
      <c r="D14" s="19"/>
      <c r="E14" s="19"/>
      <c r="F14" s="19"/>
      <c r="G14" s="19"/>
      <c r="H14" s="45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20"/>
      <c r="C15" s="22"/>
      <c r="D15" s="22"/>
      <c r="E15" s="22"/>
      <c r="F15" s="22"/>
      <c r="G15" s="22"/>
      <c r="H15" s="47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19"/>
      <c r="D16" s="19"/>
      <c r="E16" s="19"/>
      <c r="F16" s="19"/>
      <c r="G16" s="19"/>
      <c r="H16" s="45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20"/>
      <c r="C17" s="22"/>
      <c r="D17" s="22"/>
      <c r="E17" s="22"/>
      <c r="F17" s="22"/>
      <c r="G17" s="22"/>
      <c r="H17" s="47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19"/>
      <c r="D18" s="19"/>
      <c r="E18" s="19"/>
      <c r="F18" s="19"/>
      <c r="G18" s="19"/>
      <c r="H18" s="45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20"/>
      <c r="C19" s="22"/>
      <c r="D19" s="22"/>
      <c r="E19" s="22"/>
      <c r="F19" s="22"/>
      <c r="G19" s="22"/>
      <c r="H19" s="47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19"/>
      <c r="D20" s="19"/>
      <c r="E20" s="19"/>
      <c r="F20" s="19"/>
      <c r="G20" s="19"/>
      <c r="H20" s="45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20"/>
      <c r="C21" s="22"/>
      <c r="D21" s="22"/>
      <c r="E21" s="22"/>
      <c r="F21" s="22"/>
      <c r="G21" s="22"/>
      <c r="H21" s="47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19"/>
      <c r="D22" s="19"/>
      <c r="E22" s="19"/>
      <c r="F22" s="19"/>
      <c r="G22" s="19"/>
      <c r="H22" s="45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20"/>
      <c r="C23" s="22"/>
      <c r="D23" s="22"/>
      <c r="E23" s="22"/>
      <c r="F23" s="22"/>
      <c r="G23" s="22"/>
      <c r="H23" s="47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19"/>
      <c r="D24" s="19"/>
      <c r="E24" s="19"/>
      <c r="F24" s="19"/>
      <c r="G24" s="19"/>
      <c r="H24" s="45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20"/>
      <c r="C25" s="22"/>
      <c r="D25" s="22"/>
      <c r="E25" s="22"/>
      <c r="F25" s="22"/>
      <c r="G25" s="22"/>
      <c r="H25" s="47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19"/>
      <c r="D26" s="19"/>
      <c r="E26" s="19"/>
      <c r="F26" s="19"/>
      <c r="G26" s="19"/>
      <c r="H26" s="45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20"/>
      <c r="C27" s="22"/>
      <c r="D27" s="22"/>
      <c r="E27" s="22"/>
      <c r="F27" s="22"/>
      <c r="G27" s="22"/>
      <c r="H27" s="47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19"/>
      <c r="D28" s="19"/>
      <c r="E28" s="19"/>
      <c r="F28" s="19"/>
      <c r="G28" s="19"/>
      <c r="H28" s="45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20"/>
      <c r="C29" s="22"/>
      <c r="D29" s="22"/>
      <c r="E29" s="22"/>
      <c r="F29" s="22"/>
      <c r="G29" s="22"/>
      <c r="H29" s="47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19"/>
      <c r="D30" s="19"/>
      <c r="E30" s="19"/>
      <c r="F30" s="19"/>
      <c r="G30" s="19"/>
      <c r="H30" s="45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20"/>
      <c r="C31" s="22"/>
      <c r="D31" s="22"/>
      <c r="E31" s="22"/>
      <c r="F31" s="22"/>
      <c r="G31" s="22"/>
      <c r="H31" s="47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19"/>
      <c r="D32" s="19"/>
      <c r="E32" s="19"/>
      <c r="F32" s="19"/>
      <c r="G32" s="19"/>
      <c r="H32" s="45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20"/>
      <c r="C33" s="22"/>
      <c r="D33" s="22"/>
      <c r="E33" s="22"/>
      <c r="F33" s="22"/>
      <c r="G33" s="22"/>
      <c r="H33" s="47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19"/>
      <c r="D34" s="19"/>
      <c r="E34" s="19"/>
      <c r="F34" s="19"/>
      <c r="G34" s="19"/>
      <c r="H34" s="45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5" t="s">
        <v>178</v>
      </c>
      <c r="B1" s="25"/>
      <c r="C1" s="25"/>
      <c r="D1" s="25"/>
      <c r="E1" s="25"/>
      <c r="F1" s="25"/>
      <c r="G1" s="25"/>
      <c r="H1" s="25"/>
      <c r="I1" s="25"/>
    </row>
    <row r="2" customFormat="false" ht="25.5" hidden="false" customHeight="true" outlineLevel="0" collapsed="false">
      <c r="A2" s="26" t="s">
        <v>179</v>
      </c>
      <c r="B2" s="26"/>
      <c r="C2" s="26"/>
      <c r="D2" s="26"/>
      <c r="E2" s="26"/>
      <c r="F2" s="26"/>
      <c r="G2" s="26"/>
      <c r="H2" s="26"/>
      <c r="I2" s="26"/>
    </row>
    <row r="3" customFormat="false" ht="15" hidden="false" customHeight="false" outlineLevel="0" collapsed="false">
      <c r="A3" s="27" t="s">
        <v>30</v>
      </c>
      <c r="B3" s="27" t="s">
        <v>180</v>
      </c>
      <c r="C3" s="27" t="s">
        <v>181</v>
      </c>
      <c r="D3" s="27" t="s">
        <v>182</v>
      </c>
      <c r="E3" s="27" t="s">
        <v>183</v>
      </c>
      <c r="F3" s="27" t="s">
        <v>184</v>
      </c>
      <c r="G3" s="27" t="s">
        <v>185</v>
      </c>
      <c r="H3" s="27" t="s">
        <v>186</v>
      </c>
      <c r="I3" s="27" t="s">
        <v>187</v>
      </c>
    </row>
    <row r="4" customFormat="false" ht="15" hidden="false" customHeight="false" outlineLevel="0" collapsed="false">
      <c r="A4" s="59" t="n">
        <v>1</v>
      </c>
      <c r="B4" s="60" t="s">
        <v>188</v>
      </c>
      <c r="C4" s="61"/>
      <c r="D4" s="61"/>
      <c r="E4" s="61"/>
      <c r="F4" s="61"/>
      <c r="G4" s="61"/>
      <c r="H4" s="61"/>
      <c r="I4" s="59" t="s">
        <v>189</v>
      </c>
    </row>
    <row r="5" customFormat="false" ht="15" hidden="false" customHeight="false" outlineLevel="0" collapsed="false">
      <c r="A5" s="4" t="n">
        <v>2</v>
      </c>
      <c r="B5" s="5" t="s">
        <v>190</v>
      </c>
      <c r="C5" s="20"/>
      <c r="D5" s="20"/>
      <c r="E5" s="20"/>
      <c r="F5" s="20"/>
      <c r="G5" s="20"/>
      <c r="H5" s="20"/>
      <c r="I5" s="4" t="s">
        <v>191</v>
      </c>
    </row>
    <row r="6" customFormat="false" ht="15" hidden="false" customHeight="false" outlineLevel="0" collapsed="false">
      <c r="A6" s="8" t="n">
        <v>3</v>
      </c>
      <c r="B6" s="9" t="s">
        <v>192</v>
      </c>
      <c r="C6" s="17"/>
      <c r="D6" s="17"/>
      <c r="E6" s="17"/>
      <c r="F6" s="17"/>
      <c r="G6" s="17"/>
      <c r="H6" s="17"/>
      <c r="I6" s="8" t="s">
        <v>193</v>
      </c>
    </row>
    <row r="7" customFormat="false" ht="15" hidden="false" customHeight="false" outlineLevel="0" collapsed="false">
      <c r="A7" s="4" t="n">
        <v>4</v>
      </c>
      <c r="B7" s="5" t="s">
        <v>194</v>
      </c>
      <c r="C7" s="20"/>
      <c r="D7" s="20"/>
      <c r="E7" s="20"/>
      <c r="F7" s="20"/>
      <c r="G7" s="20"/>
      <c r="H7" s="20"/>
      <c r="I7" s="4" t="s">
        <v>195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20"/>
      <c r="C9" s="20"/>
      <c r="D9" s="20"/>
      <c r="E9" s="20"/>
      <c r="F9" s="20"/>
      <c r="G9" s="20"/>
      <c r="H9" s="20"/>
      <c r="I9" s="20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20"/>
      <c r="C11" s="20"/>
      <c r="D11" s="20"/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20"/>
      <c r="C15" s="20"/>
      <c r="D15" s="20"/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20"/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196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2" t="s">
        <v>197</v>
      </c>
      <c r="B2" s="62"/>
      <c r="C2" s="62"/>
      <c r="D2" s="62"/>
      <c r="E2" s="62"/>
      <c r="F2" s="62"/>
    </row>
    <row r="3" customFormat="false" ht="15" hidden="false" customHeight="false" outlineLevel="0" collapsed="false">
      <c r="A3" s="16" t="s">
        <v>2</v>
      </c>
      <c r="B3" s="16" t="s">
        <v>198</v>
      </c>
      <c r="C3" s="16" t="s">
        <v>199</v>
      </c>
      <c r="D3" s="16" t="s">
        <v>200</v>
      </c>
      <c r="E3" s="16" t="s">
        <v>201</v>
      </c>
      <c r="F3" s="16" t="s">
        <v>202</v>
      </c>
    </row>
    <row r="4" customFormat="false" ht="31.5" hidden="false" customHeight="true" outlineLevel="0" collapsed="false">
      <c r="A4" s="8" t="n">
        <v>1</v>
      </c>
      <c r="B4" s="9" t="s">
        <v>203</v>
      </c>
      <c r="C4" s="10" t="s">
        <v>204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205</v>
      </c>
      <c r="C5" s="6" t="s">
        <v>206</v>
      </c>
      <c r="D5" s="20"/>
      <c r="E5" s="20"/>
      <c r="F5" s="20"/>
    </row>
    <row r="6" customFormat="false" ht="31.5" hidden="false" customHeight="true" outlineLevel="0" collapsed="false">
      <c r="A6" s="8" t="n">
        <v>3</v>
      </c>
      <c r="B6" s="9" t="s">
        <v>207</v>
      </c>
      <c r="C6" s="10" t="s">
        <v>208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209</v>
      </c>
      <c r="C7" s="6" t="s">
        <v>210</v>
      </c>
      <c r="D7" s="20"/>
      <c r="E7" s="20"/>
      <c r="F7" s="20"/>
    </row>
    <row r="8" customFormat="false" ht="31.5" hidden="false" customHeight="true" outlineLevel="0" collapsed="false">
      <c r="A8" s="8" t="n">
        <v>5</v>
      </c>
      <c r="B8" s="9" t="s">
        <v>211</v>
      </c>
      <c r="C8" s="10" t="s">
        <v>212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213</v>
      </c>
      <c r="C9" s="6" t="s">
        <v>214</v>
      </c>
      <c r="D9" s="20"/>
      <c r="E9" s="20"/>
      <c r="F9" s="20"/>
    </row>
    <row r="10" customFormat="false" ht="31.5" hidden="false" customHeight="true" outlineLevel="0" collapsed="false">
      <c r="A10" s="8" t="n">
        <v>7</v>
      </c>
      <c r="B10" s="9" t="s">
        <v>215</v>
      </c>
      <c r="C10" s="10" t="s">
        <v>216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217</v>
      </c>
      <c r="C11" s="6" t="s">
        <v>218</v>
      </c>
      <c r="D11" s="20"/>
      <c r="E11" s="20"/>
      <c r="F11" s="20"/>
    </row>
    <row r="12" customFormat="false" ht="31.5" hidden="false" customHeight="true" outlineLevel="0" collapsed="false">
      <c r="A12" s="8" t="n">
        <v>9</v>
      </c>
      <c r="B12" s="9" t="s">
        <v>219</v>
      </c>
      <c r="C12" s="10" t="s">
        <v>220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221</v>
      </c>
      <c r="C13" s="6" t="s">
        <v>222</v>
      </c>
      <c r="D13" s="20"/>
      <c r="E13" s="20"/>
      <c r="F13" s="20"/>
    </row>
    <row r="14" customFormat="false" ht="31.5" hidden="false" customHeight="true" outlineLevel="0" collapsed="false">
      <c r="A14" s="8" t="n">
        <v>11</v>
      </c>
      <c r="B14" s="9" t="s">
        <v>223</v>
      </c>
      <c r="C14" s="10" t="s">
        <v>224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225</v>
      </c>
      <c r="C15" s="6" t="s">
        <v>226</v>
      </c>
      <c r="D15" s="20"/>
      <c r="E15" s="20"/>
      <c r="F15" s="20"/>
    </row>
    <row r="16" customFormat="false" ht="31.5" hidden="false" customHeight="true" outlineLevel="0" collapsed="false">
      <c r="A16" s="8" t="n">
        <v>13</v>
      </c>
      <c r="B16" s="9" t="s">
        <v>227</v>
      </c>
      <c r="C16" s="10" t="s">
        <v>228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229</v>
      </c>
      <c r="C17" s="6" t="s">
        <v>230</v>
      </c>
      <c r="D17" s="20"/>
      <c r="E17" s="20"/>
      <c r="F17" s="20"/>
    </row>
    <row r="18" customFormat="false" ht="31.5" hidden="false" customHeight="true" outlineLevel="0" collapsed="false">
      <c r="A18" s="8" t="n">
        <v>15</v>
      </c>
      <c r="B18" s="9" t="s">
        <v>231</v>
      </c>
      <c r="C18" s="10" t="s">
        <v>232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233</v>
      </c>
      <c r="C19" s="6" t="s">
        <v>234</v>
      </c>
      <c r="D19" s="20"/>
      <c r="E19" s="20"/>
      <c r="F19" s="20"/>
    </row>
    <row r="20" customFormat="false" ht="31.5" hidden="false" customHeight="true" outlineLevel="0" collapsed="false">
      <c r="A20" s="8" t="n">
        <v>17</v>
      </c>
      <c r="B20" s="9" t="s">
        <v>235</v>
      </c>
      <c r="C20" s="10" t="s">
        <v>236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237</v>
      </c>
      <c r="C21" s="6" t="s">
        <v>238</v>
      </c>
      <c r="D21" s="20"/>
      <c r="E21" s="20"/>
      <c r="F21" s="20"/>
    </row>
    <row r="22" customFormat="false" ht="31.5" hidden="false" customHeight="true" outlineLevel="0" collapsed="false">
      <c r="A22" s="8" t="n">
        <v>19</v>
      </c>
      <c r="B22" s="9" t="s">
        <v>239</v>
      </c>
      <c r="C22" s="10" t="s">
        <v>240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241</v>
      </c>
      <c r="C23" s="6" t="s">
        <v>242</v>
      </c>
      <c r="D23" s="20"/>
      <c r="E23" s="20"/>
      <c r="F23" s="2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2026-05-06T07:08:31Z</dcterms:created>
  <dc:creator>openpyxl</dc:creator>
  <dc:description/>
  <dc:language>en-US</dc:language>
  <cp:lastModifiedBy/>
  <dcterms:modified xsi:type="dcterms:W3CDTF">2026-05-06T07:08:31Z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