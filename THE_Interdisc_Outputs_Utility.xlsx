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Patent Citations" sheetId="2" state="visible" r:id="rId4"/>
    <sheet name="2. Policy Citations" sheetId="3" state="visible" r:id="rId5"/>
    <sheet name="3. Clinical Citations" sheetId="4" state="visible" r:id="rId6"/>
    <sheet name="4. Industry Uptake" sheetId="5" state="visible" r:id="rId7"/>
    <sheet name="5. Altmetric &amp; Media" sheetId="6" state="visible" r:id="rId8"/>
    <sheet name="6. Open Access &amp; Data" sheetId="7" state="visible" r:id="rId9"/>
    <sheet name="7. Utility Pathway" sheetId="8" state="visible" r:id="rId10"/>
    <sheet name="8. Composite Utility Score" sheetId="9" state="visible" r:id="rId11"/>
    <sheet name="9. Benchmarking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<sst xmlns="http://schemas.openxmlformats.org/spreadsheetml/2006/main" count="219" uniqueCount="175">
  <si>
    <t xml:space="preserve">THE Interdisciplinary Rankings — Outputs (65%) → Utility of Research (5%)</t>
  </si>
  <si>
    <t xml:space="preserve">Measures Real-World Applicability &amp; Uptake of Interdisciplinary Research | 5% of Total Ranking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</si>
  <si>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</si>
  <si>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</si>
  <si>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</si>
  <si>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</si>
  <si>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Patent Citations of Interdisciplinary Publications</t>
  </si>
  <si>
    <t xml:space="preserve">Count and proportion of interdisciplinary publications (2+ ASJC) cited in patent documents (USPTO, EPO, WIPO, JPO, Indian PO). Patent citations signal that academic research has technological utility. Data sourced from Lens.org, PatSnap, or Dimensions patent-citation linkage databases.</t>
  </si>
  <si>
    <t xml:space="preserve">~1.5%</t>
  </si>
  <si>
    <t xml:space="preserve">Policy Citations &amp; Government Report References</t>
  </si>
  <si>
    <t xml:space="preserve">Count of interdisciplinary publications cited in government policy documents, white papers, parliamentary reports, WHO/UN/World Bank publications, and clinical guidelines. Signals that cross-domain research informs public policy. Data sourced from Overton, Altmetric, or institutional tracking.</t>
  </si>
  <si>
    <t xml:space="preserve">~1%</t>
  </si>
  <si>
    <t xml:space="preserve">Clinical Trial Citations &amp; Guideline References</t>
  </si>
  <si>
    <t xml:space="preserve">Interdisciplinary publications (e.g., AI+Medicine, Bioengineering+Health) referenced in registered clinical trials (ClinicalTrials.gov, CTRI) or clinical practice guidelines. Captures translation from bench research to clinical application.</t>
  </si>
  <si>
    <t xml:space="preserve">~0.5%</t>
  </si>
  <si>
    <t xml:space="preserve">Industry Uptake &amp; Practitioner Citations</t>
  </si>
  <si>
    <t xml:space="preserve">Evidence that interdisciplinary research is cited or used by industry reports, trade publications, technical standards bodies (ISO, BIS, IEEE), and professional practitioner literature. Signals applied utility beyond academia.</t>
  </si>
  <si>
    <t xml:space="preserve">Altmetric &amp; Media Attention for Interdisc. Research</t>
  </si>
  <si>
    <t xml:space="preserve">Altmetric Attention Score of interdisciplinary publications — captures news coverage, social media discussion, blog mentions, Wikipedia citations, and public engagement. High altmetric scores for cross-domain work signal broad societal relevance.</t>
  </si>
  <si>
    <t xml:space="preserve">Open Access &amp; Data Sharing of Interdisc. Output</t>
  </si>
  <si>
    <t xml:space="preserve">Proportion of interdisciplinary publications available as open access AND proportion with associated open datasets (FAIR-compliant). Open access maximises utility by removing barriers to uptake by practitioners, policymakers, and the public.</t>
  </si>
  <si>
    <t xml:space="preserve">Key Notes — Utility vs. Impact vs. Citations</t>
  </si>
  <si>
    <t xml:space="preserve">• UTILITY (this sheet, 5%) measures real-world UPTAKE — by patents, policy, clinics, industry, media, and public.</t>
  </si>
  <si>
    <t xml:space="preserve">• Different from academic CITATIONS (15%, separate sheet) which measure scholarly impact within academia.</t>
  </si>
  <si>
    <t xml:space="preserve">• Different from SOCIETAL IMPACT (10%, separate pillar) which measures broader SDG/community outcomes.</t>
  </si>
  <si>
    <t xml:space="preserve">• Utility captures the 'translational pathway': lab → patent → policy → practice → public benefit.</t>
  </si>
  <si>
    <t xml:space="preserve">• Data sources: Lens.org (patent citations), Overton (policy citations), ClinicalTrials.gov, Altmetric, Unpaywall.</t>
  </si>
  <si>
    <t xml:space="preserve">• Only interdisciplinary publications (2+ ASJC areas) are tracked — single-domain utility falls under main WUR.</t>
  </si>
  <si>
    <t xml:space="preserve">• Open access &amp; data sharing are included because utility requires ACCESS — paywalled research has lower utility.</t>
  </si>
  <si>
    <t xml:space="preserve">• Scoring: each sub-indicator normalized 0–100; composite weighted average produces final Utility score.</t>
  </si>
  <si>
    <t xml:space="preserve">Interdisc. pubs (2+ ASJC) cited in patent documents | USPTO / EPO / WIPO / JPO / Indian PO | Lens.org data</t>
  </si>
  <si>
    <t xml:space="preserve">S.No.</t>
  </si>
  <si>
    <t xml:space="preserve">University Name</t>
  </si>
  <si>
    <t xml:space="preserve">Country</t>
  </si>
  <si>
    <t xml:space="preserve">Total Interdisc. Pubs (5yr)</t>
  </si>
  <si>
    <t xml:space="preserve">Interdisc. Pubs Cited in Patents</t>
  </si>
  <si>
    <t xml:space="preserve">% Cited in Patents</t>
  </si>
  <si>
    <t xml:space="preserve">Total Patent Citations Received</t>
  </si>
  <si>
    <t xml:space="preserve">Avg Patent Citations per Cited Pub</t>
  </si>
  <si>
    <t xml:space="preserve">Unique Patent Families Citing</t>
  </si>
  <si>
    <t xml:space="preserve">Reporting Period</t>
  </si>
  <si>
    <t xml:space="preserve">Detailed Patent-Citation Linkage Log (Top Cited Publications)</t>
  </si>
  <si>
    <t xml:space="preserve">Publication Title / DOI</t>
  </si>
  <si>
    <t xml:space="preserve">ASJC Areas (2+)</t>
  </si>
  <si>
    <t xml:space="preserve">Citing Patent No.</t>
  </si>
  <si>
    <t xml:space="preserve">Patent Office (USPTO/EPO/WIPO)</t>
  </si>
  <si>
    <t xml:space="preserve">Patent Applicant / Company</t>
  </si>
  <si>
    <t xml:space="preserve">Patent IPC Classes</t>
  </si>
  <si>
    <t xml:space="preserve">Citation Year</t>
  </si>
  <si>
    <t xml:space="preserve">Technology Domain</t>
  </si>
  <si>
    <t xml:space="preserve">Interdisc. pubs cited in govt policy docs, WHO/UN/WB reports, parliamentary records | Overton / Altmetric data</t>
  </si>
  <si>
    <t xml:space="preserve">Interdisc. Pubs Cited in Policy Docs</t>
  </si>
  <si>
    <t xml:space="preserve">% Cited in Policy</t>
  </si>
  <si>
    <t xml:space="preserve">Total Policy Citations Received</t>
  </si>
  <si>
    <t xml:space="preserve">Unique Policy Documents Citing</t>
  </si>
  <si>
    <t xml:space="preserve">Policy Domains (Health/Climate/Education/Tech/Other)</t>
  </si>
  <si>
    <t xml:space="preserve">Detailed Policy-Citation Linkage Log</t>
  </si>
  <si>
    <t xml:space="preserve">Citing Policy Document Title</t>
  </si>
  <si>
    <t xml:space="preserve">Issuing Body (Govt/WHO/UN/WB)</t>
  </si>
  <si>
    <t xml:space="preserve">Country / Region</t>
  </si>
  <si>
    <t xml:space="preserve">Policy Domain</t>
  </si>
  <si>
    <t xml:space="preserve">Impact Evidence</t>
  </si>
  <si>
    <t xml:space="preserve">Clinical Trial Citations &amp; Practice Guideline References</t>
  </si>
  <si>
    <t xml:space="preserve">Interdisc. pubs referenced in clinical trials (ClinicalTrials.gov, CTRI) or clinical practice guidelines</t>
  </si>
  <si>
    <t xml:space="preserve">Pubs Cited in Clinical Trials</t>
  </si>
  <si>
    <t xml:space="preserve">% Cited in Trials</t>
  </si>
  <si>
    <t xml:space="preserve">Pubs Cited in Practice Guidelines</t>
  </si>
  <si>
    <t xml:space="preserve">% Cited in Guidelines</t>
  </si>
  <si>
    <t xml:space="preserve">Total Clinical Uptake Citations</t>
  </si>
  <si>
    <t xml:space="preserve">Interdisc. pubs cited in industry reports, trade publications, technical standards (ISO/BIS/IEEE)</t>
  </si>
  <si>
    <t xml:space="preserve">Cited in Industry Reports / Trade Pubs</t>
  </si>
  <si>
    <t xml:space="preserve">% Industry-Cited</t>
  </si>
  <si>
    <t xml:space="preserve">Cited in Technical Standards (ISO/BIS/IEEE)</t>
  </si>
  <si>
    <t xml:space="preserve">Cited in Professional Guidelines</t>
  </si>
  <si>
    <t xml:space="preserve">Total Industry/Practitioner Citations</t>
  </si>
  <si>
    <t xml:space="preserve">Altmetric Attention &amp; Media Coverage of Interdisciplinary Research</t>
  </si>
  <si>
    <t xml:space="preserve">Altmetric score, news mentions, social media, blogs, Wikipedia citations for interdisc. output</t>
  </si>
  <si>
    <t xml:space="preserve">Pubs with Altmetric Score &gt;0</t>
  </si>
  <si>
    <t xml:space="preserve">% with Altmetric Attention</t>
  </si>
  <si>
    <t xml:space="preserve">Avg Altmetric Score (Interdisc.)</t>
  </si>
  <si>
    <t xml:space="preserve">Top 10% Altmetric Interdisc. Pubs</t>
  </si>
  <si>
    <t xml:space="preserve">Pubs Mentioned in News Media</t>
  </si>
  <si>
    <t xml:space="preserve">Open Access &amp; Data Sharing of Interdisciplinary Publications</t>
  </si>
  <si>
    <t xml:space="preserve">OA availability maximises utility | Open datasets enable replication &amp; cross-domain reuse | Unpaywall data</t>
  </si>
  <si>
    <t xml:space="preserve">Open Access Interdisc. Pubs</t>
  </si>
  <si>
    <t xml:space="preserve">% Open Access</t>
  </si>
  <si>
    <t xml:space="preserve">Gold OA</t>
  </si>
  <si>
    <t xml:space="preserve">Green OA</t>
  </si>
  <si>
    <t xml:space="preserve">Pubs with Associated Open Dataset</t>
  </si>
  <si>
    <t xml:space="preserve">% with Open Data</t>
  </si>
  <si>
    <t xml:space="preserve">Utility Pathway Summary — From Publication to Real-World Uptake</t>
  </si>
  <si>
    <t xml:space="preserve">Aggregates all uptake channels into a single utility profile per university</t>
  </si>
  <si>
    <t xml:space="preserve">Patent Citations</t>
  </si>
  <si>
    <t xml:space="preserve">Policy Citations</t>
  </si>
  <si>
    <t xml:space="preserve">Clinical Citations</t>
  </si>
  <si>
    <t xml:space="preserve">Industry/Standards Citations</t>
  </si>
  <si>
    <t xml:space="preserve">Altmetric Top 10% Pubs</t>
  </si>
  <si>
    <t xml:space="preserve">Total Utility Citations</t>
  </si>
  <si>
    <t xml:space="preserve">Utility Score (0–100)</t>
  </si>
  <si>
    <t xml:space="preserve">Composite Utility of Research Score (0–100) — 5% of Total Ranking</t>
  </si>
  <si>
    <t xml:space="preserve">Weighted composite of 6 sub-indicators | Weights editable in Row 4</t>
  </si>
  <si>
    <t xml:space="preserve">Patent Cit. (A)</t>
  </si>
  <si>
    <t xml:space="preserve">Policy Cit. (B)</t>
  </si>
  <si>
    <t xml:space="preserve">Clinical (C)</t>
  </si>
  <si>
    <t xml:space="preserve">Industry (D)</t>
  </si>
  <si>
    <t xml:space="preserve">Altmetric (E)</t>
  </si>
  <si>
    <t xml:space="preserve">OA &amp; Data (F)</t>
  </si>
  <si>
    <t xml:space="preserve">Composite Utility Score</t>
  </si>
  <si>
    <t xml:space="preserve">Global Rank</t>
  </si>
  <si>
    <t xml:space="preserve">Weights →</t>
  </si>
  <si>
    <t xml:space="preserve">Benchmarking — Utility of Research</t>
  </si>
  <si>
    <t xml:space="preserve">University / Benchmark</t>
  </si>
  <si>
    <t xml:space="preserve">Patent</t>
  </si>
  <si>
    <t xml:space="preserve">Policy</t>
  </si>
  <si>
    <t xml:space="preserve">Clinical</t>
  </si>
  <si>
    <t xml:space="preserve">Industry</t>
  </si>
  <si>
    <t xml:space="preserve">Altmetric</t>
  </si>
  <si>
    <t xml:space="preserve">OA/Data</t>
  </si>
  <si>
    <t xml:space="preserve">Composite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</si>
  <si>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</si>
  <si>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</si>
  <si>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</si>
  <si>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</si>
  <si>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</si>
  <si>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</si>
  <si>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</si>
  <si>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</si>
  <si>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</si>
  <si>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Utility of Research — Data Quality &amp; Audit Checklist</t>
  </si>
  <si>
    <t xml:space="preserve">Validation for all sub-indicators of the Utility component (5%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</si>
  <si>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</si>
  <si>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</si>
  <si>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</si>
  <si>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</si>
  <si>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</si>
  <si>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Patent-citation database source</t>
  </si>
  <si>
    <t xml:space="preserve">Patent citations sourced from Lens.org, PatSnap, or Dimensions; database and extraction date documented</t>
  </si>
  <si>
    <t xml:space="preserve">Patent-pub linkage accuracy</t>
  </si>
  <si>
    <t xml:space="preserve">Each patent-publication citation linkage verified (DOI in patent reference list matches institutional publication)</t>
  </si>
  <si>
    <t xml:space="preserve">Policy citation database source</t>
  </si>
  <si>
    <t xml:space="preserve">Policy citations sourced from Overton or Altmetric policy-source feed; database and extraction date documented</t>
  </si>
  <si>
    <t xml:space="preserve">Policy document authenticity</t>
  </si>
  <si>
    <t xml:space="preserve">Citing policy documents verified as official government/intergovernmental publications (not blog posts or media)</t>
  </si>
  <si>
    <t xml:space="preserve">Clinical trial registry verification</t>
  </si>
  <si>
    <t xml:space="preserve">Clinical trial citations verified against ClinicalTrials.gov or CTRI registry records</t>
  </si>
  <si>
    <t xml:space="preserve">Practice guideline source</t>
  </si>
  <si>
    <t xml:space="preserve">Clinical guidelines verified as published by recognised medical bodies (WHO, NICE, ICMR, etc.)</t>
  </si>
  <si>
    <t xml:space="preserve">Industry report verification</t>
  </si>
  <si>
    <t xml:space="preserve">Industry/trade publication citations verified; self-published or promotional reports excluded</t>
  </si>
  <si>
    <t xml:space="preserve">Standards body verification</t>
  </si>
  <si>
    <t xml:space="preserve">ISO/BIS/IEEE citations verified against official standards document databases</t>
  </si>
  <si>
    <t xml:space="preserve">Altmetric data source</t>
  </si>
  <si>
    <t xml:space="preserve">Altmetric Attention Scores sourced from Altmetric.com institutional dashboard or API; extraction date noted</t>
  </si>
  <si>
    <t xml:space="preserve">Altmetric score = interdisc. only</t>
  </si>
  <si>
    <t xml:space="preserve">Only altmetric scores for publications spanning 2+ ASJC areas included (not all institutional publications)</t>
  </si>
  <si>
    <t xml:space="preserve">Open access classification</t>
  </si>
  <si>
    <t xml:space="preserve">OA status from Unpaywall; Gold/Green/Hybrid consistently classified</t>
  </si>
  <si>
    <t xml:space="preserve">Open data verification</t>
  </si>
  <si>
    <t xml:space="preserve">Open datasets verified as deposited in FAIR-compliant repositories (Zenodo, Figshare, Dryad, institutional repos)</t>
  </si>
  <si>
    <t xml:space="preserve">Interdisciplinary threshold</t>
  </si>
  <si>
    <t xml:space="preserve">All metrics apply only to publications spanning 2+ ASJC top-level areas (consistent with other Outputs sheets)</t>
  </si>
  <si>
    <t xml:space="preserve">Double-counting across channels</t>
  </si>
  <si>
    <t xml:space="preserve">Same publication may be cited in patents AND policy — counted in each channel but not double-counted within</t>
  </si>
  <si>
    <t xml:space="preserve">5-year window consistency</t>
  </si>
  <si>
    <t xml:space="preserve">Same window as all other Outputs pillar components</t>
  </si>
  <si>
    <t xml:space="preserve">Normalization method</t>
  </si>
  <si>
    <t xml:space="preserve">Confirm z-scoring or min-max normalization applied consistently across all universities</t>
  </si>
  <si>
    <t xml:space="preserve">Weight validation</t>
  </si>
  <si>
    <t xml:space="preserve">Sub-indicator weights sum to 100% of the Utility component (5% of total ranking)</t>
  </si>
  <si>
    <t xml:space="preserve">Cross-validation with other pillars</t>
  </si>
  <si>
    <t xml:space="preserve">Patent citation counts consistent with Innovation pillar; policy citations consistent with SDG pillar</t>
  </si>
  <si>
    <t xml:space="preserve">Year-on-year trend check</t>
  </si>
  <si>
    <t xml:space="preserve">Compare current data with previous cycle; flag anomalous changes (&gt;30% shift)</t>
  </si>
  <si>
    <t xml:space="preserve">Reproducibility test</t>
  </si>
  <si>
    <t xml:space="preserve">All calculations reproducible by independent analyst using this workbook and linked databases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</si>
</sst>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FF8F00"/>
        <bgColor rgb="FFED7D3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8B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3F51B5"/>
        <bgColor rgb="FF666699"/>
      </patternFill>
    </fill>
    <fill>
      <patternFill patternType="solid">
        <fgColor rgb="FF2F8F9D"/>
        <bgColor rgb="FF2E75B6"/>
      </patternFill>
    </fill>
    <fill>
      <patternFill patternType="solid">
        <fgColor rgb="FFBF8F00"/>
        <bgColor rgb="FFED7D31"/>
      </patternFill>
    </fill>
    <fill>
      <patternFill patternType="solid">
        <fgColor rgb="FFED7D31"/>
        <bgColor rgb="FFFF8F00"/>
      </patternFill>
    </fill>
    <fill>
      <patternFill patternType="solid">
        <fgColor rgb="FF548235"/>
        <bgColor rgb="FF808080"/>
      </patternFill>
    </fill>
    <fill>
      <patternFill patternType="solid">
        <fgColor rgb="FF0D47A1"/>
        <bgColor rgb="FF3F51B5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D47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BF8F00"/>
      <rgbColor rgb="FFFFCC00"/>
      <rgbColor rgb="FFF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F00"/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14</v>
      </c>
    </row>
    <row r="9" customFormat="false" ht="84.75" hidden="false" customHeight="true" outlineLevel="0" collapsed="false">
      <c r="A9" s="4" t="n">
        <v>5</v>
      </c>
      <c r="B9" s="5" t="s">
        <v>17</v>
      </c>
      <c r="C9" s="6" t="s">
        <v>18</v>
      </c>
      <c r="D9" s="7" t="s">
        <v>14</v>
      </c>
    </row>
    <row r="10" customFormat="false" ht="84.75" hidden="false" customHeight="true" outlineLevel="0" collapsed="false">
      <c r="A10" s="8" t="n">
        <v>6</v>
      </c>
      <c r="B10" s="9" t="s">
        <v>19</v>
      </c>
      <c r="C10" s="10" t="s">
        <v>20</v>
      </c>
      <c r="D10" s="11" t="s">
        <v>11</v>
      </c>
    </row>
    <row r="12" customFormat="false" ht="25.5" hidden="false" customHeight="true" outlineLevel="0" collapsed="false">
      <c r="A12" s="12" t="s">
        <v>21</v>
      </c>
      <c r="B12" s="12"/>
      <c r="C12" s="12"/>
      <c r="D12" s="12"/>
    </row>
    <row r="13" customFormat="false" ht="15" hidden="false" customHeight="true" outlineLevel="0" collapsed="false">
      <c r="A13" s="13" t="s">
        <v>22</v>
      </c>
      <c r="B13" s="13"/>
      <c r="C13" s="13"/>
      <c r="D13" s="13"/>
    </row>
    <row r="14" customFormat="false" ht="15" hidden="false" customHeight="true" outlineLevel="0" collapsed="false">
      <c r="A14" s="13" t="s">
        <v>23</v>
      </c>
      <c r="B14" s="13"/>
      <c r="C14" s="13"/>
      <c r="D14" s="13"/>
    </row>
    <row r="15" customFormat="false" ht="15" hidden="false" customHeight="true" outlineLevel="0" collapsed="false">
      <c r="A15" s="13" t="s">
        <v>24</v>
      </c>
      <c r="B15" s="13"/>
      <c r="C15" s="13"/>
      <c r="D15" s="13"/>
    </row>
    <row r="16" customFormat="false" ht="15" hidden="false" customHeight="true" outlineLevel="0" collapsed="false">
      <c r="A16" s="13" t="s">
        <v>25</v>
      </c>
      <c r="B16" s="13"/>
      <c r="C16" s="13"/>
      <c r="D16" s="13"/>
    </row>
    <row r="17" customFormat="false" ht="15" hidden="false" customHeight="true" outlineLevel="0" collapsed="false">
      <c r="A17" s="13" t="s">
        <v>26</v>
      </c>
      <c r="B17" s="13"/>
      <c r="C17" s="13"/>
      <c r="D17" s="13"/>
    </row>
    <row r="18" customFormat="false" ht="15" hidden="false" customHeight="true" outlineLevel="0" collapsed="false">
      <c r="A18" s="13" t="s">
        <v>27</v>
      </c>
      <c r="B18" s="13"/>
      <c r="C18" s="13"/>
      <c r="D18" s="13"/>
    </row>
    <row r="19" customFormat="false" ht="15" hidden="false" customHeight="true" outlineLevel="0" collapsed="false">
      <c r="A19" s="13" t="s">
        <v>28</v>
      </c>
      <c r="B19" s="13"/>
      <c r="C19" s="13"/>
      <c r="D19" s="13"/>
    </row>
    <row r="20" customFormat="false" ht="15" hidden="false" customHeight="true" outlineLevel="0" collapsed="false">
      <c r="A20" s="13" t="s">
        <v>29</v>
      </c>
      <c r="B20" s="13"/>
      <c r="C20" s="13"/>
      <c r="D20" s="13"/>
    </row>
  </sheetData>
  <mergeCells count="11">
    <mergeCell ref="A1:D1"/>
    <mergeCell ref="A2:D2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25.5" hidden="false" customHeight="true" outlineLevel="0" collapsed="false">
      <c r="A2" s="15" t="s">
        <v>30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35.05" hidden="false" customHeight="false" outlineLevel="0" collapsed="false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37</v>
      </c>
      <c r="H3" s="16" t="s">
        <v>38</v>
      </c>
      <c r="I3" s="16" t="s">
        <v>39</v>
      </c>
      <c r="J3" s="16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9" t="n">
        <f aca="false">IF(E4&gt;0,G4/E4,0)</f>
        <v>0</v>
      </c>
      <c r="I4" s="17"/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1" t="n">
        <f aca="false">IF(D5&gt;0,E5/D5*100,0)</f>
        <v>0</v>
      </c>
      <c r="G5" s="20"/>
      <c r="H5" s="22" t="n">
        <f aca="false">IF(E5&gt;0,G5/E5,0)</f>
        <v>0</v>
      </c>
      <c r="I5" s="20"/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9" t="n">
        <f aca="false">IF(E6&gt;0,G6/E6,0)</f>
        <v>0</v>
      </c>
      <c r="I6" s="17"/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1" t="n">
        <f aca="false">IF(D7&gt;0,E7/D7*100,0)</f>
        <v>0</v>
      </c>
      <c r="G7" s="20"/>
      <c r="H7" s="22" t="n">
        <f aca="false">IF(E7&gt;0,G7/E7,0)</f>
        <v>0</v>
      </c>
      <c r="I7" s="20"/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9" t="n">
        <f aca="false">IF(E8&gt;0,G8/E8,0)</f>
        <v>0</v>
      </c>
      <c r="I8" s="17"/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1" t="n">
        <f aca="false">IF(D9&gt;0,E9/D9*100,0)</f>
        <v>0</v>
      </c>
      <c r="G9" s="20"/>
      <c r="H9" s="22" t="n">
        <f aca="false">IF(E9&gt;0,G9/E9,0)</f>
        <v>0</v>
      </c>
      <c r="I9" s="20"/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9" t="n">
        <f aca="false">IF(E10&gt;0,G10/E10,0)</f>
        <v>0</v>
      </c>
      <c r="I10" s="17"/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1" t="n">
        <f aca="false">IF(D11&gt;0,E11/D11*100,0)</f>
        <v>0</v>
      </c>
      <c r="G11" s="20"/>
      <c r="H11" s="22" t="n">
        <f aca="false">IF(E11&gt;0,G11/E11,0)</f>
        <v>0</v>
      </c>
      <c r="I11" s="20"/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9" t="n">
        <f aca="false">IF(E12&gt;0,G12/E12,0)</f>
        <v>0</v>
      </c>
      <c r="I12" s="17"/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1" t="n">
        <f aca="false">IF(D13&gt;0,E13/D13*100,0)</f>
        <v>0</v>
      </c>
      <c r="G13" s="20"/>
      <c r="H13" s="22" t="n">
        <f aca="false">IF(E13&gt;0,G13/E13,0)</f>
        <v>0</v>
      </c>
      <c r="I13" s="20"/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9" t="n">
        <f aca="false">IF(E14&gt;0,G14/E14,0)</f>
        <v>0</v>
      </c>
      <c r="I14" s="17"/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1" t="n">
        <f aca="false">IF(D15&gt;0,E15/D15*100,0)</f>
        <v>0</v>
      </c>
      <c r="G15" s="20"/>
      <c r="H15" s="22" t="n">
        <f aca="false">IF(E15&gt;0,G15/E15,0)</f>
        <v>0</v>
      </c>
      <c r="I15" s="20"/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9" t="n">
        <f aca="false">IF(E16&gt;0,G16/E16,0)</f>
        <v>0</v>
      </c>
      <c r="I16" s="17"/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1" t="n">
        <f aca="false">IF(D17&gt;0,E17/D17*100,0)</f>
        <v>0</v>
      </c>
      <c r="G17" s="20"/>
      <c r="H17" s="22" t="n">
        <f aca="false">IF(E17&gt;0,G17/E17,0)</f>
        <v>0</v>
      </c>
      <c r="I17" s="20"/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9" t="n">
        <f aca="false">IF(E18&gt;0,G18/E18,0)</f>
        <v>0</v>
      </c>
      <c r="I18" s="17"/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1" t="n">
        <f aca="false">IF(D19&gt;0,E19/D19*100,0)</f>
        <v>0</v>
      </c>
      <c r="G19" s="20"/>
      <c r="H19" s="22" t="n">
        <f aca="false">IF(E19&gt;0,G19/E19,0)</f>
        <v>0</v>
      </c>
      <c r="I19" s="20"/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9" t="n">
        <f aca="false">IF(E20&gt;0,G20/E20,0)</f>
        <v>0</v>
      </c>
      <c r="I20" s="17"/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1" t="n">
        <f aca="false">IF(D21&gt;0,E21/D21*100,0)</f>
        <v>0</v>
      </c>
      <c r="G21" s="20"/>
      <c r="H21" s="22" t="n">
        <f aca="false">IF(E21&gt;0,G21/E21,0)</f>
        <v>0</v>
      </c>
      <c r="I21" s="20"/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9" t="n">
        <f aca="false">IF(E22&gt;0,G22/E22,0)</f>
        <v>0</v>
      </c>
      <c r="I22" s="17"/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1" t="n">
        <f aca="false">IF(D23&gt;0,E23/D23*100,0)</f>
        <v>0</v>
      </c>
      <c r="G23" s="20"/>
      <c r="H23" s="22" t="n">
        <f aca="false">IF(E23&gt;0,G23/E23,0)</f>
        <v>0</v>
      </c>
      <c r="I23" s="20"/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9" t="n">
        <f aca="false">IF(E24&gt;0,G24/E24,0)</f>
        <v>0</v>
      </c>
      <c r="I24" s="17"/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1" t="n">
        <f aca="false">IF(D25&gt;0,E25/D25*100,0)</f>
        <v>0</v>
      </c>
      <c r="G25" s="20"/>
      <c r="H25" s="22" t="n">
        <f aca="false">IF(E25&gt;0,G25/E25,0)</f>
        <v>0</v>
      </c>
      <c r="I25" s="20"/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9" t="n">
        <f aca="false">IF(E26&gt;0,G26/E26,0)</f>
        <v>0</v>
      </c>
      <c r="I26" s="17"/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1" t="n">
        <f aca="false">IF(D27&gt;0,E27/D27*100,0)</f>
        <v>0</v>
      </c>
      <c r="G27" s="20"/>
      <c r="H27" s="22" t="n">
        <f aca="false">IF(E27&gt;0,G27/E27,0)</f>
        <v>0</v>
      </c>
      <c r="I27" s="20"/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9" t="n">
        <f aca="false">IF(E28&gt;0,G28/E28,0)</f>
        <v>0</v>
      </c>
      <c r="I28" s="17"/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1" t="n">
        <f aca="false">IF(D29&gt;0,E29/D29*100,0)</f>
        <v>0</v>
      </c>
      <c r="G29" s="20"/>
      <c r="H29" s="22" t="n">
        <f aca="false">IF(E29&gt;0,G29/E29,0)</f>
        <v>0</v>
      </c>
      <c r="I29" s="20"/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9" t="n">
        <f aca="false">IF(E30&gt;0,G30/E30,0)</f>
        <v>0</v>
      </c>
      <c r="I30" s="17"/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1" t="n">
        <f aca="false">IF(D31&gt;0,E31/D31*100,0)</f>
        <v>0</v>
      </c>
      <c r="G31" s="20"/>
      <c r="H31" s="22" t="n">
        <f aca="false">IF(E31&gt;0,G31/E31,0)</f>
        <v>0</v>
      </c>
      <c r="I31" s="20"/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9" t="n">
        <f aca="false">IF(E32&gt;0,G32/E32,0)</f>
        <v>0</v>
      </c>
      <c r="I32" s="17"/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1" t="n">
        <f aca="false">IF(D33&gt;0,E33/D33*100,0)</f>
        <v>0</v>
      </c>
      <c r="G33" s="20"/>
      <c r="H33" s="22" t="n">
        <f aca="false">IF(E33&gt;0,G33/E33,0)</f>
        <v>0</v>
      </c>
      <c r="I33" s="20"/>
      <c r="J33" s="20"/>
    </row>
    <row r="35" customFormat="false" ht="25.5" hidden="false" customHeight="true" outlineLevel="0" collapsed="false">
      <c r="A35" s="23" t="s">
        <v>41</v>
      </c>
      <c r="B35" s="23"/>
      <c r="C35" s="23"/>
      <c r="D35" s="23"/>
      <c r="E35" s="23"/>
      <c r="F35" s="23"/>
      <c r="G35" s="23"/>
      <c r="H35" s="23"/>
      <c r="I35" s="23"/>
      <c r="J35" s="23"/>
    </row>
    <row r="36" customFormat="false" ht="23.85" hidden="false" customHeight="false" outlineLevel="0" collapsed="false">
      <c r="A36" s="24" t="s">
        <v>31</v>
      </c>
      <c r="B36" s="24" t="s">
        <v>42</v>
      </c>
      <c r="C36" s="24" t="s">
        <v>43</v>
      </c>
      <c r="D36" s="24" t="s">
        <v>44</v>
      </c>
      <c r="E36" s="24" t="s">
        <v>45</v>
      </c>
      <c r="F36" s="24" t="s">
        <v>46</v>
      </c>
      <c r="G36" s="24" t="s">
        <v>47</v>
      </c>
      <c r="H36" s="24" t="s">
        <v>48</v>
      </c>
      <c r="I36" s="24" t="s">
        <v>49</v>
      </c>
      <c r="J36" s="24" t="s">
        <v>32</v>
      </c>
    </row>
    <row r="37" customFormat="false" ht="15" hidden="false" customHeight="false" outlineLevel="0" collapsed="false">
      <c r="A37" s="4" t="n">
        <v>1</v>
      </c>
      <c r="B37" s="20"/>
      <c r="C37" s="20"/>
      <c r="D37" s="20"/>
      <c r="E37" s="20"/>
      <c r="F37" s="20"/>
      <c r="G37" s="20"/>
      <c r="H37" s="20"/>
      <c r="I37" s="20"/>
      <c r="J37" s="20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20"/>
      <c r="C41" s="20"/>
      <c r="D41" s="20"/>
      <c r="E41" s="20"/>
      <c r="F41" s="20"/>
      <c r="G41" s="20"/>
      <c r="H41" s="20"/>
      <c r="I41" s="20"/>
      <c r="J41" s="20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20"/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20"/>
      <c r="C45" s="20"/>
      <c r="D45" s="20"/>
      <c r="E45" s="20"/>
      <c r="F45" s="20"/>
      <c r="G45" s="20"/>
      <c r="H45" s="20"/>
      <c r="I45" s="20"/>
      <c r="J45" s="20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20"/>
      <c r="C47" s="20"/>
      <c r="D47" s="20"/>
      <c r="E47" s="20"/>
      <c r="F47" s="20"/>
      <c r="G47" s="20"/>
      <c r="H47" s="20"/>
      <c r="I47" s="20"/>
      <c r="J47" s="20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20"/>
      <c r="C49" s="20"/>
      <c r="D49" s="20"/>
      <c r="E49" s="20"/>
      <c r="F49" s="20"/>
      <c r="G49" s="20"/>
      <c r="H49" s="20"/>
      <c r="I49" s="20"/>
      <c r="J49" s="20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20"/>
      <c r="C51" s="20"/>
      <c r="D51" s="20"/>
      <c r="E51" s="20"/>
      <c r="F51" s="20"/>
      <c r="G51" s="20"/>
      <c r="H51" s="20"/>
      <c r="I51" s="20"/>
      <c r="J51" s="20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20"/>
      <c r="C53" s="20"/>
      <c r="D53" s="20"/>
      <c r="E53" s="20"/>
      <c r="F53" s="20"/>
      <c r="G53" s="20"/>
      <c r="H53" s="20"/>
      <c r="I53" s="20"/>
      <c r="J53" s="20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20"/>
      <c r="C55" s="20"/>
      <c r="D55" s="20"/>
      <c r="E55" s="20"/>
      <c r="F55" s="20"/>
      <c r="G55" s="20"/>
      <c r="H55" s="20"/>
      <c r="I55" s="20"/>
      <c r="J55" s="20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20"/>
      <c r="C57" s="20"/>
      <c r="D57" s="20"/>
      <c r="E57" s="20"/>
      <c r="F57" s="20"/>
      <c r="G57" s="20"/>
      <c r="H57" s="20"/>
      <c r="I57" s="20"/>
      <c r="J57" s="20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20"/>
      <c r="C59" s="20"/>
      <c r="D59" s="20"/>
      <c r="E59" s="20"/>
      <c r="F59" s="20"/>
      <c r="G59" s="20"/>
      <c r="H59" s="20"/>
      <c r="I59" s="20"/>
      <c r="J59" s="20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20"/>
      <c r="C61" s="20"/>
      <c r="D61" s="20"/>
      <c r="E61" s="20"/>
      <c r="F61" s="20"/>
      <c r="G61" s="20"/>
      <c r="H61" s="20"/>
      <c r="I61" s="20"/>
      <c r="J61" s="20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27</v>
      </c>
      <c r="B63" s="20"/>
      <c r="C63" s="20"/>
      <c r="D63" s="20"/>
      <c r="E63" s="20"/>
      <c r="F63" s="20"/>
      <c r="G63" s="20"/>
      <c r="H63" s="20"/>
      <c r="I63" s="20"/>
      <c r="J63" s="20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29</v>
      </c>
      <c r="B65" s="20"/>
      <c r="C65" s="20"/>
      <c r="D65" s="20"/>
      <c r="E65" s="20"/>
      <c r="F65" s="20"/>
      <c r="G65" s="20"/>
      <c r="H65" s="20"/>
      <c r="I65" s="20"/>
      <c r="J65" s="20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</row>
    <row r="67" customFormat="false" ht="15" hidden="false" customHeight="false" outlineLevel="0" collapsed="false">
      <c r="A67" s="4" t="n">
        <v>31</v>
      </c>
      <c r="B67" s="20"/>
      <c r="C67" s="20"/>
      <c r="D67" s="20"/>
      <c r="E67" s="20"/>
      <c r="F67" s="20"/>
      <c r="G67" s="20"/>
      <c r="H67" s="20"/>
      <c r="I67" s="20"/>
      <c r="J67" s="20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7"/>
    </row>
    <row r="69" customFormat="false" ht="15" hidden="false" customHeight="false" outlineLevel="0" collapsed="false">
      <c r="A69" s="4" t="n">
        <v>33</v>
      </c>
      <c r="B69" s="20"/>
      <c r="C69" s="20"/>
      <c r="D69" s="20"/>
      <c r="E69" s="20"/>
      <c r="F69" s="20"/>
      <c r="G69" s="20"/>
      <c r="H69" s="20"/>
      <c r="I69" s="20"/>
      <c r="J69" s="20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7"/>
    </row>
    <row r="71" customFormat="false" ht="15" hidden="false" customHeight="false" outlineLevel="0" collapsed="false">
      <c r="A71" s="4" t="n">
        <v>35</v>
      </c>
      <c r="B71" s="20"/>
      <c r="C71" s="20"/>
      <c r="D71" s="20"/>
      <c r="E71" s="20"/>
      <c r="F71" s="20"/>
      <c r="G71" s="20"/>
      <c r="H71" s="20"/>
      <c r="I71" s="20"/>
      <c r="J71" s="20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7"/>
    </row>
    <row r="73" customFormat="false" ht="15" hidden="false" customHeight="false" outlineLevel="0" collapsed="false">
      <c r="A73" s="4" t="n">
        <v>37</v>
      </c>
      <c r="B73" s="20"/>
      <c r="C73" s="20"/>
      <c r="D73" s="20"/>
      <c r="E73" s="20"/>
      <c r="F73" s="20"/>
      <c r="G73" s="20"/>
      <c r="H73" s="20"/>
      <c r="I73" s="20"/>
      <c r="J73" s="20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7"/>
    </row>
    <row r="75" customFormat="false" ht="15" hidden="false" customHeight="false" outlineLevel="0" collapsed="false">
      <c r="A75" s="4" t="n">
        <v>39</v>
      </c>
      <c r="B75" s="20"/>
      <c r="C75" s="20"/>
      <c r="D75" s="20"/>
      <c r="E75" s="20"/>
      <c r="F75" s="20"/>
      <c r="G75" s="20"/>
      <c r="H75" s="20"/>
      <c r="I75" s="20"/>
      <c r="J75" s="20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5" t="s">
        <v>9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25.5" hidden="false" customHeight="true" outlineLevel="0" collapsed="false">
      <c r="A2" s="26" t="s">
        <v>50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35.05" hidden="false" customHeight="false" outlineLevel="0" collapsed="false">
      <c r="A3" s="27" t="s">
        <v>31</v>
      </c>
      <c r="B3" s="27" t="s">
        <v>32</v>
      </c>
      <c r="C3" s="27" t="s">
        <v>33</v>
      </c>
      <c r="D3" s="27" t="s">
        <v>34</v>
      </c>
      <c r="E3" s="27" t="s">
        <v>51</v>
      </c>
      <c r="F3" s="27" t="s">
        <v>52</v>
      </c>
      <c r="G3" s="27" t="s">
        <v>53</v>
      </c>
      <c r="H3" s="27" t="s">
        <v>54</v>
      </c>
      <c r="I3" s="27" t="s">
        <v>55</v>
      </c>
      <c r="J3" s="27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1" t="n">
        <f aca="false">IF(D5&gt;0,E5/D5*100,0)</f>
        <v>0</v>
      </c>
      <c r="G5" s="20"/>
      <c r="H5" s="20"/>
      <c r="I5" s="20"/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1" t="n">
        <f aca="false">IF(D7&gt;0,E7/D7*100,0)</f>
        <v>0</v>
      </c>
      <c r="G7" s="20"/>
      <c r="H7" s="20"/>
      <c r="I7" s="20"/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1" t="n">
        <f aca="false">IF(D9&gt;0,E9/D9*100,0)</f>
        <v>0</v>
      </c>
      <c r="G9" s="20"/>
      <c r="H9" s="20"/>
      <c r="I9" s="20"/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1" t="n">
        <f aca="false">IF(D11&gt;0,E11/D11*100,0)</f>
        <v>0</v>
      </c>
      <c r="G11" s="20"/>
      <c r="H11" s="20"/>
      <c r="I11" s="20"/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1" t="n">
        <f aca="false">IF(D13&gt;0,E13/D13*100,0)</f>
        <v>0</v>
      </c>
      <c r="G13" s="20"/>
      <c r="H13" s="20"/>
      <c r="I13" s="20"/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1" t="n">
        <f aca="false">IF(D15&gt;0,E15/D15*100,0)</f>
        <v>0</v>
      </c>
      <c r="G15" s="20"/>
      <c r="H15" s="20"/>
      <c r="I15" s="20"/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1" t="n">
        <f aca="false">IF(D17&gt;0,E17/D17*100,0)</f>
        <v>0</v>
      </c>
      <c r="G17" s="20"/>
      <c r="H17" s="20"/>
      <c r="I17" s="20"/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1" t="n">
        <f aca="false">IF(D19&gt;0,E19/D19*100,0)</f>
        <v>0</v>
      </c>
      <c r="G19" s="20"/>
      <c r="H19" s="20"/>
      <c r="I19" s="20"/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1" t="n">
        <f aca="false">IF(D21&gt;0,E21/D21*100,0)</f>
        <v>0</v>
      </c>
      <c r="G21" s="20"/>
      <c r="H21" s="20"/>
      <c r="I21" s="20"/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1" t="n">
        <f aca="false">IF(D23&gt;0,E23/D23*100,0)</f>
        <v>0</v>
      </c>
      <c r="G23" s="20"/>
      <c r="H23" s="20"/>
      <c r="I23" s="20"/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1" t="n">
        <f aca="false">IF(D25&gt;0,E25/D25*100,0)</f>
        <v>0</v>
      </c>
      <c r="G25" s="20"/>
      <c r="H25" s="20"/>
      <c r="I25" s="20"/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1" t="n">
        <f aca="false">IF(D27&gt;0,E27/D27*100,0)</f>
        <v>0</v>
      </c>
      <c r="G27" s="20"/>
      <c r="H27" s="20"/>
      <c r="I27" s="20"/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1" t="n">
        <f aca="false">IF(D29&gt;0,E29/D29*100,0)</f>
        <v>0</v>
      </c>
      <c r="G29" s="20"/>
      <c r="H29" s="20"/>
      <c r="I29" s="20"/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1" t="n">
        <f aca="false">IF(D31&gt;0,E31/D31*100,0)</f>
        <v>0</v>
      </c>
      <c r="G31" s="20"/>
      <c r="H31" s="20"/>
      <c r="I31" s="20"/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1" t="n">
        <f aca="false">IF(D33&gt;0,E33/D33*100,0)</f>
        <v>0</v>
      </c>
      <c r="G33" s="20"/>
      <c r="H33" s="20"/>
      <c r="I33" s="20"/>
      <c r="J33" s="20"/>
    </row>
    <row r="35" customFormat="false" ht="25.5" hidden="false" customHeight="true" outlineLevel="0" collapsed="false">
      <c r="A35" s="28" t="s">
        <v>56</v>
      </c>
      <c r="B35" s="28"/>
      <c r="C35" s="28"/>
      <c r="D35" s="28"/>
      <c r="E35" s="28"/>
      <c r="F35" s="28"/>
      <c r="G35" s="28"/>
      <c r="H35" s="28"/>
      <c r="I35" s="28"/>
      <c r="J35" s="28"/>
    </row>
    <row r="36" customFormat="false" ht="23.85" hidden="false" customHeight="false" outlineLevel="0" collapsed="false">
      <c r="A36" s="29" t="s">
        <v>31</v>
      </c>
      <c r="B36" s="29" t="s">
        <v>42</v>
      </c>
      <c r="C36" s="29" t="s">
        <v>43</v>
      </c>
      <c r="D36" s="29" t="s">
        <v>57</v>
      </c>
      <c r="E36" s="29" t="s">
        <v>58</v>
      </c>
      <c r="F36" s="29" t="s">
        <v>59</v>
      </c>
      <c r="G36" s="29" t="s">
        <v>60</v>
      </c>
      <c r="H36" s="29" t="s">
        <v>48</v>
      </c>
      <c r="I36" s="29" t="s">
        <v>61</v>
      </c>
      <c r="J36" s="29" t="s">
        <v>32</v>
      </c>
    </row>
    <row r="37" customFormat="false" ht="15" hidden="false" customHeight="false" outlineLevel="0" collapsed="false">
      <c r="A37" s="4" t="n">
        <v>1</v>
      </c>
      <c r="B37" s="20"/>
      <c r="C37" s="20"/>
      <c r="D37" s="20"/>
      <c r="E37" s="20"/>
      <c r="F37" s="20"/>
      <c r="G37" s="20"/>
      <c r="H37" s="20"/>
      <c r="I37" s="20"/>
      <c r="J37" s="20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20"/>
      <c r="C41" s="20"/>
      <c r="D41" s="20"/>
      <c r="E41" s="20"/>
      <c r="F41" s="20"/>
      <c r="G41" s="20"/>
      <c r="H41" s="20"/>
      <c r="I41" s="20"/>
      <c r="J41" s="20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20"/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20"/>
      <c r="C45" s="20"/>
      <c r="D45" s="20"/>
      <c r="E45" s="20"/>
      <c r="F45" s="20"/>
      <c r="G45" s="20"/>
      <c r="H45" s="20"/>
      <c r="I45" s="20"/>
      <c r="J45" s="20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20"/>
      <c r="C47" s="20"/>
      <c r="D47" s="20"/>
      <c r="E47" s="20"/>
      <c r="F47" s="20"/>
      <c r="G47" s="20"/>
      <c r="H47" s="20"/>
      <c r="I47" s="20"/>
      <c r="J47" s="20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20"/>
      <c r="C49" s="20"/>
      <c r="D49" s="20"/>
      <c r="E49" s="20"/>
      <c r="F49" s="20"/>
      <c r="G49" s="20"/>
      <c r="H49" s="20"/>
      <c r="I49" s="20"/>
      <c r="J49" s="20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20"/>
      <c r="C51" s="20"/>
      <c r="D51" s="20"/>
      <c r="E51" s="20"/>
      <c r="F51" s="20"/>
      <c r="G51" s="20"/>
      <c r="H51" s="20"/>
      <c r="I51" s="20"/>
      <c r="J51" s="20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20"/>
      <c r="C53" s="20"/>
      <c r="D53" s="20"/>
      <c r="E53" s="20"/>
      <c r="F53" s="20"/>
      <c r="G53" s="20"/>
      <c r="H53" s="20"/>
      <c r="I53" s="20"/>
      <c r="J53" s="20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20"/>
      <c r="C55" s="20"/>
      <c r="D55" s="20"/>
      <c r="E55" s="20"/>
      <c r="F55" s="20"/>
      <c r="G55" s="20"/>
      <c r="H55" s="20"/>
      <c r="I55" s="20"/>
      <c r="J55" s="20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20"/>
      <c r="C57" s="20"/>
      <c r="D57" s="20"/>
      <c r="E57" s="20"/>
      <c r="F57" s="20"/>
      <c r="G57" s="20"/>
      <c r="H57" s="20"/>
      <c r="I57" s="20"/>
      <c r="J57" s="20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20"/>
      <c r="C59" s="20"/>
      <c r="D59" s="20"/>
      <c r="E59" s="20"/>
      <c r="F59" s="20"/>
      <c r="G59" s="20"/>
      <c r="H59" s="20"/>
      <c r="I59" s="20"/>
      <c r="J59" s="20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20"/>
      <c r="C61" s="20"/>
      <c r="D61" s="20"/>
      <c r="E61" s="20"/>
      <c r="F61" s="20"/>
      <c r="G61" s="20"/>
      <c r="H61" s="20"/>
      <c r="I61" s="20"/>
      <c r="J61" s="20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27</v>
      </c>
      <c r="B63" s="20"/>
      <c r="C63" s="20"/>
      <c r="D63" s="20"/>
      <c r="E63" s="20"/>
      <c r="F63" s="20"/>
      <c r="G63" s="20"/>
      <c r="H63" s="20"/>
      <c r="I63" s="20"/>
      <c r="J63" s="20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29</v>
      </c>
      <c r="B65" s="20"/>
      <c r="C65" s="20"/>
      <c r="D65" s="20"/>
      <c r="E65" s="20"/>
      <c r="F65" s="20"/>
      <c r="G65" s="20"/>
      <c r="H65" s="20"/>
      <c r="I65" s="20"/>
      <c r="J65" s="20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0" t="s">
        <v>62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25.5" hidden="false" customHeight="true" outlineLevel="0" collapsed="false">
      <c r="A2" s="31" t="s">
        <v>63</v>
      </c>
      <c r="B2" s="31"/>
      <c r="C2" s="31"/>
      <c r="D2" s="31"/>
      <c r="E2" s="31"/>
      <c r="F2" s="31"/>
      <c r="G2" s="31"/>
      <c r="H2" s="31"/>
      <c r="I2" s="31"/>
      <c r="J2" s="31"/>
    </row>
    <row r="3" customFormat="false" ht="23.85" hidden="false" customHeight="false" outlineLevel="0" collapsed="false">
      <c r="A3" s="32" t="s">
        <v>31</v>
      </c>
      <c r="B3" s="32" t="s">
        <v>32</v>
      </c>
      <c r="C3" s="32" t="s">
        <v>33</v>
      </c>
      <c r="D3" s="32" t="s">
        <v>34</v>
      </c>
      <c r="E3" s="32" t="s">
        <v>64</v>
      </c>
      <c r="F3" s="32" t="s">
        <v>65</v>
      </c>
      <c r="G3" s="32" t="s">
        <v>66</v>
      </c>
      <c r="H3" s="32" t="s">
        <v>67</v>
      </c>
      <c r="I3" s="32" t="s">
        <v>68</v>
      </c>
      <c r="J3" s="32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9" t="n">
        <f aca="false">IF(D4&gt;0,E4/D4*100,0)</f>
        <v>0</v>
      </c>
      <c r="G4" s="17"/>
      <c r="H4" s="19" t="n">
        <f aca="false">IF(D4&gt;0,G4/D4*100,0)</f>
        <v>0</v>
      </c>
      <c r="I4" s="8" t="n">
        <f aca="false">E4+G4</f>
        <v>0</v>
      </c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2" t="n">
        <f aca="false">IF(D5&gt;0,E5/D5*100,0)</f>
        <v>0</v>
      </c>
      <c r="G5" s="20"/>
      <c r="H5" s="22" t="n">
        <f aca="false">IF(D5&gt;0,G5/D5*100,0)</f>
        <v>0</v>
      </c>
      <c r="I5" s="4" t="n">
        <f aca="false">E5+G5</f>
        <v>0</v>
      </c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9" t="n">
        <f aca="false">IF(D6&gt;0,E6/D6*100,0)</f>
        <v>0</v>
      </c>
      <c r="G6" s="17"/>
      <c r="H6" s="19" t="n">
        <f aca="false">IF(D6&gt;0,G6/D6*100,0)</f>
        <v>0</v>
      </c>
      <c r="I6" s="8" t="n">
        <f aca="false">E6+G6</f>
        <v>0</v>
      </c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2" t="n">
        <f aca="false">IF(D7&gt;0,E7/D7*100,0)</f>
        <v>0</v>
      </c>
      <c r="G7" s="20"/>
      <c r="H7" s="22" t="n">
        <f aca="false">IF(D7&gt;0,G7/D7*100,0)</f>
        <v>0</v>
      </c>
      <c r="I7" s="4" t="n">
        <f aca="false">E7+G7</f>
        <v>0</v>
      </c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9" t="n">
        <f aca="false">IF(D8&gt;0,E8/D8*100,0)</f>
        <v>0</v>
      </c>
      <c r="G8" s="17"/>
      <c r="H8" s="19" t="n">
        <f aca="false">IF(D8&gt;0,G8/D8*100,0)</f>
        <v>0</v>
      </c>
      <c r="I8" s="8" t="n">
        <f aca="false">E8+G8</f>
        <v>0</v>
      </c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2" t="n">
        <f aca="false">IF(D9&gt;0,E9/D9*100,0)</f>
        <v>0</v>
      </c>
      <c r="G9" s="20"/>
      <c r="H9" s="22" t="n">
        <f aca="false">IF(D9&gt;0,G9/D9*100,0)</f>
        <v>0</v>
      </c>
      <c r="I9" s="4" t="n">
        <f aca="false">E9+G9</f>
        <v>0</v>
      </c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9" t="n">
        <f aca="false">IF(D10&gt;0,E10/D10*100,0)</f>
        <v>0</v>
      </c>
      <c r="G10" s="17"/>
      <c r="H10" s="19" t="n">
        <f aca="false">IF(D10&gt;0,G10/D10*100,0)</f>
        <v>0</v>
      </c>
      <c r="I10" s="8" t="n">
        <f aca="false">E10+G10</f>
        <v>0</v>
      </c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2" t="n">
        <f aca="false">IF(D11&gt;0,E11/D11*100,0)</f>
        <v>0</v>
      </c>
      <c r="G11" s="20"/>
      <c r="H11" s="22" t="n">
        <f aca="false">IF(D11&gt;0,G11/D11*100,0)</f>
        <v>0</v>
      </c>
      <c r="I11" s="4" t="n">
        <f aca="false">E11+G11</f>
        <v>0</v>
      </c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9" t="n">
        <f aca="false">IF(D12&gt;0,E12/D12*100,0)</f>
        <v>0</v>
      </c>
      <c r="G12" s="17"/>
      <c r="H12" s="19" t="n">
        <f aca="false">IF(D12&gt;0,G12/D12*100,0)</f>
        <v>0</v>
      </c>
      <c r="I12" s="8" t="n">
        <f aca="false">E12+G12</f>
        <v>0</v>
      </c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2" t="n">
        <f aca="false">IF(D13&gt;0,E13/D13*100,0)</f>
        <v>0</v>
      </c>
      <c r="G13" s="20"/>
      <c r="H13" s="22" t="n">
        <f aca="false">IF(D13&gt;0,G13/D13*100,0)</f>
        <v>0</v>
      </c>
      <c r="I13" s="4" t="n">
        <f aca="false">E13+G13</f>
        <v>0</v>
      </c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9" t="n">
        <f aca="false">IF(D14&gt;0,E14/D14*100,0)</f>
        <v>0</v>
      </c>
      <c r="G14" s="17"/>
      <c r="H14" s="19" t="n">
        <f aca="false">IF(D14&gt;0,G14/D14*100,0)</f>
        <v>0</v>
      </c>
      <c r="I14" s="8" t="n">
        <f aca="false">E14+G14</f>
        <v>0</v>
      </c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2" t="n">
        <f aca="false">IF(D15&gt;0,E15/D15*100,0)</f>
        <v>0</v>
      </c>
      <c r="G15" s="20"/>
      <c r="H15" s="22" t="n">
        <f aca="false">IF(D15&gt;0,G15/D15*100,0)</f>
        <v>0</v>
      </c>
      <c r="I15" s="4" t="n">
        <f aca="false">E15+G15</f>
        <v>0</v>
      </c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9" t="n">
        <f aca="false">IF(D16&gt;0,E16/D16*100,0)</f>
        <v>0</v>
      </c>
      <c r="G16" s="17"/>
      <c r="H16" s="19" t="n">
        <f aca="false">IF(D16&gt;0,G16/D16*100,0)</f>
        <v>0</v>
      </c>
      <c r="I16" s="8" t="n">
        <f aca="false">E16+G16</f>
        <v>0</v>
      </c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2" t="n">
        <f aca="false">IF(D17&gt;0,E17/D17*100,0)</f>
        <v>0</v>
      </c>
      <c r="G17" s="20"/>
      <c r="H17" s="22" t="n">
        <f aca="false">IF(D17&gt;0,G17/D17*100,0)</f>
        <v>0</v>
      </c>
      <c r="I17" s="4" t="n">
        <f aca="false">E17+G17</f>
        <v>0</v>
      </c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9" t="n">
        <f aca="false">IF(D18&gt;0,E18/D18*100,0)</f>
        <v>0</v>
      </c>
      <c r="G18" s="17"/>
      <c r="H18" s="19" t="n">
        <f aca="false">IF(D18&gt;0,G18/D18*100,0)</f>
        <v>0</v>
      </c>
      <c r="I18" s="8" t="n">
        <f aca="false">E18+G18</f>
        <v>0</v>
      </c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2" t="n">
        <f aca="false">IF(D19&gt;0,E19/D19*100,0)</f>
        <v>0</v>
      </c>
      <c r="G19" s="20"/>
      <c r="H19" s="22" t="n">
        <f aca="false">IF(D19&gt;0,G19/D19*100,0)</f>
        <v>0</v>
      </c>
      <c r="I19" s="4" t="n">
        <f aca="false">E19+G19</f>
        <v>0</v>
      </c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9" t="n">
        <f aca="false">IF(D20&gt;0,E20/D20*100,0)</f>
        <v>0</v>
      </c>
      <c r="G20" s="17"/>
      <c r="H20" s="19" t="n">
        <f aca="false">IF(D20&gt;0,G20/D20*100,0)</f>
        <v>0</v>
      </c>
      <c r="I20" s="8" t="n">
        <f aca="false">E20+G20</f>
        <v>0</v>
      </c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2" t="n">
        <f aca="false">IF(D21&gt;0,E21/D21*100,0)</f>
        <v>0</v>
      </c>
      <c r="G21" s="20"/>
      <c r="H21" s="22" t="n">
        <f aca="false">IF(D21&gt;0,G21/D21*100,0)</f>
        <v>0</v>
      </c>
      <c r="I21" s="4" t="n">
        <f aca="false">E21+G21</f>
        <v>0</v>
      </c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9" t="n">
        <f aca="false">IF(D22&gt;0,E22/D22*100,0)</f>
        <v>0</v>
      </c>
      <c r="G22" s="17"/>
      <c r="H22" s="19" t="n">
        <f aca="false">IF(D22&gt;0,G22/D22*100,0)</f>
        <v>0</v>
      </c>
      <c r="I22" s="8" t="n">
        <f aca="false">E22+G22</f>
        <v>0</v>
      </c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2" t="n">
        <f aca="false">IF(D23&gt;0,E23/D23*100,0)</f>
        <v>0</v>
      </c>
      <c r="G23" s="20"/>
      <c r="H23" s="22" t="n">
        <f aca="false">IF(D23&gt;0,G23/D23*100,0)</f>
        <v>0</v>
      </c>
      <c r="I23" s="4" t="n">
        <f aca="false">E23+G23</f>
        <v>0</v>
      </c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9" t="n">
        <f aca="false">IF(D24&gt;0,E24/D24*100,0)</f>
        <v>0</v>
      </c>
      <c r="G24" s="17"/>
      <c r="H24" s="19" t="n">
        <f aca="false">IF(D24&gt;0,G24/D24*100,0)</f>
        <v>0</v>
      </c>
      <c r="I24" s="8" t="n">
        <f aca="false">E24+G24</f>
        <v>0</v>
      </c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2" t="n">
        <f aca="false">IF(D25&gt;0,E25/D25*100,0)</f>
        <v>0</v>
      </c>
      <c r="G25" s="20"/>
      <c r="H25" s="22" t="n">
        <f aca="false">IF(D25&gt;0,G25/D25*100,0)</f>
        <v>0</v>
      </c>
      <c r="I25" s="4" t="n">
        <f aca="false">E25+G25</f>
        <v>0</v>
      </c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9" t="n">
        <f aca="false">IF(D26&gt;0,E26/D26*100,0)</f>
        <v>0</v>
      </c>
      <c r="G26" s="17"/>
      <c r="H26" s="19" t="n">
        <f aca="false">IF(D26&gt;0,G26/D26*100,0)</f>
        <v>0</v>
      </c>
      <c r="I26" s="8" t="n">
        <f aca="false">E26+G26</f>
        <v>0</v>
      </c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2" t="n">
        <f aca="false">IF(D27&gt;0,E27/D27*100,0)</f>
        <v>0</v>
      </c>
      <c r="G27" s="20"/>
      <c r="H27" s="22" t="n">
        <f aca="false">IF(D27&gt;0,G27/D27*100,0)</f>
        <v>0</v>
      </c>
      <c r="I27" s="4" t="n">
        <f aca="false">E27+G27</f>
        <v>0</v>
      </c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9" t="n">
        <f aca="false">IF(D28&gt;0,E28/D28*100,0)</f>
        <v>0</v>
      </c>
      <c r="G28" s="17"/>
      <c r="H28" s="19" t="n">
        <f aca="false">IF(D28&gt;0,G28/D28*100,0)</f>
        <v>0</v>
      </c>
      <c r="I28" s="8" t="n">
        <f aca="false">E28+G28</f>
        <v>0</v>
      </c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2" t="n">
        <f aca="false">IF(D29&gt;0,E29/D29*100,0)</f>
        <v>0</v>
      </c>
      <c r="G29" s="20"/>
      <c r="H29" s="22" t="n">
        <f aca="false">IF(D29&gt;0,G29/D29*100,0)</f>
        <v>0</v>
      </c>
      <c r="I29" s="4" t="n">
        <f aca="false">E29+G29</f>
        <v>0</v>
      </c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9" t="n">
        <f aca="false">IF(D30&gt;0,E30/D30*100,0)</f>
        <v>0</v>
      </c>
      <c r="G30" s="17"/>
      <c r="H30" s="19" t="n">
        <f aca="false">IF(D30&gt;0,G30/D30*100,0)</f>
        <v>0</v>
      </c>
      <c r="I30" s="8" t="n">
        <f aca="false">E30+G30</f>
        <v>0</v>
      </c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2" t="n">
        <f aca="false">IF(D31&gt;0,E31/D31*100,0)</f>
        <v>0</v>
      </c>
      <c r="G31" s="20"/>
      <c r="H31" s="22" t="n">
        <f aca="false">IF(D31&gt;0,G31/D31*100,0)</f>
        <v>0</v>
      </c>
      <c r="I31" s="4" t="n">
        <f aca="false">E31+G31</f>
        <v>0</v>
      </c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9" t="n">
        <f aca="false">IF(D32&gt;0,E32/D32*100,0)</f>
        <v>0</v>
      </c>
      <c r="G32" s="17"/>
      <c r="H32" s="19" t="n">
        <f aca="false">IF(D32&gt;0,G32/D32*100,0)</f>
        <v>0</v>
      </c>
      <c r="I32" s="8" t="n">
        <f aca="false">E32+G32</f>
        <v>0</v>
      </c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2" t="n">
        <f aca="false">IF(D33&gt;0,E33/D33*100,0)</f>
        <v>0</v>
      </c>
      <c r="G33" s="20"/>
      <c r="H33" s="22" t="n">
        <f aca="false">IF(D33&gt;0,G33/D33*100,0)</f>
        <v>0</v>
      </c>
      <c r="I33" s="4" t="n">
        <f aca="false">E33+G33</f>
        <v>0</v>
      </c>
      <c r="J33" s="2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3" t="s">
        <v>15</v>
      </c>
      <c r="B1" s="33"/>
      <c r="C1" s="33"/>
      <c r="D1" s="33"/>
      <c r="E1" s="33"/>
      <c r="F1" s="33"/>
      <c r="G1" s="33"/>
      <c r="H1" s="33"/>
      <c r="I1" s="33"/>
      <c r="J1" s="33"/>
    </row>
    <row r="2" customFormat="false" ht="25.5" hidden="false" customHeight="true" outlineLevel="0" collapsed="false">
      <c r="A2" s="34" t="s">
        <v>69</v>
      </c>
      <c r="B2" s="34"/>
      <c r="C2" s="34"/>
      <c r="D2" s="34"/>
      <c r="E2" s="34"/>
      <c r="F2" s="34"/>
      <c r="G2" s="34"/>
      <c r="H2" s="34"/>
      <c r="I2" s="34"/>
      <c r="J2" s="34"/>
    </row>
    <row r="3" customFormat="false" ht="35.05" hidden="false" customHeight="false" outlineLevel="0" collapsed="false">
      <c r="A3" s="35" t="s">
        <v>31</v>
      </c>
      <c r="B3" s="35" t="s">
        <v>32</v>
      </c>
      <c r="C3" s="35" t="s">
        <v>33</v>
      </c>
      <c r="D3" s="35" t="s">
        <v>34</v>
      </c>
      <c r="E3" s="35" t="s">
        <v>70</v>
      </c>
      <c r="F3" s="35" t="s">
        <v>71</v>
      </c>
      <c r="G3" s="35" t="s">
        <v>72</v>
      </c>
      <c r="H3" s="35" t="s">
        <v>73</v>
      </c>
      <c r="I3" s="35" t="s">
        <v>74</v>
      </c>
      <c r="J3" s="35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7"/>
      <c r="I4" s="8" t="n">
        <f aca="false">E4+G4+H4</f>
        <v>0</v>
      </c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1" t="n">
        <f aca="false">IF(D5&gt;0,E5/D5*100,0)</f>
        <v>0</v>
      </c>
      <c r="G5" s="20"/>
      <c r="H5" s="20"/>
      <c r="I5" s="4" t="n">
        <f aca="false">E5+G5+H5</f>
        <v>0</v>
      </c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7"/>
      <c r="I6" s="8" t="n">
        <f aca="false">E6+G6+H6</f>
        <v>0</v>
      </c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1" t="n">
        <f aca="false">IF(D7&gt;0,E7/D7*100,0)</f>
        <v>0</v>
      </c>
      <c r="G7" s="20"/>
      <c r="H7" s="20"/>
      <c r="I7" s="4" t="n">
        <f aca="false">E7+G7+H7</f>
        <v>0</v>
      </c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7"/>
      <c r="I8" s="8" t="n">
        <f aca="false">E8+G8+H8</f>
        <v>0</v>
      </c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1" t="n">
        <f aca="false">IF(D9&gt;0,E9/D9*100,0)</f>
        <v>0</v>
      </c>
      <c r="G9" s="20"/>
      <c r="H9" s="20"/>
      <c r="I9" s="4" t="n">
        <f aca="false">E9+G9+H9</f>
        <v>0</v>
      </c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7"/>
      <c r="I10" s="8" t="n">
        <f aca="false">E10+G10+H10</f>
        <v>0</v>
      </c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1" t="n">
        <f aca="false">IF(D11&gt;0,E11/D11*100,0)</f>
        <v>0</v>
      </c>
      <c r="G11" s="20"/>
      <c r="H11" s="20"/>
      <c r="I11" s="4" t="n">
        <f aca="false">E11+G11+H11</f>
        <v>0</v>
      </c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7"/>
      <c r="I12" s="8" t="n">
        <f aca="false">E12+G12+H12</f>
        <v>0</v>
      </c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1" t="n">
        <f aca="false">IF(D13&gt;0,E13/D13*100,0)</f>
        <v>0</v>
      </c>
      <c r="G13" s="20"/>
      <c r="H13" s="20"/>
      <c r="I13" s="4" t="n">
        <f aca="false">E13+G13+H13</f>
        <v>0</v>
      </c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7"/>
      <c r="I14" s="8" t="n">
        <f aca="false">E14+G14+H14</f>
        <v>0</v>
      </c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1" t="n">
        <f aca="false">IF(D15&gt;0,E15/D15*100,0)</f>
        <v>0</v>
      </c>
      <c r="G15" s="20"/>
      <c r="H15" s="20"/>
      <c r="I15" s="4" t="n">
        <f aca="false">E15+G15+H15</f>
        <v>0</v>
      </c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7"/>
      <c r="I16" s="8" t="n">
        <f aca="false">E16+G16+H16</f>
        <v>0</v>
      </c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1" t="n">
        <f aca="false">IF(D17&gt;0,E17/D17*100,0)</f>
        <v>0</v>
      </c>
      <c r="G17" s="20"/>
      <c r="H17" s="20"/>
      <c r="I17" s="4" t="n">
        <f aca="false">E17+G17+H17</f>
        <v>0</v>
      </c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7"/>
      <c r="I18" s="8" t="n">
        <f aca="false">E18+G18+H18</f>
        <v>0</v>
      </c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1" t="n">
        <f aca="false">IF(D19&gt;0,E19/D19*100,0)</f>
        <v>0</v>
      </c>
      <c r="G19" s="20"/>
      <c r="H19" s="20"/>
      <c r="I19" s="4" t="n">
        <f aca="false">E19+G19+H19</f>
        <v>0</v>
      </c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7"/>
      <c r="I20" s="8" t="n">
        <f aca="false">E20+G20+H20</f>
        <v>0</v>
      </c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1" t="n">
        <f aca="false">IF(D21&gt;0,E21/D21*100,0)</f>
        <v>0</v>
      </c>
      <c r="G21" s="20"/>
      <c r="H21" s="20"/>
      <c r="I21" s="4" t="n">
        <f aca="false">E21+G21+H21</f>
        <v>0</v>
      </c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7"/>
      <c r="I22" s="8" t="n">
        <f aca="false">E22+G22+H22</f>
        <v>0</v>
      </c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1" t="n">
        <f aca="false">IF(D23&gt;0,E23/D23*100,0)</f>
        <v>0</v>
      </c>
      <c r="G23" s="20"/>
      <c r="H23" s="20"/>
      <c r="I23" s="4" t="n">
        <f aca="false">E23+G23+H23</f>
        <v>0</v>
      </c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7"/>
      <c r="I24" s="8" t="n">
        <f aca="false">E24+G24+H24</f>
        <v>0</v>
      </c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1" t="n">
        <f aca="false">IF(D25&gt;0,E25/D25*100,0)</f>
        <v>0</v>
      </c>
      <c r="G25" s="20"/>
      <c r="H25" s="20"/>
      <c r="I25" s="4" t="n">
        <f aca="false">E25+G25+H25</f>
        <v>0</v>
      </c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7"/>
      <c r="I26" s="8" t="n">
        <f aca="false">E26+G26+H26</f>
        <v>0</v>
      </c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1" t="n">
        <f aca="false">IF(D27&gt;0,E27/D27*100,0)</f>
        <v>0</v>
      </c>
      <c r="G27" s="20"/>
      <c r="H27" s="20"/>
      <c r="I27" s="4" t="n">
        <f aca="false">E27+G27+H27</f>
        <v>0</v>
      </c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7"/>
      <c r="I28" s="8" t="n">
        <f aca="false">E28+G28+H28</f>
        <v>0</v>
      </c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1" t="n">
        <f aca="false">IF(D29&gt;0,E29/D29*100,0)</f>
        <v>0</v>
      </c>
      <c r="G29" s="20"/>
      <c r="H29" s="20"/>
      <c r="I29" s="4" t="n">
        <f aca="false">E29+G29+H29</f>
        <v>0</v>
      </c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7"/>
      <c r="I30" s="8" t="n">
        <f aca="false">E30+G30+H30</f>
        <v>0</v>
      </c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1" t="n">
        <f aca="false">IF(D31&gt;0,E31/D31*100,0)</f>
        <v>0</v>
      </c>
      <c r="G31" s="20"/>
      <c r="H31" s="20"/>
      <c r="I31" s="4" t="n">
        <f aca="false">E31+G31+H31</f>
        <v>0</v>
      </c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7"/>
      <c r="I32" s="8" t="n">
        <f aca="false">E32+G32+H32</f>
        <v>0</v>
      </c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1" t="n">
        <f aca="false">IF(D33&gt;0,E33/D33*100,0)</f>
        <v>0</v>
      </c>
      <c r="G33" s="20"/>
      <c r="H33" s="20"/>
      <c r="I33" s="4" t="n">
        <f aca="false">E33+G33+H33</f>
        <v>0</v>
      </c>
      <c r="J33" s="2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6" t="s">
        <v>75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25.5" hidden="false" customHeight="true" outlineLevel="0" collapsed="false">
      <c r="A2" s="37" t="s">
        <v>76</v>
      </c>
      <c r="B2" s="37"/>
      <c r="C2" s="37"/>
      <c r="D2" s="37"/>
      <c r="E2" s="37"/>
      <c r="F2" s="37"/>
      <c r="G2" s="37"/>
      <c r="H2" s="37"/>
      <c r="I2" s="37"/>
      <c r="J2" s="37"/>
    </row>
    <row r="3" customFormat="false" ht="23.85" hidden="false" customHeight="false" outlineLevel="0" collapsed="false">
      <c r="A3" s="38" t="s">
        <v>31</v>
      </c>
      <c r="B3" s="38" t="s">
        <v>32</v>
      </c>
      <c r="C3" s="38" t="s">
        <v>33</v>
      </c>
      <c r="D3" s="38" t="s">
        <v>34</v>
      </c>
      <c r="E3" s="38" t="s">
        <v>77</v>
      </c>
      <c r="F3" s="38" t="s">
        <v>78</v>
      </c>
      <c r="G3" s="38" t="s">
        <v>79</v>
      </c>
      <c r="H3" s="38" t="s">
        <v>80</v>
      </c>
      <c r="I3" s="38" t="s">
        <v>81</v>
      </c>
      <c r="J3" s="38" t="s">
        <v>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39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1" t="n">
        <f aca="false">IF(D5&gt;0,E5/D5*100,0)</f>
        <v>0</v>
      </c>
      <c r="G5" s="40"/>
      <c r="H5" s="20"/>
      <c r="I5" s="20"/>
      <c r="J5" s="20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39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1" t="n">
        <f aca="false">IF(D7&gt;0,E7/D7*100,0)</f>
        <v>0</v>
      </c>
      <c r="G7" s="40"/>
      <c r="H7" s="20"/>
      <c r="I7" s="20"/>
      <c r="J7" s="20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39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1" t="n">
        <f aca="false">IF(D9&gt;0,E9/D9*100,0)</f>
        <v>0</v>
      </c>
      <c r="G9" s="40"/>
      <c r="H9" s="20"/>
      <c r="I9" s="20"/>
      <c r="J9" s="20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39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1" t="n">
        <f aca="false">IF(D11&gt;0,E11/D11*100,0)</f>
        <v>0</v>
      </c>
      <c r="G11" s="40"/>
      <c r="H11" s="20"/>
      <c r="I11" s="20"/>
      <c r="J11" s="20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39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1" t="n">
        <f aca="false">IF(D13&gt;0,E13/D13*100,0)</f>
        <v>0</v>
      </c>
      <c r="G13" s="40"/>
      <c r="H13" s="20"/>
      <c r="I13" s="20"/>
      <c r="J13" s="20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39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1" t="n">
        <f aca="false">IF(D15&gt;0,E15/D15*100,0)</f>
        <v>0</v>
      </c>
      <c r="G15" s="40"/>
      <c r="H15" s="20"/>
      <c r="I15" s="20"/>
      <c r="J15" s="20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39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1" t="n">
        <f aca="false">IF(D17&gt;0,E17/D17*100,0)</f>
        <v>0</v>
      </c>
      <c r="G17" s="40"/>
      <c r="H17" s="20"/>
      <c r="I17" s="20"/>
      <c r="J17" s="20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39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1" t="n">
        <f aca="false">IF(D19&gt;0,E19/D19*100,0)</f>
        <v>0</v>
      </c>
      <c r="G19" s="40"/>
      <c r="H19" s="20"/>
      <c r="I19" s="20"/>
      <c r="J19" s="20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39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1" t="n">
        <f aca="false">IF(D21&gt;0,E21/D21*100,0)</f>
        <v>0</v>
      </c>
      <c r="G21" s="40"/>
      <c r="H21" s="20"/>
      <c r="I21" s="20"/>
      <c r="J21" s="20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39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1" t="n">
        <f aca="false">IF(D23&gt;0,E23/D23*100,0)</f>
        <v>0</v>
      </c>
      <c r="G23" s="40"/>
      <c r="H23" s="20"/>
      <c r="I23" s="20"/>
      <c r="J23" s="20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39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1" t="n">
        <f aca="false">IF(D25&gt;0,E25/D25*100,0)</f>
        <v>0</v>
      </c>
      <c r="G25" s="40"/>
      <c r="H25" s="20"/>
      <c r="I25" s="20"/>
      <c r="J25" s="20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39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1" t="n">
        <f aca="false">IF(D27&gt;0,E27/D27*100,0)</f>
        <v>0</v>
      </c>
      <c r="G27" s="40"/>
      <c r="H27" s="20"/>
      <c r="I27" s="20"/>
      <c r="J27" s="20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39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1" t="n">
        <f aca="false">IF(D29&gt;0,E29/D29*100,0)</f>
        <v>0</v>
      </c>
      <c r="G29" s="40"/>
      <c r="H29" s="20"/>
      <c r="I29" s="20"/>
      <c r="J29" s="20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39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1" t="n">
        <f aca="false">IF(D31&gt;0,E31/D31*100,0)</f>
        <v>0</v>
      </c>
      <c r="G31" s="40"/>
      <c r="H31" s="20"/>
      <c r="I31" s="20"/>
      <c r="J31" s="20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39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1" t="n">
        <f aca="false">IF(D33&gt;0,E33/D33*100,0)</f>
        <v>0</v>
      </c>
      <c r="G33" s="40"/>
      <c r="H33" s="20"/>
      <c r="I33" s="20"/>
      <c r="J33" s="2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1" t="s">
        <v>82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25.5" hidden="false" customHeight="true" outlineLevel="0" collapsed="false">
      <c r="A2" s="42" t="s">
        <v>83</v>
      </c>
      <c r="B2" s="42"/>
      <c r="C2" s="42"/>
      <c r="D2" s="42"/>
      <c r="E2" s="42"/>
      <c r="F2" s="42"/>
      <c r="G2" s="42"/>
      <c r="H2" s="42"/>
      <c r="I2" s="42"/>
      <c r="J2" s="42"/>
    </row>
    <row r="3" customFormat="false" ht="35.05" hidden="false" customHeight="false" outlineLevel="0" collapsed="false">
      <c r="A3" s="43" t="s">
        <v>31</v>
      </c>
      <c r="B3" s="43" t="s">
        <v>32</v>
      </c>
      <c r="C3" s="43" t="s">
        <v>33</v>
      </c>
      <c r="D3" s="43" t="s">
        <v>34</v>
      </c>
      <c r="E3" s="43" t="s">
        <v>84</v>
      </c>
      <c r="F3" s="43" t="s">
        <v>85</v>
      </c>
      <c r="G3" s="43" t="s">
        <v>86</v>
      </c>
      <c r="H3" s="43" t="s">
        <v>87</v>
      </c>
      <c r="I3" s="43" t="s">
        <v>88</v>
      </c>
      <c r="J3" s="43" t="s">
        <v>89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8" t="n">
        <f aca="false">IF(D4&gt;0,E4/D4*100,0)</f>
        <v>0</v>
      </c>
      <c r="G4" s="17"/>
      <c r="H4" s="17"/>
      <c r="I4" s="17"/>
      <c r="J4" s="18" t="n">
        <f aca="false">IF(D4&gt;0,I4/D4*100,0)</f>
        <v>0</v>
      </c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1" t="n">
        <f aca="false">IF(D5&gt;0,E5/D5*100,0)</f>
        <v>0</v>
      </c>
      <c r="G5" s="20"/>
      <c r="H5" s="20"/>
      <c r="I5" s="20"/>
      <c r="J5" s="21" t="n">
        <f aca="false">IF(D5&gt;0,I5/D5*100,0)</f>
        <v>0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8" t="n">
        <f aca="false">IF(D6&gt;0,E6/D6*100,0)</f>
        <v>0</v>
      </c>
      <c r="G6" s="17"/>
      <c r="H6" s="17"/>
      <c r="I6" s="17"/>
      <c r="J6" s="18" t="n">
        <f aca="false">IF(D6&gt;0,I6/D6*100,0)</f>
        <v>0</v>
      </c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1" t="n">
        <f aca="false">IF(D7&gt;0,E7/D7*100,0)</f>
        <v>0</v>
      </c>
      <c r="G7" s="20"/>
      <c r="H7" s="20"/>
      <c r="I7" s="20"/>
      <c r="J7" s="21" t="n">
        <f aca="false">IF(D7&gt;0,I7/D7*100,0)</f>
        <v>0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8" t="n">
        <f aca="false">IF(D8&gt;0,E8/D8*100,0)</f>
        <v>0</v>
      </c>
      <c r="G8" s="17"/>
      <c r="H8" s="17"/>
      <c r="I8" s="17"/>
      <c r="J8" s="18" t="n">
        <f aca="false">IF(D8&gt;0,I8/D8*100,0)</f>
        <v>0</v>
      </c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1" t="n">
        <f aca="false">IF(D9&gt;0,E9/D9*100,0)</f>
        <v>0</v>
      </c>
      <c r="G9" s="20"/>
      <c r="H9" s="20"/>
      <c r="I9" s="20"/>
      <c r="J9" s="21" t="n">
        <f aca="false">IF(D9&gt;0,I9/D9*100,0)</f>
        <v>0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8" t="n">
        <f aca="false">IF(D10&gt;0,E10/D10*100,0)</f>
        <v>0</v>
      </c>
      <c r="G10" s="17"/>
      <c r="H10" s="17"/>
      <c r="I10" s="17"/>
      <c r="J10" s="18" t="n">
        <f aca="false">IF(D10&gt;0,I10/D10*100,0)</f>
        <v>0</v>
      </c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1" t="n">
        <f aca="false">IF(D11&gt;0,E11/D11*100,0)</f>
        <v>0</v>
      </c>
      <c r="G11" s="20"/>
      <c r="H11" s="20"/>
      <c r="I11" s="20"/>
      <c r="J11" s="21" t="n">
        <f aca="false">IF(D11&gt;0,I11/D11*100,0)</f>
        <v>0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8" t="n">
        <f aca="false">IF(D12&gt;0,E12/D12*100,0)</f>
        <v>0</v>
      </c>
      <c r="G12" s="17"/>
      <c r="H12" s="17"/>
      <c r="I12" s="17"/>
      <c r="J12" s="18" t="n">
        <f aca="false">IF(D12&gt;0,I12/D12*100,0)</f>
        <v>0</v>
      </c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1" t="n">
        <f aca="false">IF(D13&gt;0,E13/D13*100,0)</f>
        <v>0</v>
      </c>
      <c r="G13" s="20"/>
      <c r="H13" s="20"/>
      <c r="I13" s="20"/>
      <c r="J13" s="21" t="n">
        <f aca="false">IF(D13&gt;0,I13/D13*100,0)</f>
        <v>0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8" t="n">
        <f aca="false">IF(D14&gt;0,E14/D14*100,0)</f>
        <v>0</v>
      </c>
      <c r="G14" s="17"/>
      <c r="H14" s="17"/>
      <c r="I14" s="17"/>
      <c r="J14" s="18" t="n">
        <f aca="false">IF(D14&gt;0,I14/D14*100,0)</f>
        <v>0</v>
      </c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1" t="n">
        <f aca="false">IF(D15&gt;0,E15/D15*100,0)</f>
        <v>0</v>
      </c>
      <c r="G15" s="20"/>
      <c r="H15" s="20"/>
      <c r="I15" s="20"/>
      <c r="J15" s="21" t="n">
        <f aca="false">IF(D15&gt;0,I15/D15*100,0)</f>
        <v>0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8" t="n">
        <f aca="false">IF(D16&gt;0,E16/D16*100,0)</f>
        <v>0</v>
      </c>
      <c r="G16" s="17"/>
      <c r="H16" s="17"/>
      <c r="I16" s="17"/>
      <c r="J16" s="18" t="n">
        <f aca="false">IF(D16&gt;0,I16/D16*100,0)</f>
        <v>0</v>
      </c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1" t="n">
        <f aca="false">IF(D17&gt;0,E17/D17*100,0)</f>
        <v>0</v>
      </c>
      <c r="G17" s="20"/>
      <c r="H17" s="20"/>
      <c r="I17" s="20"/>
      <c r="J17" s="21" t="n">
        <f aca="false">IF(D17&gt;0,I17/D17*100,0)</f>
        <v>0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8" t="n">
        <f aca="false">IF(D18&gt;0,E18/D18*100,0)</f>
        <v>0</v>
      </c>
      <c r="G18" s="17"/>
      <c r="H18" s="17"/>
      <c r="I18" s="17"/>
      <c r="J18" s="18" t="n">
        <f aca="false">IF(D18&gt;0,I18/D18*100,0)</f>
        <v>0</v>
      </c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1" t="n">
        <f aca="false">IF(D19&gt;0,E19/D19*100,0)</f>
        <v>0</v>
      </c>
      <c r="G19" s="20"/>
      <c r="H19" s="20"/>
      <c r="I19" s="20"/>
      <c r="J19" s="21" t="n">
        <f aca="false">IF(D19&gt;0,I19/D19*100,0)</f>
        <v>0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8" t="n">
        <f aca="false">IF(D20&gt;0,E20/D20*100,0)</f>
        <v>0</v>
      </c>
      <c r="G20" s="17"/>
      <c r="H20" s="17"/>
      <c r="I20" s="17"/>
      <c r="J20" s="18" t="n">
        <f aca="false">IF(D20&gt;0,I20/D20*100,0)</f>
        <v>0</v>
      </c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1" t="n">
        <f aca="false">IF(D21&gt;0,E21/D21*100,0)</f>
        <v>0</v>
      </c>
      <c r="G21" s="20"/>
      <c r="H21" s="20"/>
      <c r="I21" s="20"/>
      <c r="J21" s="21" t="n">
        <f aca="false">IF(D21&gt;0,I21/D21*100,0)</f>
        <v>0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8" t="n">
        <f aca="false">IF(D22&gt;0,E22/D22*100,0)</f>
        <v>0</v>
      </c>
      <c r="G22" s="17"/>
      <c r="H22" s="17"/>
      <c r="I22" s="17"/>
      <c r="J22" s="18" t="n">
        <f aca="false">IF(D22&gt;0,I22/D22*100,0)</f>
        <v>0</v>
      </c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1" t="n">
        <f aca="false">IF(D23&gt;0,E23/D23*100,0)</f>
        <v>0</v>
      </c>
      <c r="G23" s="20"/>
      <c r="H23" s="20"/>
      <c r="I23" s="20"/>
      <c r="J23" s="21" t="n">
        <f aca="false">IF(D23&gt;0,I23/D23*100,0)</f>
        <v>0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8" t="n">
        <f aca="false">IF(D24&gt;0,E24/D24*100,0)</f>
        <v>0</v>
      </c>
      <c r="G24" s="17"/>
      <c r="H24" s="17"/>
      <c r="I24" s="17"/>
      <c r="J24" s="18" t="n">
        <f aca="false">IF(D24&gt;0,I24/D24*100,0)</f>
        <v>0</v>
      </c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1" t="n">
        <f aca="false">IF(D25&gt;0,E25/D25*100,0)</f>
        <v>0</v>
      </c>
      <c r="G25" s="20"/>
      <c r="H25" s="20"/>
      <c r="I25" s="20"/>
      <c r="J25" s="21" t="n">
        <f aca="false">IF(D25&gt;0,I25/D25*100,0)</f>
        <v>0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8" t="n">
        <f aca="false">IF(D26&gt;0,E26/D26*100,0)</f>
        <v>0</v>
      </c>
      <c r="G26" s="17"/>
      <c r="H26" s="17"/>
      <c r="I26" s="17"/>
      <c r="J26" s="18" t="n">
        <f aca="false">IF(D26&gt;0,I26/D26*100,0)</f>
        <v>0</v>
      </c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1" t="n">
        <f aca="false">IF(D27&gt;0,E27/D27*100,0)</f>
        <v>0</v>
      </c>
      <c r="G27" s="20"/>
      <c r="H27" s="20"/>
      <c r="I27" s="20"/>
      <c r="J27" s="21" t="n">
        <f aca="false">IF(D27&gt;0,I27/D27*100,0)</f>
        <v>0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8" t="n">
        <f aca="false">IF(D28&gt;0,E28/D28*100,0)</f>
        <v>0</v>
      </c>
      <c r="G28" s="17"/>
      <c r="H28" s="17"/>
      <c r="I28" s="17"/>
      <c r="J28" s="18" t="n">
        <f aca="false">IF(D28&gt;0,I28/D28*100,0)</f>
        <v>0</v>
      </c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1" t="n">
        <f aca="false">IF(D29&gt;0,E29/D29*100,0)</f>
        <v>0</v>
      </c>
      <c r="G29" s="20"/>
      <c r="H29" s="20"/>
      <c r="I29" s="20"/>
      <c r="J29" s="21" t="n">
        <f aca="false">IF(D29&gt;0,I29/D29*100,0)</f>
        <v>0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8" t="n">
        <f aca="false">IF(D30&gt;0,E30/D30*100,0)</f>
        <v>0</v>
      </c>
      <c r="G30" s="17"/>
      <c r="H30" s="17"/>
      <c r="I30" s="17"/>
      <c r="J30" s="18" t="n">
        <f aca="false">IF(D30&gt;0,I30/D30*100,0)</f>
        <v>0</v>
      </c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1" t="n">
        <f aca="false">IF(D31&gt;0,E31/D31*100,0)</f>
        <v>0</v>
      </c>
      <c r="G31" s="20"/>
      <c r="H31" s="20"/>
      <c r="I31" s="20"/>
      <c r="J31" s="21" t="n">
        <f aca="false">IF(D31&gt;0,I31/D31*100,0)</f>
        <v>0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8" t="n">
        <f aca="false">IF(D32&gt;0,E32/D32*100,0)</f>
        <v>0</v>
      </c>
      <c r="G32" s="17"/>
      <c r="H32" s="17"/>
      <c r="I32" s="17"/>
      <c r="J32" s="18" t="n">
        <f aca="false">IF(D32&gt;0,I32/D32*100,0)</f>
        <v>0</v>
      </c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1" t="n">
        <f aca="false">IF(D33&gt;0,E33/D33*100,0)</f>
        <v>0</v>
      </c>
      <c r="G33" s="20"/>
      <c r="H33" s="20"/>
      <c r="I33" s="20"/>
      <c r="J33" s="21" t="n">
        <f aca="false">IF(D33&gt;0,I33/D33*100,0)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6"/>
    <col collapsed="false" customWidth="true" hidden="false" outlineLevel="0" max="10" min="10" style="0" width="18"/>
  </cols>
  <sheetData>
    <row r="1" customFormat="false" ht="33.75" hidden="false" customHeight="true" outlineLevel="0" collapsed="false">
      <c r="A1" s="44" t="s">
        <v>90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25.5" hidden="false" customHeight="true" outlineLevel="0" collapsed="false">
      <c r="A2" s="45" t="s">
        <v>91</v>
      </c>
      <c r="B2" s="45"/>
      <c r="C2" s="45"/>
      <c r="D2" s="45"/>
      <c r="E2" s="45"/>
      <c r="F2" s="45"/>
      <c r="G2" s="45"/>
      <c r="H2" s="45"/>
      <c r="I2" s="45"/>
      <c r="J2" s="45"/>
    </row>
    <row r="3" customFormat="false" ht="35.05" hidden="false" customHeight="false" outlineLevel="0" collapsed="false">
      <c r="A3" s="46" t="s">
        <v>31</v>
      </c>
      <c r="B3" s="46" t="s">
        <v>32</v>
      </c>
      <c r="C3" s="46" t="s">
        <v>33</v>
      </c>
      <c r="D3" s="46" t="s">
        <v>92</v>
      </c>
      <c r="E3" s="46" t="s">
        <v>93</v>
      </c>
      <c r="F3" s="46" t="s">
        <v>94</v>
      </c>
      <c r="G3" s="46" t="s">
        <v>95</v>
      </c>
      <c r="H3" s="46" t="s">
        <v>96</v>
      </c>
      <c r="I3" s="46" t="s">
        <v>97</v>
      </c>
      <c r="J3" s="46" t="s">
        <v>98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8" t="n">
        <f aca="false">SUM(D4:H4)</f>
        <v>0</v>
      </c>
      <c r="J4" s="18" t="n">
        <f aca="false">IFERROR(IF(MAX($I$4:$I$33)&gt;0,I4/MAX($I$4:$I$33)*100,0),0)</f>
        <v>0</v>
      </c>
    </row>
    <row r="5" customFormat="false" ht="15" hidden="false" customHeight="false" outlineLevel="0" collapsed="false">
      <c r="A5" s="4" t="n">
        <v>2</v>
      </c>
      <c r="B5" s="20"/>
      <c r="C5" s="20"/>
      <c r="D5" s="20"/>
      <c r="E5" s="20"/>
      <c r="F5" s="20"/>
      <c r="G5" s="20"/>
      <c r="H5" s="20"/>
      <c r="I5" s="4" t="n">
        <f aca="false">SUM(D5:H5)</f>
        <v>0</v>
      </c>
      <c r="J5" s="21" t="n">
        <f aca="false">IFERROR(IF(MAX($I$4:$I$33)&gt;0,I5/MAX($I$4:$I$33)*100,0),0)</f>
        <v>0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8" t="n">
        <f aca="false">SUM(D6:H6)</f>
        <v>0</v>
      </c>
      <c r="J6" s="18" t="n">
        <f aca="false">IFERROR(IF(MAX($I$4:$I$33)&gt;0,I6/MAX($I$4:$I$33)*100,0),0)</f>
        <v>0</v>
      </c>
    </row>
    <row r="7" customFormat="false" ht="15" hidden="false" customHeight="false" outlineLevel="0" collapsed="false">
      <c r="A7" s="4" t="n">
        <v>4</v>
      </c>
      <c r="B7" s="20"/>
      <c r="C7" s="20"/>
      <c r="D7" s="20"/>
      <c r="E7" s="20"/>
      <c r="F7" s="20"/>
      <c r="G7" s="20"/>
      <c r="H7" s="20"/>
      <c r="I7" s="4" t="n">
        <f aca="false">SUM(D7:H7)</f>
        <v>0</v>
      </c>
      <c r="J7" s="21" t="n">
        <f aca="false">IFERROR(IF(MAX($I$4:$I$33)&gt;0,I7/MAX($I$4:$I$33)*100,0),0)</f>
        <v>0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8" t="n">
        <f aca="false">SUM(D8:H8)</f>
        <v>0</v>
      </c>
      <c r="J8" s="18" t="n">
        <f aca="false">IFERROR(IF(MAX($I$4:$I$33)&gt;0,I8/MAX($I$4:$I$33)*100,0),0)</f>
        <v>0</v>
      </c>
    </row>
    <row r="9" customFormat="false" ht="15" hidden="false" customHeight="false" outlineLevel="0" collapsed="false">
      <c r="A9" s="4" t="n">
        <v>6</v>
      </c>
      <c r="B9" s="20"/>
      <c r="C9" s="20"/>
      <c r="D9" s="20"/>
      <c r="E9" s="20"/>
      <c r="F9" s="20"/>
      <c r="G9" s="20"/>
      <c r="H9" s="20"/>
      <c r="I9" s="4" t="n">
        <f aca="false">SUM(D9:H9)</f>
        <v>0</v>
      </c>
      <c r="J9" s="21" t="n">
        <f aca="false">IFERROR(IF(MAX($I$4:$I$33)&gt;0,I9/MAX($I$4:$I$33)*100,0),0)</f>
        <v>0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8" t="n">
        <f aca="false">SUM(D10:H10)</f>
        <v>0</v>
      </c>
      <c r="J10" s="18" t="n">
        <f aca="false">IFERROR(IF(MAX($I$4:$I$33)&gt;0,I10/MAX($I$4:$I$33)*100,0),0)</f>
        <v>0</v>
      </c>
    </row>
    <row r="11" customFormat="false" ht="15" hidden="false" customHeight="false" outlineLevel="0" collapsed="false">
      <c r="A11" s="4" t="n">
        <v>8</v>
      </c>
      <c r="B11" s="20"/>
      <c r="C11" s="20"/>
      <c r="D11" s="20"/>
      <c r="E11" s="20"/>
      <c r="F11" s="20"/>
      <c r="G11" s="20"/>
      <c r="H11" s="20"/>
      <c r="I11" s="4" t="n">
        <f aca="false">SUM(D11:H11)</f>
        <v>0</v>
      </c>
      <c r="J11" s="21" t="n">
        <f aca="false">IFERROR(IF(MAX($I$4:$I$33)&gt;0,I11/MAX($I$4:$I$33)*100,0),0)</f>
        <v>0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8" t="n">
        <f aca="false">SUM(D12:H12)</f>
        <v>0</v>
      </c>
      <c r="J12" s="18" t="n">
        <f aca="false">IFERROR(IF(MAX($I$4:$I$33)&gt;0,I12/MAX($I$4:$I$33)*100,0),0)</f>
        <v>0</v>
      </c>
    </row>
    <row r="13" customFormat="false" ht="15" hidden="false" customHeight="false" outlineLevel="0" collapsed="false">
      <c r="A13" s="4" t="n">
        <v>10</v>
      </c>
      <c r="B13" s="20"/>
      <c r="C13" s="20"/>
      <c r="D13" s="20"/>
      <c r="E13" s="20"/>
      <c r="F13" s="20"/>
      <c r="G13" s="20"/>
      <c r="H13" s="20"/>
      <c r="I13" s="4" t="n">
        <f aca="false">SUM(D13:H13)</f>
        <v>0</v>
      </c>
      <c r="J13" s="21" t="n">
        <f aca="false">IFERROR(IF(MAX($I$4:$I$33)&gt;0,I13/MAX($I$4:$I$33)*100,0),0)</f>
        <v>0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8" t="n">
        <f aca="false">SUM(D14:H14)</f>
        <v>0</v>
      </c>
      <c r="J14" s="18" t="n">
        <f aca="false">IFERROR(IF(MAX($I$4:$I$33)&gt;0,I14/MAX($I$4:$I$33)*100,0),0)</f>
        <v>0</v>
      </c>
    </row>
    <row r="15" customFormat="false" ht="15" hidden="false" customHeight="false" outlineLevel="0" collapsed="false">
      <c r="A15" s="4" t="n">
        <v>12</v>
      </c>
      <c r="B15" s="20"/>
      <c r="C15" s="20"/>
      <c r="D15" s="20"/>
      <c r="E15" s="20"/>
      <c r="F15" s="20"/>
      <c r="G15" s="20"/>
      <c r="H15" s="20"/>
      <c r="I15" s="4" t="n">
        <f aca="false">SUM(D15:H15)</f>
        <v>0</v>
      </c>
      <c r="J15" s="21" t="n">
        <f aca="false">IFERROR(IF(MAX($I$4:$I$33)&gt;0,I15/MAX($I$4:$I$33)*100,0),0)</f>
        <v>0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8" t="n">
        <f aca="false">SUM(D16:H16)</f>
        <v>0</v>
      </c>
      <c r="J16" s="18" t="n">
        <f aca="false">IFERROR(IF(MAX($I$4:$I$33)&gt;0,I16/MAX($I$4:$I$33)*100,0),0)</f>
        <v>0</v>
      </c>
    </row>
    <row r="17" customFormat="false" ht="15" hidden="false" customHeight="false" outlineLevel="0" collapsed="false">
      <c r="A17" s="4" t="n">
        <v>14</v>
      </c>
      <c r="B17" s="20"/>
      <c r="C17" s="20"/>
      <c r="D17" s="20"/>
      <c r="E17" s="20"/>
      <c r="F17" s="20"/>
      <c r="G17" s="20"/>
      <c r="H17" s="20"/>
      <c r="I17" s="4" t="n">
        <f aca="false">SUM(D17:H17)</f>
        <v>0</v>
      </c>
      <c r="J17" s="21" t="n">
        <f aca="false">IFERROR(IF(MAX($I$4:$I$33)&gt;0,I17/MAX($I$4:$I$33)*100,0),0)</f>
        <v>0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8" t="n">
        <f aca="false">SUM(D18:H18)</f>
        <v>0</v>
      </c>
      <c r="J18" s="18" t="n">
        <f aca="false">IFERROR(IF(MAX($I$4:$I$33)&gt;0,I18/MAX($I$4:$I$33)*100,0),0)</f>
        <v>0</v>
      </c>
    </row>
    <row r="19" customFormat="false" ht="15" hidden="false" customHeight="false" outlineLevel="0" collapsed="false">
      <c r="A19" s="4" t="n">
        <v>16</v>
      </c>
      <c r="B19" s="20"/>
      <c r="C19" s="20"/>
      <c r="D19" s="20"/>
      <c r="E19" s="20"/>
      <c r="F19" s="20"/>
      <c r="G19" s="20"/>
      <c r="H19" s="20"/>
      <c r="I19" s="4" t="n">
        <f aca="false">SUM(D19:H19)</f>
        <v>0</v>
      </c>
      <c r="J19" s="21" t="n">
        <f aca="false">IFERROR(IF(MAX($I$4:$I$33)&gt;0,I19/MAX($I$4:$I$33)*100,0),0)</f>
        <v>0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8" t="n">
        <f aca="false">SUM(D20:H20)</f>
        <v>0</v>
      </c>
      <c r="J20" s="18" t="n">
        <f aca="false">IFERROR(IF(MAX($I$4:$I$33)&gt;0,I20/MAX($I$4:$I$33)*100,0),0)</f>
        <v>0</v>
      </c>
    </row>
    <row r="21" customFormat="false" ht="15" hidden="false" customHeight="false" outlineLevel="0" collapsed="false">
      <c r="A21" s="4" t="n">
        <v>18</v>
      </c>
      <c r="B21" s="20"/>
      <c r="C21" s="20"/>
      <c r="D21" s="20"/>
      <c r="E21" s="20"/>
      <c r="F21" s="20"/>
      <c r="G21" s="20"/>
      <c r="H21" s="20"/>
      <c r="I21" s="4" t="n">
        <f aca="false">SUM(D21:H21)</f>
        <v>0</v>
      </c>
      <c r="J21" s="21" t="n">
        <f aca="false">IFERROR(IF(MAX($I$4:$I$33)&gt;0,I21/MAX($I$4:$I$33)*100,0),0)</f>
        <v>0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8" t="n">
        <f aca="false">SUM(D22:H22)</f>
        <v>0</v>
      </c>
      <c r="J22" s="18" t="n">
        <f aca="false">IFERROR(IF(MAX($I$4:$I$33)&gt;0,I22/MAX($I$4:$I$33)*100,0),0)</f>
        <v>0</v>
      </c>
    </row>
    <row r="23" customFormat="false" ht="15" hidden="false" customHeight="false" outlineLevel="0" collapsed="false">
      <c r="A23" s="4" t="n">
        <v>20</v>
      </c>
      <c r="B23" s="20"/>
      <c r="C23" s="20"/>
      <c r="D23" s="20"/>
      <c r="E23" s="20"/>
      <c r="F23" s="20"/>
      <c r="G23" s="20"/>
      <c r="H23" s="20"/>
      <c r="I23" s="4" t="n">
        <f aca="false">SUM(D23:H23)</f>
        <v>0</v>
      </c>
      <c r="J23" s="21" t="n">
        <f aca="false">IFERROR(IF(MAX($I$4:$I$33)&gt;0,I23/MAX($I$4:$I$33)*100,0),0)</f>
        <v>0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8" t="n">
        <f aca="false">SUM(D24:H24)</f>
        <v>0</v>
      </c>
      <c r="J24" s="18" t="n">
        <f aca="false">IFERROR(IF(MAX($I$4:$I$33)&gt;0,I24/MAX($I$4:$I$33)*100,0),0)</f>
        <v>0</v>
      </c>
    </row>
    <row r="25" customFormat="false" ht="15" hidden="false" customHeight="false" outlineLevel="0" collapsed="false">
      <c r="A25" s="4" t="n">
        <v>22</v>
      </c>
      <c r="B25" s="20"/>
      <c r="C25" s="20"/>
      <c r="D25" s="20"/>
      <c r="E25" s="20"/>
      <c r="F25" s="20"/>
      <c r="G25" s="20"/>
      <c r="H25" s="20"/>
      <c r="I25" s="4" t="n">
        <f aca="false">SUM(D25:H25)</f>
        <v>0</v>
      </c>
      <c r="J25" s="21" t="n">
        <f aca="false">IFERROR(IF(MAX($I$4:$I$33)&gt;0,I25/MAX($I$4:$I$33)*100,0),0)</f>
        <v>0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8" t="n">
        <f aca="false">SUM(D26:H26)</f>
        <v>0</v>
      </c>
      <c r="J26" s="18" t="n">
        <f aca="false">IFERROR(IF(MAX($I$4:$I$33)&gt;0,I26/MAX($I$4:$I$33)*100,0),0)</f>
        <v>0</v>
      </c>
    </row>
    <row r="27" customFormat="false" ht="15" hidden="false" customHeight="false" outlineLevel="0" collapsed="false">
      <c r="A27" s="4" t="n">
        <v>24</v>
      </c>
      <c r="B27" s="20"/>
      <c r="C27" s="20"/>
      <c r="D27" s="20"/>
      <c r="E27" s="20"/>
      <c r="F27" s="20"/>
      <c r="G27" s="20"/>
      <c r="H27" s="20"/>
      <c r="I27" s="4" t="n">
        <f aca="false">SUM(D27:H27)</f>
        <v>0</v>
      </c>
      <c r="J27" s="21" t="n">
        <f aca="false">IFERROR(IF(MAX($I$4:$I$33)&gt;0,I27/MAX($I$4:$I$33)*100,0),0)</f>
        <v>0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8" t="n">
        <f aca="false">SUM(D28:H28)</f>
        <v>0</v>
      </c>
      <c r="J28" s="18" t="n">
        <f aca="false">IFERROR(IF(MAX($I$4:$I$33)&gt;0,I28/MAX($I$4:$I$33)*100,0),0)</f>
        <v>0</v>
      </c>
    </row>
    <row r="29" customFormat="false" ht="15" hidden="false" customHeight="false" outlineLevel="0" collapsed="false">
      <c r="A29" s="4" t="n">
        <v>26</v>
      </c>
      <c r="B29" s="20"/>
      <c r="C29" s="20"/>
      <c r="D29" s="20"/>
      <c r="E29" s="20"/>
      <c r="F29" s="20"/>
      <c r="G29" s="20"/>
      <c r="H29" s="20"/>
      <c r="I29" s="4" t="n">
        <f aca="false">SUM(D29:H29)</f>
        <v>0</v>
      </c>
      <c r="J29" s="21" t="n">
        <f aca="false">IFERROR(IF(MAX($I$4:$I$33)&gt;0,I29/MAX($I$4:$I$33)*100,0),0)</f>
        <v>0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8" t="n">
        <f aca="false">SUM(D30:H30)</f>
        <v>0</v>
      </c>
      <c r="J30" s="18" t="n">
        <f aca="false">IFERROR(IF(MAX($I$4:$I$33)&gt;0,I30/MAX($I$4:$I$33)*100,0),0)</f>
        <v>0</v>
      </c>
    </row>
    <row r="31" customFormat="false" ht="15" hidden="false" customHeight="false" outlineLevel="0" collapsed="false">
      <c r="A31" s="4" t="n">
        <v>28</v>
      </c>
      <c r="B31" s="20"/>
      <c r="C31" s="20"/>
      <c r="D31" s="20"/>
      <c r="E31" s="20"/>
      <c r="F31" s="20"/>
      <c r="G31" s="20"/>
      <c r="H31" s="20"/>
      <c r="I31" s="4" t="n">
        <f aca="false">SUM(D31:H31)</f>
        <v>0</v>
      </c>
      <c r="J31" s="21" t="n">
        <f aca="false">IFERROR(IF(MAX($I$4:$I$33)&gt;0,I31/MAX($I$4:$I$33)*100,0),0)</f>
        <v>0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8" t="n">
        <f aca="false">SUM(D32:H32)</f>
        <v>0</v>
      </c>
      <c r="J32" s="18" t="n">
        <f aca="false">IFERROR(IF(MAX($I$4:$I$33)&gt;0,I32/MAX($I$4:$I$33)*100,0),0)</f>
        <v>0</v>
      </c>
    </row>
    <row r="33" customFormat="false" ht="15" hidden="false" customHeight="false" outlineLevel="0" collapsed="false">
      <c r="A33" s="4" t="n">
        <v>30</v>
      </c>
      <c r="B33" s="20"/>
      <c r="C33" s="20"/>
      <c r="D33" s="20"/>
      <c r="E33" s="20"/>
      <c r="F33" s="20"/>
      <c r="G33" s="20"/>
      <c r="H33" s="20"/>
      <c r="I33" s="4" t="n">
        <f aca="false">SUM(D33:H33)</f>
        <v>0</v>
      </c>
      <c r="J33" s="21" t="n">
        <f aca="false">IFERROR(IF(MAX($I$4:$I$33)&gt;0,I33/MAX($I$4:$I$33)*100,0),0)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8" min="3" style="0" width="16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7" t="s">
        <v>99</v>
      </c>
      <c r="B1" s="47"/>
      <c r="C1" s="47"/>
      <c r="D1" s="47"/>
      <c r="E1" s="47"/>
      <c r="F1" s="47"/>
      <c r="G1" s="47"/>
      <c r="H1" s="47"/>
      <c r="I1" s="47"/>
      <c r="J1" s="47"/>
    </row>
    <row r="2" customFormat="false" ht="25.5" hidden="false" customHeight="true" outlineLevel="0" collapsed="false">
      <c r="A2" s="15" t="s">
        <v>100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23.85" hidden="false" customHeight="false" outlineLevel="0" collapsed="false">
      <c r="A3" s="48" t="s">
        <v>31</v>
      </c>
      <c r="B3" s="48" t="s">
        <v>32</v>
      </c>
      <c r="C3" s="48" t="s">
        <v>101</v>
      </c>
      <c r="D3" s="48" t="s">
        <v>102</v>
      </c>
      <c r="E3" s="48" t="s">
        <v>103</v>
      </c>
      <c r="F3" s="48" t="s">
        <v>104</v>
      </c>
      <c r="G3" s="48" t="s">
        <v>105</v>
      </c>
      <c r="H3" s="48" t="s">
        <v>106</v>
      </c>
      <c r="I3" s="48" t="s">
        <v>107</v>
      </c>
      <c r="J3" s="48" t="s">
        <v>108</v>
      </c>
    </row>
    <row r="4" customFormat="false" ht="15" hidden="false" customHeight="false" outlineLevel="0" collapsed="false">
      <c r="B4" s="49" t="s">
        <v>109</v>
      </c>
      <c r="C4" s="50" t="n">
        <v>0.3</v>
      </c>
      <c r="D4" s="50" t="n">
        <v>0.2</v>
      </c>
      <c r="E4" s="50" t="n">
        <v>0.1</v>
      </c>
      <c r="F4" s="50" t="n">
        <v>0.1</v>
      </c>
      <c r="G4" s="50" t="n">
        <v>0.1</v>
      </c>
      <c r="H4" s="50" t="n">
        <v>0.2</v>
      </c>
    </row>
    <row r="5" customFormat="false" ht="15" hidden="false" customHeight="false" outlineLevel="0" collapsed="false">
      <c r="A5" s="4" t="n">
        <v>1</v>
      </c>
      <c r="B5" s="20"/>
      <c r="C5" s="40"/>
      <c r="D5" s="40"/>
      <c r="E5" s="40"/>
      <c r="F5" s="40"/>
      <c r="G5" s="40"/>
      <c r="H5" s="40"/>
      <c r="I5" s="51" t="n">
        <f aca="false">C5*$C$4+D5*$D$4+E5*$E$4+F5*$F$4+G5*$G$4+H5*$H$4</f>
        <v>0</v>
      </c>
      <c r="J5" s="7" t="n">
        <f aca="false">IFERROR(RANK(I5,$I$5:$I$34,0),"")</f>
        <v>1</v>
      </c>
    </row>
    <row r="6" customFormat="false" ht="15" hidden="false" customHeight="false" outlineLevel="0" collapsed="false">
      <c r="A6" s="8" t="n">
        <v>2</v>
      </c>
      <c r="B6" s="17"/>
      <c r="C6" s="39"/>
      <c r="D6" s="39"/>
      <c r="E6" s="39"/>
      <c r="F6" s="39"/>
      <c r="G6" s="39"/>
      <c r="H6" s="39"/>
      <c r="I6" s="52" t="n">
        <f aca="false">C6*$C$4+D6*$D$4+E6*$E$4+F6*$F$4+G6*$G$4+H6*$H$4</f>
        <v>0</v>
      </c>
      <c r="J6" s="11" t="n">
        <f aca="false">IFERROR(RANK(I6,$I$5:$I$34,0),"")</f>
        <v>1</v>
      </c>
    </row>
    <row r="7" customFormat="false" ht="15" hidden="false" customHeight="false" outlineLevel="0" collapsed="false">
      <c r="A7" s="4" t="n">
        <v>3</v>
      </c>
      <c r="B7" s="20"/>
      <c r="C7" s="40"/>
      <c r="D7" s="40"/>
      <c r="E7" s="40"/>
      <c r="F7" s="40"/>
      <c r="G7" s="40"/>
      <c r="H7" s="40"/>
      <c r="I7" s="51" t="n">
        <f aca="false">C7*$C$4+D7*$D$4+E7*$E$4+F7*$F$4+G7*$G$4+H7*$H$4</f>
        <v>0</v>
      </c>
      <c r="J7" s="7" t="n">
        <f aca="false">IFERROR(RANK(I7,$I$5:$I$34,0),"")</f>
        <v>1</v>
      </c>
    </row>
    <row r="8" customFormat="false" ht="15" hidden="false" customHeight="false" outlineLevel="0" collapsed="false">
      <c r="A8" s="8" t="n">
        <v>4</v>
      </c>
      <c r="B8" s="17"/>
      <c r="C8" s="39"/>
      <c r="D8" s="39"/>
      <c r="E8" s="39"/>
      <c r="F8" s="39"/>
      <c r="G8" s="39"/>
      <c r="H8" s="39"/>
      <c r="I8" s="52" t="n">
        <f aca="false">C8*$C$4+D8*$D$4+E8*$E$4+F8*$F$4+G8*$G$4+H8*$H$4</f>
        <v>0</v>
      </c>
      <c r="J8" s="11" t="n">
        <f aca="false">IFERROR(RANK(I8,$I$5:$I$34,0),"")</f>
        <v>1</v>
      </c>
    </row>
    <row r="9" customFormat="false" ht="15" hidden="false" customHeight="false" outlineLevel="0" collapsed="false">
      <c r="A9" s="4" t="n">
        <v>5</v>
      </c>
      <c r="B9" s="20"/>
      <c r="C9" s="40"/>
      <c r="D9" s="40"/>
      <c r="E9" s="40"/>
      <c r="F9" s="40"/>
      <c r="G9" s="40"/>
      <c r="H9" s="40"/>
      <c r="I9" s="51" t="n">
        <f aca="false">C9*$C$4+D9*$D$4+E9*$E$4+F9*$F$4+G9*$G$4+H9*$H$4</f>
        <v>0</v>
      </c>
      <c r="J9" s="7" t="n">
        <f aca="false">IFERROR(RANK(I9,$I$5:$I$34,0),"")</f>
        <v>1</v>
      </c>
    </row>
    <row r="10" customFormat="false" ht="15" hidden="false" customHeight="false" outlineLevel="0" collapsed="false">
      <c r="A10" s="8" t="n">
        <v>6</v>
      </c>
      <c r="B10" s="17"/>
      <c r="C10" s="39"/>
      <c r="D10" s="39"/>
      <c r="E10" s="39"/>
      <c r="F10" s="39"/>
      <c r="G10" s="39"/>
      <c r="H10" s="39"/>
      <c r="I10" s="52" t="n">
        <f aca="false">C10*$C$4+D10*$D$4+E10*$E$4+F10*$F$4+G10*$G$4+H10*$H$4</f>
        <v>0</v>
      </c>
      <c r="J10" s="11" t="n">
        <f aca="false">IFERROR(RANK(I10,$I$5:$I$34,0),"")</f>
        <v>1</v>
      </c>
    </row>
    <row r="11" customFormat="false" ht="15" hidden="false" customHeight="false" outlineLevel="0" collapsed="false">
      <c r="A11" s="4" t="n">
        <v>7</v>
      </c>
      <c r="B11" s="20"/>
      <c r="C11" s="40"/>
      <c r="D11" s="40"/>
      <c r="E11" s="40"/>
      <c r="F11" s="40"/>
      <c r="G11" s="40"/>
      <c r="H11" s="40"/>
      <c r="I11" s="51" t="n">
        <f aca="false">C11*$C$4+D11*$D$4+E11*$E$4+F11*$F$4+G11*$G$4+H11*$H$4</f>
        <v>0</v>
      </c>
      <c r="J11" s="7" t="n">
        <f aca="false">IFERROR(RANK(I11,$I$5:$I$34,0),"")</f>
        <v>1</v>
      </c>
    </row>
    <row r="12" customFormat="false" ht="15" hidden="false" customHeight="false" outlineLevel="0" collapsed="false">
      <c r="A12" s="8" t="n">
        <v>8</v>
      </c>
      <c r="B12" s="17"/>
      <c r="C12" s="39"/>
      <c r="D12" s="39"/>
      <c r="E12" s="39"/>
      <c r="F12" s="39"/>
      <c r="G12" s="39"/>
      <c r="H12" s="39"/>
      <c r="I12" s="52" t="n">
        <f aca="false">C12*$C$4+D12*$D$4+E12*$E$4+F12*$F$4+G12*$G$4+H12*$H$4</f>
        <v>0</v>
      </c>
      <c r="J12" s="11" t="n">
        <f aca="false">IFERROR(RANK(I12,$I$5:$I$34,0),"")</f>
        <v>1</v>
      </c>
    </row>
    <row r="13" customFormat="false" ht="15" hidden="false" customHeight="false" outlineLevel="0" collapsed="false">
      <c r="A13" s="4" t="n">
        <v>9</v>
      </c>
      <c r="B13" s="20"/>
      <c r="C13" s="40"/>
      <c r="D13" s="40"/>
      <c r="E13" s="40"/>
      <c r="F13" s="40"/>
      <c r="G13" s="40"/>
      <c r="H13" s="40"/>
      <c r="I13" s="51" t="n">
        <f aca="false">C13*$C$4+D13*$D$4+E13*$E$4+F13*$F$4+G13*$G$4+H13*$H$4</f>
        <v>0</v>
      </c>
      <c r="J13" s="7" t="n">
        <f aca="false">IFERROR(RANK(I13,$I$5:$I$34,0),"")</f>
        <v>1</v>
      </c>
    </row>
    <row r="14" customFormat="false" ht="15" hidden="false" customHeight="false" outlineLevel="0" collapsed="false">
      <c r="A14" s="8" t="n">
        <v>10</v>
      </c>
      <c r="B14" s="17"/>
      <c r="C14" s="39"/>
      <c r="D14" s="39"/>
      <c r="E14" s="39"/>
      <c r="F14" s="39"/>
      <c r="G14" s="39"/>
      <c r="H14" s="39"/>
      <c r="I14" s="52" t="n">
        <f aca="false">C14*$C$4+D14*$D$4+E14*$E$4+F14*$F$4+G14*$G$4+H14*$H$4</f>
        <v>0</v>
      </c>
      <c r="J14" s="11" t="n">
        <f aca="false">IFERROR(RANK(I14,$I$5:$I$34,0),"")</f>
        <v>1</v>
      </c>
    </row>
    <row r="15" customFormat="false" ht="15" hidden="false" customHeight="false" outlineLevel="0" collapsed="false">
      <c r="A15" s="4" t="n">
        <v>11</v>
      </c>
      <c r="B15" s="20"/>
      <c r="C15" s="40"/>
      <c r="D15" s="40"/>
      <c r="E15" s="40"/>
      <c r="F15" s="40"/>
      <c r="G15" s="40"/>
      <c r="H15" s="40"/>
      <c r="I15" s="51" t="n">
        <f aca="false">C15*$C$4+D15*$D$4+E15*$E$4+F15*$F$4+G15*$G$4+H15*$H$4</f>
        <v>0</v>
      </c>
      <c r="J15" s="7" t="n">
        <f aca="false">IFERROR(RANK(I15,$I$5:$I$34,0),"")</f>
        <v>1</v>
      </c>
    </row>
    <row r="16" customFormat="false" ht="15" hidden="false" customHeight="false" outlineLevel="0" collapsed="false">
      <c r="A16" s="8" t="n">
        <v>12</v>
      </c>
      <c r="B16" s="17"/>
      <c r="C16" s="39"/>
      <c r="D16" s="39"/>
      <c r="E16" s="39"/>
      <c r="F16" s="39"/>
      <c r="G16" s="39"/>
      <c r="H16" s="39"/>
      <c r="I16" s="52" t="n">
        <f aca="false">C16*$C$4+D16*$D$4+E16*$E$4+F16*$F$4+G16*$G$4+H16*$H$4</f>
        <v>0</v>
      </c>
      <c r="J16" s="11" t="n">
        <f aca="false">IFERROR(RANK(I16,$I$5:$I$34,0),"")</f>
        <v>1</v>
      </c>
    </row>
    <row r="17" customFormat="false" ht="15" hidden="false" customHeight="false" outlineLevel="0" collapsed="false">
      <c r="A17" s="4" t="n">
        <v>13</v>
      </c>
      <c r="B17" s="20"/>
      <c r="C17" s="40"/>
      <c r="D17" s="40"/>
      <c r="E17" s="40"/>
      <c r="F17" s="40"/>
      <c r="G17" s="40"/>
      <c r="H17" s="40"/>
      <c r="I17" s="51" t="n">
        <f aca="false">C17*$C$4+D17*$D$4+E17*$E$4+F17*$F$4+G17*$G$4+H17*$H$4</f>
        <v>0</v>
      </c>
      <c r="J17" s="7" t="n">
        <f aca="false">IFERROR(RANK(I17,$I$5:$I$34,0),"")</f>
        <v>1</v>
      </c>
    </row>
    <row r="18" customFormat="false" ht="15" hidden="false" customHeight="false" outlineLevel="0" collapsed="false">
      <c r="A18" s="8" t="n">
        <v>14</v>
      </c>
      <c r="B18" s="17"/>
      <c r="C18" s="39"/>
      <c r="D18" s="39"/>
      <c r="E18" s="39"/>
      <c r="F18" s="39"/>
      <c r="G18" s="39"/>
      <c r="H18" s="39"/>
      <c r="I18" s="52" t="n">
        <f aca="false">C18*$C$4+D18*$D$4+E18*$E$4+F18*$F$4+G18*$G$4+H18*$H$4</f>
        <v>0</v>
      </c>
      <c r="J18" s="11" t="n">
        <f aca="false">IFERROR(RANK(I18,$I$5:$I$34,0),"")</f>
        <v>1</v>
      </c>
    </row>
    <row r="19" customFormat="false" ht="15" hidden="false" customHeight="false" outlineLevel="0" collapsed="false">
      <c r="A19" s="4" t="n">
        <v>15</v>
      </c>
      <c r="B19" s="20"/>
      <c r="C19" s="40"/>
      <c r="D19" s="40"/>
      <c r="E19" s="40"/>
      <c r="F19" s="40"/>
      <c r="G19" s="40"/>
      <c r="H19" s="40"/>
      <c r="I19" s="51" t="n">
        <f aca="false">C19*$C$4+D19*$D$4+E19*$E$4+F19*$F$4+G19*$G$4+H19*$H$4</f>
        <v>0</v>
      </c>
      <c r="J19" s="7" t="n">
        <f aca="false">IFERROR(RANK(I19,$I$5:$I$34,0),"")</f>
        <v>1</v>
      </c>
    </row>
    <row r="20" customFormat="false" ht="15" hidden="false" customHeight="false" outlineLevel="0" collapsed="false">
      <c r="A20" s="8" t="n">
        <v>16</v>
      </c>
      <c r="B20" s="17"/>
      <c r="C20" s="39"/>
      <c r="D20" s="39"/>
      <c r="E20" s="39"/>
      <c r="F20" s="39"/>
      <c r="G20" s="39"/>
      <c r="H20" s="39"/>
      <c r="I20" s="52" t="n">
        <f aca="false">C20*$C$4+D20*$D$4+E20*$E$4+F20*$F$4+G20*$G$4+H20*$H$4</f>
        <v>0</v>
      </c>
      <c r="J20" s="11" t="n">
        <f aca="false">IFERROR(RANK(I20,$I$5:$I$34,0),"")</f>
        <v>1</v>
      </c>
    </row>
    <row r="21" customFormat="false" ht="15" hidden="false" customHeight="false" outlineLevel="0" collapsed="false">
      <c r="A21" s="4" t="n">
        <v>17</v>
      </c>
      <c r="B21" s="20"/>
      <c r="C21" s="40"/>
      <c r="D21" s="40"/>
      <c r="E21" s="40"/>
      <c r="F21" s="40"/>
      <c r="G21" s="40"/>
      <c r="H21" s="40"/>
      <c r="I21" s="51" t="n">
        <f aca="false">C21*$C$4+D21*$D$4+E21*$E$4+F21*$F$4+G21*$G$4+H21*$H$4</f>
        <v>0</v>
      </c>
      <c r="J21" s="7" t="n">
        <f aca="false">IFERROR(RANK(I21,$I$5:$I$34,0),"")</f>
        <v>1</v>
      </c>
    </row>
    <row r="22" customFormat="false" ht="15" hidden="false" customHeight="false" outlineLevel="0" collapsed="false">
      <c r="A22" s="8" t="n">
        <v>18</v>
      </c>
      <c r="B22" s="17"/>
      <c r="C22" s="39"/>
      <c r="D22" s="39"/>
      <c r="E22" s="39"/>
      <c r="F22" s="39"/>
      <c r="G22" s="39"/>
      <c r="H22" s="39"/>
      <c r="I22" s="52" t="n">
        <f aca="false">C22*$C$4+D22*$D$4+E22*$E$4+F22*$F$4+G22*$G$4+H22*$H$4</f>
        <v>0</v>
      </c>
      <c r="J22" s="11" t="n">
        <f aca="false">IFERROR(RANK(I22,$I$5:$I$34,0),"")</f>
        <v>1</v>
      </c>
    </row>
    <row r="23" customFormat="false" ht="15" hidden="false" customHeight="false" outlineLevel="0" collapsed="false">
      <c r="A23" s="4" t="n">
        <v>19</v>
      </c>
      <c r="B23" s="20"/>
      <c r="C23" s="40"/>
      <c r="D23" s="40"/>
      <c r="E23" s="40"/>
      <c r="F23" s="40"/>
      <c r="G23" s="40"/>
      <c r="H23" s="40"/>
      <c r="I23" s="51" t="n">
        <f aca="false">C23*$C$4+D23*$D$4+E23*$E$4+F23*$F$4+G23*$G$4+H23*$H$4</f>
        <v>0</v>
      </c>
      <c r="J23" s="7" t="n">
        <f aca="false">IFERROR(RANK(I23,$I$5:$I$34,0),"")</f>
        <v>1</v>
      </c>
    </row>
    <row r="24" customFormat="false" ht="15" hidden="false" customHeight="false" outlineLevel="0" collapsed="false">
      <c r="A24" s="8" t="n">
        <v>20</v>
      </c>
      <c r="B24" s="17"/>
      <c r="C24" s="39"/>
      <c r="D24" s="39"/>
      <c r="E24" s="39"/>
      <c r="F24" s="39"/>
      <c r="G24" s="39"/>
      <c r="H24" s="39"/>
      <c r="I24" s="52" t="n">
        <f aca="false">C24*$C$4+D24*$D$4+E24*$E$4+F24*$F$4+G24*$G$4+H24*$H$4</f>
        <v>0</v>
      </c>
      <c r="J24" s="11" t="n">
        <f aca="false">IFERROR(RANK(I24,$I$5:$I$34,0),"")</f>
        <v>1</v>
      </c>
    </row>
    <row r="25" customFormat="false" ht="15" hidden="false" customHeight="false" outlineLevel="0" collapsed="false">
      <c r="A25" s="4" t="n">
        <v>21</v>
      </c>
      <c r="B25" s="20"/>
      <c r="C25" s="40"/>
      <c r="D25" s="40"/>
      <c r="E25" s="40"/>
      <c r="F25" s="40"/>
      <c r="G25" s="40"/>
      <c r="H25" s="40"/>
      <c r="I25" s="51" t="n">
        <f aca="false">C25*$C$4+D25*$D$4+E25*$E$4+F25*$F$4+G25*$G$4+H25*$H$4</f>
        <v>0</v>
      </c>
      <c r="J25" s="7" t="n">
        <f aca="false">IFERROR(RANK(I25,$I$5:$I$34,0),"")</f>
        <v>1</v>
      </c>
    </row>
    <row r="26" customFormat="false" ht="15" hidden="false" customHeight="false" outlineLevel="0" collapsed="false">
      <c r="A26" s="8" t="n">
        <v>22</v>
      </c>
      <c r="B26" s="17"/>
      <c r="C26" s="39"/>
      <c r="D26" s="39"/>
      <c r="E26" s="39"/>
      <c r="F26" s="39"/>
      <c r="G26" s="39"/>
      <c r="H26" s="39"/>
      <c r="I26" s="52" t="n">
        <f aca="false">C26*$C$4+D26*$D$4+E26*$E$4+F26*$F$4+G26*$G$4+H26*$H$4</f>
        <v>0</v>
      </c>
      <c r="J26" s="11" t="n">
        <f aca="false">IFERROR(RANK(I26,$I$5:$I$34,0),"")</f>
        <v>1</v>
      </c>
    </row>
    <row r="27" customFormat="false" ht="15" hidden="false" customHeight="false" outlineLevel="0" collapsed="false">
      <c r="A27" s="4" t="n">
        <v>23</v>
      </c>
      <c r="B27" s="20"/>
      <c r="C27" s="40"/>
      <c r="D27" s="40"/>
      <c r="E27" s="40"/>
      <c r="F27" s="40"/>
      <c r="G27" s="40"/>
      <c r="H27" s="40"/>
      <c r="I27" s="51" t="n">
        <f aca="false">C27*$C$4+D27*$D$4+E27*$E$4+F27*$F$4+G27*$G$4+H27*$H$4</f>
        <v>0</v>
      </c>
      <c r="J27" s="7" t="n">
        <f aca="false">IFERROR(RANK(I27,$I$5:$I$34,0),"")</f>
        <v>1</v>
      </c>
    </row>
    <row r="28" customFormat="false" ht="15" hidden="false" customHeight="false" outlineLevel="0" collapsed="false">
      <c r="A28" s="8" t="n">
        <v>24</v>
      </c>
      <c r="B28" s="17"/>
      <c r="C28" s="39"/>
      <c r="D28" s="39"/>
      <c r="E28" s="39"/>
      <c r="F28" s="39"/>
      <c r="G28" s="39"/>
      <c r="H28" s="39"/>
      <c r="I28" s="52" t="n">
        <f aca="false">C28*$C$4+D28*$D$4+E28*$E$4+F28*$F$4+G28*$G$4+H28*$H$4</f>
        <v>0</v>
      </c>
      <c r="J28" s="11" t="n">
        <f aca="false">IFERROR(RANK(I28,$I$5:$I$34,0),"")</f>
        <v>1</v>
      </c>
    </row>
    <row r="29" customFormat="false" ht="15" hidden="false" customHeight="false" outlineLevel="0" collapsed="false">
      <c r="A29" s="4" t="n">
        <v>25</v>
      </c>
      <c r="B29" s="20"/>
      <c r="C29" s="40"/>
      <c r="D29" s="40"/>
      <c r="E29" s="40"/>
      <c r="F29" s="40"/>
      <c r="G29" s="40"/>
      <c r="H29" s="40"/>
      <c r="I29" s="51" t="n">
        <f aca="false">C29*$C$4+D29*$D$4+E29*$E$4+F29*$F$4+G29*$G$4+H29*$H$4</f>
        <v>0</v>
      </c>
      <c r="J29" s="7" t="n">
        <f aca="false">IFERROR(RANK(I29,$I$5:$I$34,0),"")</f>
        <v>1</v>
      </c>
    </row>
    <row r="30" customFormat="false" ht="15" hidden="false" customHeight="false" outlineLevel="0" collapsed="false">
      <c r="A30" s="8" t="n">
        <v>26</v>
      </c>
      <c r="B30" s="17"/>
      <c r="C30" s="39"/>
      <c r="D30" s="39"/>
      <c r="E30" s="39"/>
      <c r="F30" s="39"/>
      <c r="G30" s="39"/>
      <c r="H30" s="39"/>
      <c r="I30" s="52" t="n">
        <f aca="false">C30*$C$4+D30*$D$4+E30*$E$4+F30*$F$4+G30*$G$4+H30*$H$4</f>
        <v>0</v>
      </c>
      <c r="J30" s="11" t="n">
        <f aca="false">IFERROR(RANK(I30,$I$5:$I$34,0),"")</f>
        <v>1</v>
      </c>
    </row>
    <row r="31" customFormat="false" ht="15" hidden="false" customHeight="false" outlineLevel="0" collapsed="false">
      <c r="A31" s="4" t="n">
        <v>27</v>
      </c>
      <c r="B31" s="20"/>
      <c r="C31" s="40"/>
      <c r="D31" s="40"/>
      <c r="E31" s="40"/>
      <c r="F31" s="40"/>
      <c r="G31" s="40"/>
      <c r="H31" s="40"/>
      <c r="I31" s="51" t="n">
        <f aca="false">C31*$C$4+D31*$D$4+E31*$E$4+F31*$F$4+G31*$G$4+H31*$H$4</f>
        <v>0</v>
      </c>
      <c r="J31" s="7" t="n">
        <f aca="false">IFERROR(RANK(I31,$I$5:$I$34,0),"")</f>
        <v>1</v>
      </c>
    </row>
    <row r="32" customFormat="false" ht="15" hidden="false" customHeight="false" outlineLevel="0" collapsed="false">
      <c r="A32" s="8" t="n">
        <v>28</v>
      </c>
      <c r="B32" s="17"/>
      <c r="C32" s="39"/>
      <c r="D32" s="39"/>
      <c r="E32" s="39"/>
      <c r="F32" s="39"/>
      <c r="G32" s="39"/>
      <c r="H32" s="39"/>
      <c r="I32" s="52" t="n">
        <f aca="false">C32*$C$4+D32*$D$4+E32*$E$4+F32*$F$4+G32*$G$4+H32*$H$4</f>
        <v>0</v>
      </c>
      <c r="J32" s="11" t="n">
        <f aca="false">IFERROR(RANK(I32,$I$5:$I$34,0),"")</f>
        <v>1</v>
      </c>
    </row>
    <row r="33" customFormat="false" ht="15" hidden="false" customHeight="false" outlineLevel="0" collapsed="false">
      <c r="A33" s="4" t="n">
        <v>29</v>
      </c>
      <c r="B33" s="20"/>
      <c r="C33" s="40"/>
      <c r="D33" s="40"/>
      <c r="E33" s="40"/>
      <c r="F33" s="40"/>
      <c r="G33" s="40"/>
      <c r="H33" s="40"/>
      <c r="I33" s="51" t="n">
        <f aca="false">C33*$C$4+D33*$D$4+E33*$E$4+F33*$F$4+G33*$G$4+H33*$H$4</f>
        <v>0</v>
      </c>
      <c r="J33" s="7" t="n">
        <f aca="false">IFERROR(RANK(I33,$I$5:$I$34,0),"")</f>
        <v>1</v>
      </c>
    </row>
    <row r="34" customFormat="false" ht="15" hidden="false" customHeight="false" outlineLevel="0" collapsed="false">
      <c r="A34" s="8" t="n">
        <v>30</v>
      </c>
      <c r="B34" s="17"/>
      <c r="C34" s="39"/>
      <c r="D34" s="39"/>
      <c r="E34" s="39"/>
      <c r="F34" s="39"/>
      <c r="G34" s="39"/>
      <c r="H34" s="39"/>
      <c r="I34" s="52" t="n">
        <f aca="false">C34*$C$4+D34*$D$4+E34*$E$4+F34*$F$4+G34*$G$4+H34*$H$4</f>
        <v>0</v>
      </c>
      <c r="J34" s="11" t="n">
        <f aca="false">IFERROR(RANK(I34,$I$5:$I$34,0),"")</f>
        <v>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9" min="9" style="0" width="18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36" t="s">
        <v>110</v>
      </c>
      <c r="B1" s="36"/>
      <c r="C1" s="36"/>
      <c r="D1" s="36"/>
      <c r="E1" s="36"/>
      <c r="F1" s="36"/>
      <c r="G1" s="36"/>
      <c r="H1" s="36"/>
      <c r="I1" s="36"/>
      <c r="J1" s="36"/>
    </row>
    <row r="3" customFormat="false" ht="15" hidden="false" customHeight="false" outlineLevel="0" collapsed="false">
      <c r="A3" s="38" t="s">
        <v>31</v>
      </c>
      <c r="B3" s="38" t="s">
        <v>111</v>
      </c>
      <c r="C3" s="38" t="s">
        <v>112</v>
      </c>
      <c r="D3" s="38" t="s">
        <v>113</v>
      </c>
      <c r="E3" s="38" t="s">
        <v>114</v>
      </c>
      <c r="F3" s="38" t="s">
        <v>115</v>
      </c>
      <c r="G3" s="38" t="s">
        <v>116</v>
      </c>
      <c r="H3" s="38" t="s">
        <v>117</v>
      </c>
      <c r="I3" s="38" t="s">
        <v>118</v>
      </c>
      <c r="J3" s="38" t="s">
        <v>119</v>
      </c>
    </row>
    <row r="4" customFormat="false" ht="15" hidden="false" customHeight="false" outlineLevel="0" collapsed="false">
      <c r="A4" s="53" t="n">
        <v>1</v>
      </c>
      <c r="B4" s="54" t="s">
        <v>120</v>
      </c>
      <c r="C4" s="55"/>
      <c r="D4" s="55"/>
      <c r="E4" s="55"/>
      <c r="F4" s="55"/>
      <c r="G4" s="55"/>
      <c r="H4" s="55"/>
      <c r="I4" s="55"/>
      <c r="J4" s="53" t="s">
        <v>121</v>
      </c>
    </row>
    <row r="5" customFormat="false" ht="15" hidden="false" customHeight="false" outlineLevel="0" collapsed="false">
      <c r="A5" s="4" t="n">
        <v>2</v>
      </c>
      <c r="B5" s="5" t="s">
        <v>122</v>
      </c>
      <c r="C5" s="20"/>
      <c r="D5" s="20"/>
      <c r="E5" s="20"/>
      <c r="F5" s="20"/>
      <c r="G5" s="20"/>
      <c r="H5" s="20"/>
      <c r="I5" s="20"/>
      <c r="J5" s="4" t="s">
        <v>123</v>
      </c>
    </row>
    <row r="6" customFormat="false" ht="15" hidden="false" customHeight="false" outlineLevel="0" collapsed="false">
      <c r="A6" s="8" t="n">
        <v>3</v>
      </c>
      <c r="B6" s="9" t="s">
        <v>124</v>
      </c>
      <c r="C6" s="17"/>
      <c r="D6" s="17"/>
      <c r="E6" s="17"/>
      <c r="F6" s="17"/>
      <c r="G6" s="17"/>
      <c r="H6" s="17"/>
      <c r="I6" s="17"/>
      <c r="J6" s="8" t="s">
        <v>125</v>
      </c>
    </row>
    <row r="7" customFormat="false" ht="15" hidden="false" customHeight="false" outlineLevel="0" collapsed="false">
      <c r="A7" s="4" t="n">
        <v>4</v>
      </c>
      <c r="B7" s="5" t="s">
        <v>126</v>
      </c>
      <c r="C7" s="20"/>
      <c r="D7" s="20"/>
      <c r="E7" s="20"/>
      <c r="F7" s="20"/>
      <c r="G7" s="20"/>
      <c r="H7" s="20"/>
      <c r="I7" s="20"/>
      <c r="J7" s="4" t="s">
        <v>127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2</v>
      </c>
      <c r="B9" s="20"/>
      <c r="C9" s="20"/>
      <c r="D9" s="20"/>
      <c r="E9" s="20"/>
      <c r="F9" s="20"/>
      <c r="G9" s="20"/>
      <c r="H9" s="20"/>
      <c r="I9" s="20"/>
      <c r="J9" s="20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4</v>
      </c>
      <c r="B11" s="20"/>
      <c r="C11" s="20"/>
      <c r="D11" s="20"/>
      <c r="E11" s="20"/>
      <c r="F11" s="20"/>
      <c r="G11" s="20"/>
      <c r="H11" s="20"/>
      <c r="I11" s="20"/>
      <c r="J11" s="20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6</v>
      </c>
      <c r="B13" s="20"/>
      <c r="C13" s="20"/>
      <c r="D13" s="20"/>
      <c r="E13" s="20"/>
      <c r="F13" s="20"/>
      <c r="G13" s="20"/>
      <c r="H13" s="20"/>
      <c r="I13" s="20"/>
      <c r="J13" s="20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8</v>
      </c>
      <c r="B15" s="20"/>
      <c r="C15" s="20"/>
      <c r="D15" s="20"/>
      <c r="E15" s="20"/>
      <c r="F15" s="20"/>
      <c r="G15" s="20"/>
      <c r="H15" s="20"/>
      <c r="I15" s="20"/>
      <c r="J15" s="20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10</v>
      </c>
      <c r="B17" s="20"/>
      <c r="C17" s="20"/>
      <c r="D17" s="20"/>
      <c r="E17" s="20"/>
      <c r="F17" s="20"/>
      <c r="G17" s="20"/>
      <c r="H17" s="20"/>
      <c r="I17" s="20"/>
      <c r="J17" s="20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12</v>
      </c>
      <c r="B19" s="20"/>
      <c r="C19" s="20"/>
      <c r="D19" s="20"/>
      <c r="E19" s="20"/>
      <c r="F19" s="20"/>
      <c r="G19" s="20"/>
      <c r="H19" s="20"/>
      <c r="I19" s="20"/>
      <c r="J19" s="20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14</v>
      </c>
      <c r="B21" s="20"/>
      <c r="C21" s="20"/>
      <c r="D21" s="20"/>
      <c r="E21" s="20"/>
      <c r="F21" s="20"/>
      <c r="G21" s="20"/>
      <c r="H21" s="20"/>
      <c r="I21" s="20"/>
      <c r="J21" s="20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  <c r="J22" s="1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128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56" t="s">
        <v>129</v>
      </c>
      <c r="B2" s="56"/>
      <c r="C2" s="56"/>
      <c r="D2" s="56"/>
      <c r="E2" s="56"/>
      <c r="F2" s="56"/>
    </row>
    <row r="3" customFormat="false" ht="15" hidden="false" customHeight="false" outlineLevel="0" collapsed="false">
      <c r="A3" s="16" t="s">
        <v>2</v>
      </c>
      <c r="B3" s="16" t="s">
        <v>130</v>
      </c>
      <c r="C3" s="16" t="s">
        <v>131</v>
      </c>
      <c r="D3" s="16" t="s">
        <v>132</v>
      </c>
      <c r="E3" s="16" t="s">
        <v>133</v>
      </c>
      <c r="F3" s="16" t="s">
        <v>134</v>
      </c>
    </row>
    <row r="4" customFormat="false" ht="31.5" hidden="false" customHeight="true" outlineLevel="0" collapsed="false">
      <c r="A4" s="8" t="n">
        <v>1</v>
      </c>
      <c r="B4" s="9" t="s">
        <v>135</v>
      </c>
      <c r="C4" s="10" t="s">
        <v>136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137</v>
      </c>
      <c r="C5" s="6" t="s">
        <v>138</v>
      </c>
      <c r="D5" s="20"/>
      <c r="E5" s="20"/>
      <c r="F5" s="20"/>
    </row>
    <row r="6" customFormat="false" ht="31.5" hidden="false" customHeight="true" outlineLevel="0" collapsed="false">
      <c r="A6" s="8" t="n">
        <v>3</v>
      </c>
      <c r="B6" s="9" t="s">
        <v>139</v>
      </c>
      <c r="C6" s="10" t="s">
        <v>140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141</v>
      </c>
      <c r="C7" s="6" t="s">
        <v>142</v>
      </c>
      <c r="D7" s="20"/>
      <c r="E7" s="20"/>
      <c r="F7" s="20"/>
    </row>
    <row r="8" customFormat="false" ht="31.5" hidden="false" customHeight="true" outlineLevel="0" collapsed="false">
      <c r="A8" s="8" t="n">
        <v>5</v>
      </c>
      <c r="B8" s="9" t="s">
        <v>143</v>
      </c>
      <c r="C8" s="10" t="s">
        <v>144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145</v>
      </c>
      <c r="C9" s="6" t="s">
        <v>146</v>
      </c>
      <c r="D9" s="20"/>
      <c r="E9" s="20"/>
      <c r="F9" s="20"/>
    </row>
    <row r="10" customFormat="false" ht="31.5" hidden="false" customHeight="true" outlineLevel="0" collapsed="false">
      <c r="A10" s="8" t="n">
        <v>7</v>
      </c>
      <c r="B10" s="9" t="s">
        <v>147</v>
      </c>
      <c r="C10" s="10" t="s">
        <v>148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149</v>
      </c>
      <c r="C11" s="6" t="s">
        <v>150</v>
      </c>
      <c r="D11" s="20"/>
      <c r="E11" s="20"/>
      <c r="F11" s="20"/>
    </row>
    <row r="12" customFormat="false" ht="31.5" hidden="false" customHeight="true" outlineLevel="0" collapsed="false">
      <c r="A12" s="8" t="n">
        <v>9</v>
      </c>
      <c r="B12" s="9" t="s">
        <v>151</v>
      </c>
      <c r="C12" s="10" t="s">
        <v>152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153</v>
      </c>
      <c r="C13" s="6" t="s">
        <v>154</v>
      </c>
      <c r="D13" s="20"/>
      <c r="E13" s="20"/>
      <c r="F13" s="20"/>
    </row>
    <row r="14" customFormat="false" ht="31.5" hidden="false" customHeight="true" outlineLevel="0" collapsed="false">
      <c r="A14" s="8" t="n">
        <v>11</v>
      </c>
      <c r="B14" s="9" t="s">
        <v>155</v>
      </c>
      <c r="C14" s="10" t="s">
        <v>156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157</v>
      </c>
      <c r="C15" s="6" t="s">
        <v>158</v>
      </c>
      <c r="D15" s="20"/>
      <c r="E15" s="20"/>
      <c r="F15" s="20"/>
    </row>
    <row r="16" customFormat="false" ht="31.5" hidden="false" customHeight="true" outlineLevel="0" collapsed="false">
      <c r="A16" s="8" t="n">
        <v>13</v>
      </c>
      <c r="B16" s="9" t="s">
        <v>159</v>
      </c>
      <c r="C16" s="10" t="s">
        <v>160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161</v>
      </c>
      <c r="C17" s="6" t="s">
        <v>162</v>
      </c>
      <c r="D17" s="20"/>
      <c r="E17" s="20"/>
      <c r="F17" s="20"/>
    </row>
    <row r="18" customFormat="false" ht="31.5" hidden="false" customHeight="true" outlineLevel="0" collapsed="false">
      <c r="A18" s="8" t="n">
        <v>15</v>
      </c>
      <c r="B18" s="9" t="s">
        <v>163</v>
      </c>
      <c r="C18" s="10" t="s">
        <v>164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165</v>
      </c>
      <c r="C19" s="6" t="s">
        <v>166</v>
      </c>
      <c r="D19" s="20"/>
      <c r="E19" s="20"/>
      <c r="F19" s="20"/>
    </row>
    <row r="20" customFormat="false" ht="31.5" hidden="false" customHeight="true" outlineLevel="0" collapsed="false">
      <c r="A20" s="8" t="n">
        <v>17</v>
      </c>
      <c r="B20" s="9" t="s">
        <v>167</v>
      </c>
      <c r="C20" s="10" t="s">
        <v>168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169</v>
      </c>
      <c r="C21" s="6" t="s">
        <v>170</v>
      </c>
      <c r="D21" s="20"/>
      <c r="E21" s="20"/>
      <c r="F21" s="20"/>
    </row>
    <row r="22" customFormat="false" ht="31.5" hidden="false" customHeight="true" outlineLevel="0" collapsed="false">
      <c r="A22" s="8" t="n">
        <v>19</v>
      </c>
      <c r="B22" s="9" t="s">
        <v>171</v>
      </c>
      <c r="C22" s="10" t="s">
        <v>172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173</v>
      </c>
      <c r="C23" s="6" t="s">
        <v>174</v>
      </c>
      <c r="D23" s="20"/>
      <c r="E23" s="20"/>
      <c r="F23" s="2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2026-05-05T05:56:43Z</dcterms:created>
  <dc:creator>openpyxl</dc:creator>
  <dc:description/>
  <dc:language>en-US</dc:language>
  <cp:lastModifiedBy/>
  <dcterms:modified xsi:type="dcterms:W3CDTF">2026-05-05T05:56:43Z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