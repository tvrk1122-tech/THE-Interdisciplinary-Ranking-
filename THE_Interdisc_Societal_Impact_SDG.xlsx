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SDG Reference" sheetId="2" state="visible" r:id="rId4"/>
    <sheet name="1. SDG Research Output" sheetId="3" state="visible" r:id="rId5"/>
    <sheet name="2. Community Outreach" sheetId="4" state="visible" r:id="rId6"/>
    <sheet name="3. Impact Evidence" sheetId="5" state="visible" r:id="rId7"/>
    <sheet name="4. SDG Report &amp; Commitment" sheetId="6" state="visible" r:id="rId8"/>
    <sheet name="5. Societal Partnerships" sheetId="7" state="visible" r:id="rId9"/>
    <sheet name="6. SDG Coverage Heatmap" sheetId="8" state="visible" r:id="rId10"/>
    <sheet name="7. Composite SI-SDG Score" sheetId="9" state="visible" r:id="rId11"/>
    <sheet name="8. Benchmarking" sheetId="10" state="visible" r:id="rId12"/>
    <sheet name="9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<sst xmlns="http://schemas.openxmlformats.org/spreadsheetml/2006/main" count="313" uniqueCount="269">
  <si>
    <t xml:space="preserve">THE Interdisciplinary Rankings — Societal Impact &amp; SDG Alignment (≈10%)</t>
  </si>
  <si>
    <t xml:space="preserve">Assesses How Interdisciplinary Research Contributes to UN SDGs &amp; Real-World Problem-Solving</t>
  </si>
  <si>
    <t xml:space="preserve">#</t>
  </si>
  <si>
    <t xml:space="preserve">Sub-Indicator</t>
  </si>
  <si>
    <t xml:space="preserve">Description &amp; Measurement</t>
  </si>
  <si>
    <t xml:space="preserve">Approx. Weight</t>
  </si>
  <si>
    <t xml:space="preserve">SDG-Focused Interdisciplinary Research Output</t>
  </si>
  <si>
    <t xml:space="preserve">Count and citation impact of publications addressing SDGs through cross-disciplinary frameworks. Publications must span 2+ ASJC areas AND be mapped to one or more SDGs using Scopus/Elsevier SDG keyword mapping or THE's SDG classification. FWCI of SDG-linked interdisciplinary papers also assessed.</t>
  </si>
  <si>
    <t xml:space="preserve">~3%</t>
  </si>
  <si>
    <t xml:space="preserve">Community-Based Interdisciplinary Outreach</t>
  </si>
  <si>
    <t xml:space="preserve">Documented community engagement initiatives where the university applies multi-domain expertise to local/regional problems: health camps combining medical + engineering + social work, clean water projects integrating chemistry + civil engineering + policy, agricultural extension blending biology + data science + economics.</t>
  </si>
  <si>
    <t xml:space="preserve">~2.5%</t>
  </si>
  <si>
    <t xml:space="preserve">Real-World Impact Evidence (Health, Climate, Energy, Education)</t>
  </si>
  <si>
    <t xml:space="preserve">Verifiable evidence that interdisciplinary research has produced measurable real-world outcomes: policy changes influenced, lives impacted, emissions reduced, diseases addressed, educational access improved. Assessed through impact case studies, government reports, media coverage, and third-party evaluations.</t>
  </si>
  <si>
    <t xml:space="preserve">~2%</t>
  </si>
  <si>
    <t xml:space="preserve">Annual SDG Report &amp; Institutional Commitment</t>
  </si>
  <si>
    <t xml:space="preserve">Publication of an annual institutional SDG report documenting cross-disciplinary contributions; formal SDG integration into strategic plan; SDG-linked KPIs tracked at institutional level; THE Impact Rankings participation and data quality.</t>
  </si>
  <si>
    <t xml:space="preserve">~1.5%</t>
  </si>
  <si>
    <t xml:space="preserve">Multi-Domain Partnerships for Societal Impact</t>
  </si>
  <si>
    <t xml:space="preserve">Partnerships with government, NGOs, international agencies, and community organizations that require interdisciplinary expertise: multi-ministry projects, UNDP/WHO/UNESCO collaborations, district-level convergence missions, and cross-sector innovation for public good.</t>
  </si>
  <si>
    <t xml:space="preserve">~1%</t>
  </si>
  <si>
    <t xml:space="preserve">Key Reference Notes</t>
  </si>
  <si>
    <t xml:space="preserve">• Societal Impact &amp; SDG Alignment carries ≈10% of the total Interdisciplinary Science Ranking score.</t>
  </si>
  <si>
    <t xml:space="preserve">• Data sources: SDG-linked research datasets, institutional SDG reports, Scopus SDG mapping, community documentation, THE Impact Rankings data.</t>
  </si>
  <si>
    <t xml:space="preserve">• Focus is on INTERDISCIPLINARY contributions to SDGs — single-domain SDG work is captured in THE Impact Rankings, not here.</t>
  </si>
  <si>
    <t xml:space="preserve">• Research must span 2+ ASJC areas AND map to at least 1 SDG to qualify as 'interdisciplinary SDG research'.</t>
  </si>
  <si>
    <t xml:space="preserve">• Community outreach must involve faculty/students from 2+ departments working together on the same initiative.</t>
  </si>
  <si>
    <t xml:space="preserve">• Impact evidence must be verifiable through third-party sources (government reports, media, independent evaluations).</t>
  </si>
  <si>
    <t xml:space="preserve">• THE Impact Rankings participation strengthens this pillar — institutions that submit to both rankings have richer evidence.</t>
  </si>
  <si>
    <t xml:space="preserve">• Scoring: each sub-indicator normalized 0–100; composite weighted average produces final SI-SDG score.</t>
  </si>
  <si>
    <t xml:space="preserve">UN Sustainable Development Goals — Reference Classification</t>
  </si>
  <si>
    <t xml:space="preserve">17 SDGs with example interdisciplinary research domains</t>
  </si>
  <si>
    <t xml:space="preserve">SDG No.</t>
  </si>
  <si>
    <t xml:space="preserve">SDG Name</t>
  </si>
  <si>
    <t xml:space="preserve">Example Interdisciplinary Research Themes</t>
  </si>
  <si>
    <t xml:space="preserve">Key Disciplines Involved</t>
  </si>
  <si>
    <t xml:space="preserve">No Poverty</t>
  </si>
  <si>
    <t xml:space="preserve">Poverty prediction using AI + economics; social protection systems analysis</t>
  </si>
  <si>
    <t xml:space="preserve">Data Science, Economics, Sociology, Public Policy</t>
  </si>
  <si>
    <t xml:space="preserve">Zero Hunger</t>
  </si>
  <si>
    <t xml:space="preserve">Precision agriculture + AI; food security modelling; nutrition + genomics</t>
  </si>
  <si>
    <t xml:space="preserve">Agriculture, CS, Biology, Chemistry, Economics</t>
  </si>
  <si>
    <t xml:space="preserve">Good Health &amp; Well-being</t>
  </si>
  <si>
    <t xml:space="preserve">AI-driven diagnostics; digital health; epidemiological modelling; biomedical engineering</t>
  </si>
  <si>
    <t xml:space="preserve">Medicine, CS, Engineering, Public Health, Psychology</t>
  </si>
  <si>
    <t xml:space="preserve">Quality Education</t>
  </si>
  <si>
    <t xml:space="preserve">EdTech + learning analytics; inclusive education + assistive technology</t>
  </si>
  <si>
    <t xml:space="preserve">Education, CS, Psychology, Engineering</t>
  </si>
  <si>
    <t xml:space="preserve">Gender Equality</t>
  </si>
  <si>
    <t xml:space="preserve">Gender-disaggregated data science; policy + behavioural economics</t>
  </si>
  <si>
    <t xml:space="preserve">Social Sciences, Data Science, Law, Economics</t>
  </si>
  <si>
    <t xml:space="preserve">Clean Water &amp; Sanitation</t>
  </si>
  <si>
    <t xml:space="preserve">Water quality monitoring + IoT; membrane technology; sanitation policy</t>
  </si>
  <si>
    <t xml:space="preserve">Chemistry, Civil Engg, Environmental Sci, Policy</t>
  </si>
  <si>
    <t xml:space="preserve">Affordable &amp; Clean Energy</t>
  </si>
  <si>
    <t xml:space="preserve">Solar + materials science; smart grids + AI; energy policy + economics</t>
  </si>
  <si>
    <t xml:space="preserve">Physics, Engineering, CS, Economics, Env. Science</t>
  </si>
  <si>
    <t xml:space="preserve">Decent Work &amp; Economic Growth</t>
  </si>
  <si>
    <t xml:space="preserve">Labour market analytics; automation impact; green economy modelling</t>
  </si>
  <si>
    <t xml:space="preserve">Economics, CS, Sociology, Engineering</t>
  </si>
  <si>
    <t xml:space="preserve">Industry, Innovation &amp; Infrastructure</t>
  </si>
  <si>
    <t xml:space="preserve">Smart manufacturing; Industry 4.0; sustainable materials</t>
  </si>
  <si>
    <t xml:space="preserve">Engineering, CS, Materials, Business</t>
  </si>
  <si>
    <t xml:space="preserve">Reduced Inequalities</t>
  </si>
  <si>
    <t xml:space="preserve">Inclusive AI; accessibility technology; economic disparity modelling</t>
  </si>
  <si>
    <t xml:space="preserve">CS, Economics, Sociology, Law, Engineering</t>
  </si>
  <si>
    <t xml:space="preserve">Sustainable Cities &amp; Communities</t>
  </si>
  <si>
    <t xml:space="preserve">Urban planning + IoT; disaster resilience; smart transport</t>
  </si>
  <si>
    <t xml:space="preserve">Civil Engg, CS, Geography, Environmental Sci</t>
  </si>
  <si>
    <t xml:space="preserve">Responsible Consumption &amp; Production</t>
  </si>
  <si>
    <t xml:space="preserve">Circular economy; life-cycle assessment; sustainable chemistry</t>
  </si>
  <si>
    <t xml:space="preserve">Chemistry, Engineering, Business, Env. Science</t>
  </si>
  <si>
    <t xml:space="preserve">Climate Action</t>
  </si>
  <si>
    <t xml:space="preserve">Climate modelling; carbon capture; climate policy + economics</t>
  </si>
  <si>
    <t xml:space="preserve">Earth Sciences, Chemistry, Engg, Economics, Policy</t>
  </si>
  <si>
    <t xml:space="preserve">Life Below Water</t>
  </si>
  <si>
    <t xml:space="preserve">Marine ecology + remote sensing; ocean pollution monitoring</t>
  </si>
  <si>
    <t xml:space="preserve">Biology, Chemistry, Earth Sci, Engg, CS</t>
  </si>
  <si>
    <t xml:space="preserve">Life on Land</t>
  </si>
  <si>
    <t xml:space="preserve">Biodiversity monitoring + AI; ecosystem restoration; conservation genomics</t>
  </si>
  <si>
    <t xml:space="preserve">Biology, CS, Earth Sciences, Agriculture</t>
  </si>
  <si>
    <t xml:space="preserve">Peace, Justice &amp; Strong Institutions</t>
  </si>
  <si>
    <t xml:space="preserve">Cybersecurity + law; digital governance; conflict analytics</t>
  </si>
  <si>
    <t xml:space="preserve">Law, CS, Political Science, Sociology</t>
  </si>
  <si>
    <t xml:space="preserve">Partnerships for the Goals</t>
  </si>
  <si>
    <t xml:space="preserve">International development data science; South-South cooperation analytics</t>
  </si>
  <si>
    <t xml:space="preserve">All domains, International Relations, Economics</t>
  </si>
  <si>
    <t xml:space="preserve">Publications spanning 2+ ASJC areas AND mapped to SDGs | Scopus SDG classification | 5-year window</t>
  </si>
  <si>
    <t xml:space="preserve">S.No.</t>
  </si>
  <si>
    <t xml:space="preserve">University Name</t>
  </si>
  <si>
    <t xml:space="preserve">Country</t>
  </si>
  <si>
    <t xml:space="preserve">Total Publications (5yr)</t>
  </si>
  <si>
    <t xml:space="preserve">SDG-Mapped Publications</t>
  </si>
  <si>
    <t xml:space="preserve">Interdisc. SDG Publications (2+ ASJC + SDG)</t>
  </si>
  <si>
    <t xml:space="preserve">% Interdisc. SDG Output</t>
  </si>
  <si>
    <t xml:space="preserve">FWCI of Interdisc. SDG Papers</t>
  </si>
  <si>
    <t xml:space="preserve">No. of SDGs Addressed (of 17)</t>
  </si>
  <si>
    <t xml:space="preserve">Reporting Period</t>
  </si>
  <si>
    <t xml:space="preserve">Interdisciplinary Publications per SDG (University × SDG Matrix)</t>
  </si>
  <si>
    <t xml:space="preserve">University ↓ / SDG →</t>
  </si>
  <si>
    <t xml:space="preserve">SDG1</t>
  </si>
  <si>
    <t xml:space="preserve">SDG2</t>
  </si>
  <si>
    <t xml:space="preserve">SDG3</t>
  </si>
  <si>
    <t xml:space="preserve">SDG4</t>
  </si>
  <si>
    <t xml:space="preserve">SDG5</t>
  </si>
  <si>
    <t xml:space="preserve">SDG6</t>
  </si>
  <si>
    <t xml:space="preserve">SDG7</t>
  </si>
  <si>
    <t xml:space="preserve">SDG8</t>
  </si>
  <si>
    <t xml:space="preserve">SDG9</t>
  </si>
  <si>
    <t xml:space="preserve">SDG10</t>
  </si>
  <si>
    <t xml:space="preserve">SDG11</t>
  </si>
  <si>
    <t xml:space="preserve">SDG12</t>
  </si>
  <si>
    <t xml:space="preserve">SDG13</t>
  </si>
  <si>
    <t xml:space="preserve">SDG14</t>
  </si>
  <si>
    <t xml:space="preserve">SDG15</t>
  </si>
  <si>
    <t xml:space="preserve">SDG16</t>
  </si>
  <si>
    <t xml:space="preserve">SDG17</t>
  </si>
  <si>
    <t xml:space="preserve">Total</t>
  </si>
  <si>
    <t xml:space="preserve">SDGs Covered</t>
  </si>
  <si>
    <t xml:space="preserve">Community-Based Interdisciplinary Outreach Initiatives</t>
  </si>
  <si>
    <t xml:space="preserve">Multi-domain community engagement: health camps, clean water, agriculture, education — involving 2+ departments</t>
  </si>
  <si>
    <t xml:space="preserve">Initiative / Project Name</t>
  </si>
  <si>
    <t xml:space="preserve">Disciplines Integrated (2+)</t>
  </si>
  <si>
    <t xml:space="preserve">Departments / Faculty Involved</t>
  </si>
  <si>
    <t xml:space="preserve">Beneficiaries (Count)</t>
  </si>
  <si>
    <t xml:space="preserve">Geographic Scope (Local/District/State/National)</t>
  </si>
  <si>
    <t xml:space="preserve">SDG(s) Addressed</t>
  </si>
  <si>
    <t xml:space="preserve">Measurable Outcome</t>
  </si>
  <si>
    <t xml:space="preserve">University-Level Outreach Summary</t>
  </si>
  <si>
    <t xml:space="preserve">Total Interdisc. Outreach Initiatives</t>
  </si>
  <si>
    <t xml:space="preserve">Total Beneficiaries</t>
  </si>
  <si>
    <t xml:space="preserve">No. of Departments Involved</t>
  </si>
  <si>
    <t xml:space="preserve">SDGs Addressed (of 17)</t>
  </si>
  <si>
    <t xml:space="preserve">Govt/NGO Partnerships Active</t>
  </si>
  <si>
    <t xml:space="preserve">Outreach Score (0–100)</t>
  </si>
  <si>
    <t xml:space="preserve">Reporting Year</t>
  </si>
  <si>
    <t xml:space="preserve">Real-World Impact Evidence — Verifiable Outcomes from Interdisciplinary Research</t>
  </si>
  <si>
    <t xml:space="preserve">Policy changes, lives impacted, emissions reduced, diseases addressed, educational access | Third-party verified</t>
  </si>
  <si>
    <t xml:space="preserve">Impact Case Title</t>
  </si>
  <si>
    <t xml:space="preserve">Impact Description (Quantified Where Possible)</t>
  </si>
  <si>
    <t xml:space="preserve">Verification Source (Govt Report/Media/Award/Evaluation)</t>
  </si>
  <si>
    <t xml:space="preserve">Impact Domain (Health/Climate/Energy/Education/Other)</t>
  </si>
  <si>
    <t xml:space="preserve">University-Level Impact Metrics Summary</t>
  </si>
  <si>
    <t xml:space="preserve">Impact Cases Documented</t>
  </si>
  <si>
    <t xml:space="preserve">Lives Directly Impacted (Est.)</t>
  </si>
  <si>
    <t xml:space="preserve">Policy Documents Influenced</t>
  </si>
  <si>
    <t xml:space="preserve">CO₂ Reduced / Energy Saved</t>
  </si>
  <si>
    <t xml:space="preserve">SDGs with Verified Impact</t>
  </si>
  <si>
    <t xml:space="preserve">Annual SDG Report &amp; Institutional SDG Commitment Checklist</t>
  </si>
  <si>
    <t xml:space="preserve">Publication of SDG report, strategic plan integration, KPI tracking, THE Impact Rankings participation</t>
  </si>
  <si>
    <t xml:space="preserve">SDG Commitment Item</t>
  </si>
  <si>
    <t xml:space="preserve">Status (Y/N/Planned)</t>
  </si>
  <si>
    <t xml:space="preserve">Evidence / Document URL</t>
  </si>
  <si>
    <t xml:space="preserve">Year Adopted</t>
  </si>
  <si>
    <t xml:space="preserve">Remarks</t>
  </si>
  <si>
    <t xml:space="preserve">Annual institutional SDG report published (publicly accessible)</t>
  </si>
  <si>
    <t xml:space="preserve">SDG report includes interdisciplinary research contributions per SDG</t>
  </si>
  <si>
    <t xml:space="preserve">SDGs formally integrated into university strategic / development plan</t>
  </si>
  <si>
    <t xml:space="preserve">SDG-linked KPIs tracked at institutional level (annual monitoring)</t>
  </si>
  <si>
    <t xml:space="preserve">Dedicated SDG Coordinator / Office / Committee established</t>
  </si>
  <si>
    <t xml:space="preserve">THE Impact Rankings submission completed (current cycle)</t>
  </si>
  <si>
    <t xml:space="preserve">THE Impact Rankings data quality reviewed internally before submission</t>
  </si>
  <si>
    <t xml:space="preserve">SDG curriculum mapping completed (courses tagged to SDGs)</t>
  </si>
  <si>
    <t xml:space="preserve">SDG research mapping completed (publications tagged to SDGs via Scopus/Elsevier)</t>
  </si>
  <si>
    <t xml:space="preserve">SDG-focused student engagement / volunteering programme operational</t>
  </si>
  <si>
    <t xml:space="preserve">SDG budgetary allocation tracked separately in institutional accounts</t>
  </si>
  <si>
    <t xml:space="preserve">External SDG audit / assessment conducted (by third party)</t>
  </si>
  <si>
    <t xml:space="preserve">SDG achievements communicated in annual convocation / annual report</t>
  </si>
  <si>
    <t xml:space="preserve">Institutional website has dedicated SDG / sustainability section</t>
  </si>
  <si>
    <t xml:space="preserve">Participation in national / international SDG reporting frameworks (UN PRME, SDSN, etc.)</t>
  </si>
  <si>
    <t xml:space="preserve">Cross-institutional SDG collaboration network active (consortium / alliance)</t>
  </si>
  <si>
    <t xml:space="preserve">Faculty incentive structure includes SDG-linked research contributions</t>
  </si>
  <si>
    <t xml:space="preserve">SDG-themed interdisciplinary centres / clusters established (see IRE pillar)</t>
  </si>
  <si>
    <t xml:space="preserve">SDG Commitment Summary</t>
  </si>
  <si>
    <t xml:space="preserve">Total Items Implemented</t>
  </si>
  <si>
    <t xml:space="preserve">SDG Commitment Rate (%)</t>
  </si>
  <si>
    <t xml:space="preserve">Govt, NGO, UN agency, community partnerships requiring interdisciplinary expertise for public good</t>
  </si>
  <si>
    <t xml:space="preserve">Partner Organization</t>
  </si>
  <si>
    <t xml:space="preserve">Type (Govt/NGO/UN/Community/Multi-lateral)</t>
  </si>
  <si>
    <t xml:space="preserve">Disciplines Required (2+)</t>
  </si>
  <si>
    <t xml:space="preserve">University Departments Involved</t>
  </si>
  <si>
    <t xml:space="preserve">Duration</t>
  </si>
  <si>
    <t xml:space="preserve">Key Impact / Outcome</t>
  </si>
  <si>
    <t xml:space="preserve">University-Level Partnership Summary</t>
  </si>
  <si>
    <t xml:space="preserve">Total Societal Partnerships</t>
  </si>
  <si>
    <t xml:space="preserve">Govt Partnerships</t>
  </si>
  <si>
    <t xml:space="preserve">NGO Partnerships</t>
  </si>
  <si>
    <t xml:space="preserve">UN/Multilateral Partnerships</t>
  </si>
  <si>
    <t xml:space="preserve">Community-Level Partnerships</t>
  </si>
  <si>
    <t xml:space="preserve">Partnership Score (0–100)</t>
  </si>
  <si>
    <t xml:space="preserve">SDG Coverage Heatmap — University × SDG Activity Level</t>
  </si>
  <si>
    <t xml:space="preserve">Rate each SDG engagement: 0=None, 1=Minimal, 2=Moderate, 3=Strong, 4=Leading | Captures breadth &amp; depth</t>
  </si>
  <si>
    <t xml:space="preserve">Total Score</t>
  </si>
  <si>
    <t xml:space="preserve">SDGs Active (≥1)</t>
  </si>
  <si>
    <t xml:space="preserve">Composite Societal Impact &amp; SDG Alignment Score (0–100)</t>
  </si>
  <si>
    <t xml:space="preserve">Weighted composite of 5 sub-indicators | Weights editable in Row 4 | ≈10% of total ranking</t>
  </si>
  <si>
    <t xml:space="preserve">SDG Research Score (A)</t>
  </si>
  <si>
    <t xml:space="preserve">Community Outreach (B)</t>
  </si>
  <si>
    <t xml:space="preserve">Impact Evidence (C)</t>
  </si>
  <si>
    <t xml:space="preserve">SDG Report &amp; Commitment (D)</t>
  </si>
  <si>
    <t xml:space="preserve">Societal Partnerships (E)</t>
  </si>
  <si>
    <t xml:space="preserve">Composite SI-SDG Score (0–100)</t>
  </si>
  <si>
    <t xml:space="preserve">Global Rank</t>
  </si>
  <si>
    <t xml:space="preserve">Weights →</t>
  </si>
  <si>
    <t xml:space="preserve">Benchmarking &amp; Peer Comparison — Societal Impact &amp; SDG Alignment</t>
  </si>
  <si>
    <t xml:space="preserve">Compare your institution against peers, aspirational targets, and global top performers</t>
  </si>
  <si>
    <t xml:space="preserve">University / Benchmark</t>
  </si>
  <si>
    <t xml:space="preserve">SDG Research</t>
  </si>
  <si>
    <t xml:space="preserve">Outreach</t>
  </si>
  <si>
    <t xml:space="preserve">Impact Evidence</t>
  </si>
  <si>
    <t xml:space="preserve">SDG Report</t>
  </si>
  <si>
    <t xml:space="preserve">Partnerships</t>
  </si>
  <si>
    <t xml:space="preserve">Composite SI-SDG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</si>
  <si>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</si>
  <si>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</si>
  <si>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</si>
  <si>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</si>
  <si>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</si>
  <si>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</si>
  <si>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</si>
  <si>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</si>
  <si>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</si>
  <si>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Societal Impact &amp; SDG Alignment — Data Quality &amp; Audit Checklist</t>
  </si>
  <si>
    <t xml:space="preserve">Validation checks for all sub-indicators of the SI-SDG pillar (≈10% of THE Interdisciplinary Ranking)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</si>
  <si>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</si>
  <si>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</si>
  <si>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</si>
  <si>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</si>
  <si>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</si>
  <si>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SDG publication mapping method</t>
  </si>
  <si>
    <t xml:space="preserve">Publications mapped to SDGs using Scopus/Elsevier SDG keyword mapping OR THE's SDG classification; method documented</t>
  </si>
  <si>
    <t xml:space="preserve">Interdisciplinarity threshold</t>
  </si>
  <si>
    <t xml:space="preserve">SDG publications classified as 'interdisciplinary' only when spanning 2+ distinct ASJC top-level areas</t>
  </si>
  <si>
    <t xml:space="preserve">FWCI accuracy for SDG papers</t>
  </si>
  <si>
    <t xml:space="preserve">FWCI of SDG-linked interdisciplinary papers cross-checked against SciVal / InCites</t>
  </si>
  <si>
    <t xml:space="preserve">SDG × University matrix reconciliation</t>
  </si>
  <si>
    <t xml:space="preserve">Row totals in SDG matrix match total interdisciplinary SDG publications reported in summary</t>
  </si>
  <si>
    <t xml:space="preserve">Outreach multi-department verification</t>
  </si>
  <si>
    <t xml:space="preserve">Each outreach initiative verified as involving faculty/students from 2+ departments</t>
  </si>
  <si>
    <t xml:space="preserve">Beneficiary count methodology</t>
  </si>
  <si>
    <t xml:space="preserve">Beneficiary counts use documented estimation method (census, survey, registration data)</t>
  </si>
  <si>
    <t xml:space="preserve">Impact evidence third-party verification</t>
  </si>
  <si>
    <t xml:space="preserve">All impact claims backed by independent evidence (govt report, media, evaluation, award)</t>
  </si>
  <si>
    <t xml:space="preserve">Impact quantification standards</t>
  </si>
  <si>
    <t xml:space="preserve">Quantified impacts use standardized metrics (lives impacted, CO₂ tonnes, policy citations)</t>
  </si>
  <si>
    <t xml:space="preserve">SDG report publication verification</t>
  </si>
  <si>
    <t xml:space="preserve">Annual SDG report existence verified via institutional website / repository</t>
  </si>
  <si>
    <t xml:space="preserve">THE Impact Rankings cross-check</t>
  </si>
  <si>
    <t xml:space="preserve">Data consistent between this submission and THE Impact Rankings submission (no contradictions)</t>
  </si>
  <si>
    <t xml:space="preserve">Partnership documentation</t>
  </si>
  <si>
    <t xml:space="preserve">Each societal partnership backed by signed agreement / MoU with cross-domain scope stated</t>
  </si>
  <si>
    <t xml:space="preserve">SDG coverage heatmap calibration</t>
  </si>
  <si>
    <t xml:space="preserve">Rating scale (0–4) applied consistently using documented rubric across all SDGs</t>
  </si>
  <si>
    <t xml:space="preserve">Double-counting across pillars</t>
  </si>
  <si>
    <t xml:space="preserve">SDG research counted here not also counted in Research Quality pillar as primary evidence</t>
  </si>
  <si>
    <t xml:space="preserve">Temporal consistency</t>
  </si>
  <si>
    <t xml:space="preserve">All data covers same reporting period / analysis window</t>
  </si>
  <si>
    <t xml:space="preserve">Normalization method</t>
  </si>
  <si>
    <t xml:space="preserve">Confirm z-scoring or min-max normalization applied consistently across all universities</t>
  </si>
  <si>
    <t xml:space="preserve">Weight validation</t>
  </si>
  <si>
    <t xml:space="preserve">Sub-indicator weights sum to 100% of the SI-SDG pillar</t>
  </si>
  <si>
    <t xml:space="preserve">Community vs. institutional bias</t>
  </si>
  <si>
    <t xml:space="preserve">Outreach credited to the university only when led/co-led by institutional faculty/students</t>
  </si>
  <si>
    <t xml:space="preserve">SDG commitment checklist honesty</t>
  </si>
  <si>
    <t xml:space="preserve">Each item marked 'Y' backed by verifiable evidence; no aspirational marking</t>
  </si>
  <si>
    <t xml:space="preserve">Year-on-year trend check</t>
  </si>
  <si>
    <t xml:space="preserve">Compare current submission with previous cycle for anomalous changes (&gt;25% shift)</t>
  </si>
  <si>
    <t xml:space="preserve">Reproducibility test</t>
  </si>
  <si>
    <t xml:space="preserve">All calculations reproducible by independent analyst using this workbook and institutional records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</si>
</sst>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34">
    <fill>
      <patternFill patternType="none"/>
    </fill>
    <fill>
      <patternFill patternType="gray125"/>
    </fill>
    <fill>
      <patternFill patternType="solid">
        <fgColor rgb="FF00695C"/>
        <bgColor rgb="FF00689D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19486A"/>
      </patternFill>
    </fill>
    <fill>
      <patternFill patternType="solid">
        <fgColor rgb="FF1B5E20"/>
        <bgColor rgb="FF00695C"/>
      </patternFill>
    </fill>
    <fill>
      <patternFill patternType="solid">
        <fgColor rgb="FFE5243B"/>
        <bgColor rgb="FFC5192D"/>
      </patternFill>
    </fill>
    <fill>
      <patternFill patternType="solid">
        <fgColor rgb="FFDDA63A"/>
        <bgColor rgb="FFFD9D24"/>
      </patternFill>
    </fill>
    <fill>
      <patternFill patternType="solid">
        <fgColor rgb="FF4C9F38"/>
        <bgColor rgb="FF548235"/>
      </patternFill>
    </fill>
    <fill>
      <patternFill patternType="solid">
        <fgColor rgb="FFC5192D"/>
        <bgColor rgb="FFC8102E"/>
      </patternFill>
    </fill>
    <fill>
      <patternFill patternType="solid">
        <fgColor rgb="FFFF3A21"/>
        <bgColor rgb="FFE5243B"/>
      </patternFill>
    </fill>
    <fill>
      <patternFill patternType="solid">
        <fgColor rgb="FF26BDE2"/>
        <bgColor rgb="FF00CCFF"/>
      </patternFill>
    </fill>
    <fill>
      <patternFill patternType="solid">
        <fgColor rgb="FFFCC30B"/>
        <bgColor rgb="FFFD9D24"/>
      </patternFill>
    </fill>
    <fill>
      <patternFill patternType="solid">
        <fgColor rgb="FFA21942"/>
        <bgColor rgb="FFC5192D"/>
      </patternFill>
    </fill>
    <fill>
      <patternFill patternType="solid">
        <fgColor rgb="FFFD6925"/>
        <bgColor rgb="FFED7D31"/>
      </patternFill>
    </fill>
    <fill>
      <patternFill patternType="solid">
        <fgColor rgb="FFDD1367"/>
        <bgColor rgb="FFE5243B"/>
      </patternFill>
    </fill>
    <fill>
      <patternFill patternType="solid">
        <fgColor rgb="FFFD9D24"/>
        <bgColor rgb="FFDDA63A"/>
      </patternFill>
    </fill>
    <fill>
      <patternFill patternType="solid">
        <fgColor rgb="FFBF8B2E"/>
        <bgColor rgb="FFDDA63A"/>
      </patternFill>
    </fill>
    <fill>
      <patternFill patternType="solid">
        <fgColor rgb="FF3F7E44"/>
        <bgColor rgb="FF548235"/>
      </patternFill>
    </fill>
    <fill>
      <patternFill patternType="solid">
        <fgColor rgb="FF0A97D9"/>
        <bgColor rgb="FF2F8F9D"/>
      </patternFill>
    </fill>
    <fill>
      <patternFill patternType="solid">
        <fgColor rgb="FF56C02B"/>
        <bgColor rgb="FF4C9F38"/>
      </patternFill>
    </fill>
    <fill>
      <patternFill patternType="solid">
        <fgColor rgb="FF00689D"/>
        <bgColor rgb="FF00695C"/>
      </patternFill>
    </fill>
    <fill>
      <patternFill patternType="solid">
        <fgColor rgb="FF19486A"/>
        <bgColor rgb="FF1A2E4F"/>
      </patternFill>
    </fill>
    <fill>
      <patternFill patternType="solid">
        <fgColor rgb="FFC8102E"/>
        <bgColor rgb="FFC5192D"/>
      </patternFill>
    </fill>
    <fill>
      <patternFill patternType="solid">
        <fgColor rgb="FF7030A0"/>
        <bgColor rgb="FF3F51B5"/>
      </patternFill>
    </fill>
    <fill>
      <patternFill patternType="solid">
        <fgColor rgb="FFED7D31"/>
        <bgColor rgb="FFFD6925"/>
      </patternFill>
    </fill>
    <fill>
      <patternFill patternType="solid">
        <fgColor rgb="FF548235"/>
        <bgColor rgb="FF3F7E44"/>
      </patternFill>
    </fill>
    <fill>
      <patternFill patternType="solid">
        <fgColor rgb="FF8B0000"/>
        <bgColor rgb="FFA21942"/>
      </patternFill>
    </fill>
    <fill>
      <patternFill patternType="solid">
        <fgColor rgb="FF2F8F9D"/>
        <bgColor rgb="FF2E75B6"/>
      </patternFill>
    </fill>
    <fill>
      <patternFill patternType="solid">
        <fgColor rgb="FFE2EFDA"/>
        <bgColor rgb="FFF2F2F2"/>
      </patternFill>
    </fill>
    <fill>
      <patternFill patternType="solid">
        <fgColor rgb="FF3F51B5"/>
        <bgColor rgb="FF2E75B6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3A21"/>
      <rgbColor rgb="FF00FFFF"/>
      <rgbColor rgb="FF8B0000"/>
      <rgbColor rgb="FF1B5E20"/>
      <rgbColor rgb="FF000080"/>
      <rgbColor rgb="FF548235"/>
      <rgbColor rgb="FFDD1367"/>
      <rgbColor rgb="FF00695C"/>
      <rgbColor rgb="FFB4B4B4"/>
      <rgbColor rgb="FF4C9F38"/>
      <rgbColor rgb="FF9999FF"/>
      <rgbColor rgb="FFA21942"/>
      <rgbColor rgb="FFFFF5D9"/>
      <rgbColor rgb="FFF2F2F2"/>
      <rgbColor rgb="FF660066"/>
      <rgbColor rgb="FFED7D31"/>
      <rgbColor rgb="FF00689D"/>
      <rgbColor rgb="FFCCCCFF"/>
      <rgbColor rgb="FF000080"/>
      <rgbColor rgb="FFFF00FF"/>
      <rgbColor rgb="FFFFFF00"/>
      <rgbColor rgb="FF00FFFF"/>
      <rgbColor rgb="FF800080"/>
      <rgbColor rgb="FFE5243B"/>
      <rgbColor rgb="FF0A97D9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DA63A"/>
      <rgbColor rgb="FF2E75B6"/>
      <rgbColor rgb="FF26BDE2"/>
      <rgbColor rgb="FF56C02B"/>
      <rgbColor rgb="FFFCC30B"/>
      <rgbColor rgb="FFFD9D24"/>
      <rgbColor rgb="FFFD6925"/>
      <rgbColor rgb="FF3F7E44"/>
      <rgbColor rgb="FFBF8B2E"/>
      <rgbColor rgb="FF1A2E4F"/>
      <rgbColor rgb="FF2F8F9D"/>
      <rgbColor rgb="FF19486A"/>
      <rgbColor rgb="FF333300"/>
      <rgbColor rgb="FFC5192D"/>
      <rgbColor rgb="FF7030A0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94.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94.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94.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94.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94.5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20</v>
      </c>
    </row>
    <row r="11" customFormat="false" ht="25.5" hidden="false" customHeight="true" outlineLevel="0" collapsed="false">
      <c r="A11" s="12" t="s">
        <v>21</v>
      </c>
      <c r="B11" s="12"/>
      <c r="C11" s="12"/>
      <c r="D11" s="12"/>
    </row>
    <row r="12" customFormat="false" ht="15" hidden="false" customHeight="true" outlineLevel="0" collapsed="false">
      <c r="A12" s="13" t="s">
        <v>22</v>
      </c>
      <c r="B12" s="13"/>
      <c r="C12" s="13"/>
      <c r="D12" s="13"/>
    </row>
    <row r="13" customFormat="false" ht="23.85" hidden="false" customHeight="true" outlineLevel="0" collapsed="false">
      <c r="A13" s="13" t="s">
        <v>23</v>
      </c>
      <c r="B13" s="13"/>
      <c r="C13" s="13"/>
      <c r="D13" s="13"/>
    </row>
    <row r="14" customFormat="false" ht="23.85" hidden="false" customHeight="true" outlineLevel="0" collapsed="false">
      <c r="A14" s="13" t="s">
        <v>24</v>
      </c>
      <c r="B14" s="13"/>
      <c r="C14" s="13"/>
      <c r="D14" s="13"/>
    </row>
    <row r="15" customFormat="false" ht="15" hidden="false" customHeight="true" outlineLevel="0" collapsed="false">
      <c r="A15" s="13" t="s">
        <v>25</v>
      </c>
      <c r="B15" s="13"/>
      <c r="C15" s="13"/>
      <c r="D15" s="13"/>
    </row>
    <row r="16" customFormat="false" ht="15" hidden="false" customHeight="true" outlineLevel="0" collapsed="false">
      <c r="A16" s="13" t="s">
        <v>26</v>
      </c>
      <c r="B16" s="13"/>
      <c r="C16" s="13"/>
      <c r="D16" s="13"/>
    </row>
    <row r="17" customFormat="false" ht="15" hidden="false" customHeight="true" outlineLevel="0" collapsed="false">
      <c r="A17" s="13" t="s">
        <v>27</v>
      </c>
      <c r="B17" s="13"/>
      <c r="C17" s="13"/>
      <c r="D17" s="13"/>
    </row>
    <row r="18" customFormat="false" ht="15" hidden="false" customHeight="true" outlineLevel="0" collapsed="false">
      <c r="A18" s="13" t="s">
        <v>28</v>
      </c>
      <c r="B18" s="13"/>
      <c r="C18" s="13"/>
      <c r="D18" s="13"/>
    </row>
    <row r="19" customFormat="false" ht="15" hidden="false" customHeight="true" outlineLevel="0" collapsed="false">
      <c r="A19" s="13" t="s">
        <v>29</v>
      </c>
      <c r="B19" s="13"/>
      <c r="C19" s="13"/>
      <c r="D19" s="13"/>
    </row>
  </sheetData>
  <mergeCells count="11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22"/>
  </cols>
  <sheetData>
    <row r="1" customFormat="false" ht="33.75" hidden="false" customHeight="true" outlineLevel="0" collapsed="false">
      <c r="A1" s="14" t="s">
        <v>30</v>
      </c>
      <c r="B1" s="14"/>
      <c r="C1" s="14"/>
      <c r="D1" s="14"/>
      <c r="E1" s="14"/>
    </row>
    <row r="2" customFormat="false" ht="25.5" hidden="false" customHeight="true" outlineLevel="0" collapsed="false">
      <c r="A2" s="15" t="s">
        <v>31</v>
      </c>
      <c r="B2" s="15"/>
      <c r="C2" s="15"/>
      <c r="D2" s="15"/>
      <c r="E2" s="15"/>
    </row>
    <row r="3" customFormat="false" ht="15" hidden="false" customHeight="false" outlineLevel="0" collapsed="false">
      <c r="A3" s="16" t="s">
        <v>2</v>
      </c>
      <c r="B3" s="16" t="s">
        <v>32</v>
      </c>
      <c r="C3" s="16" t="s">
        <v>33</v>
      </c>
      <c r="D3" s="16" t="s">
        <v>34</v>
      </c>
      <c r="E3" s="16" t="s">
        <v>35</v>
      </c>
    </row>
    <row r="4" customFormat="false" ht="45" hidden="false" customHeight="true" outlineLevel="0" collapsed="false">
      <c r="A4" s="8" t="n">
        <v>1</v>
      </c>
      <c r="B4" s="17" t="n">
        <v>1</v>
      </c>
      <c r="C4" s="9" t="s">
        <v>36</v>
      </c>
      <c r="D4" s="10" t="s">
        <v>37</v>
      </c>
      <c r="E4" s="10" t="s">
        <v>38</v>
      </c>
    </row>
    <row r="5" customFormat="false" ht="45" hidden="false" customHeight="true" outlineLevel="0" collapsed="false">
      <c r="A5" s="4" t="n">
        <v>2</v>
      </c>
      <c r="B5" s="18" t="n">
        <v>2</v>
      </c>
      <c r="C5" s="5" t="s">
        <v>39</v>
      </c>
      <c r="D5" s="6" t="s">
        <v>40</v>
      </c>
      <c r="E5" s="6" t="s">
        <v>41</v>
      </c>
    </row>
    <row r="6" customFormat="false" ht="45" hidden="false" customHeight="true" outlineLevel="0" collapsed="false">
      <c r="A6" s="8" t="n">
        <v>3</v>
      </c>
      <c r="B6" s="19" t="n">
        <v>3</v>
      </c>
      <c r="C6" s="9" t="s">
        <v>42</v>
      </c>
      <c r="D6" s="10" t="s">
        <v>43</v>
      </c>
      <c r="E6" s="10" t="s">
        <v>44</v>
      </c>
    </row>
    <row r="7" customFormat="false" ht="45" hidden="false" customHeight="true" outlineLevel="0" collapsed="false">
      <c r="A7" s="4" t="n">
        <v>4</v>
      </c>
      <c r="B7" s="20" t="n">
        <v>4</v>
      </c>
      <c r="C7" s="5" t="s">
        <v>45</v>
      </c>
      <c r="D7" s="6" t="s">
        <v>46</v>
      </c>
      <c r="E7" s="6" t="s">
        <v>47</v>
      </c>
    </row>
    <row r="8" customFormat="false" ht="45" hidden="false" customHeight="true" outlineLevel="0" collapsed="false">
      <c r="A8" s="8" t="n">
        <v>5</v>
      </c>
      <c r="B8" s="21" t="n">
        <v>5</v>
      </c>
      <c r="C8" s="9" t="s">
        <v>48</v>
      </c>
      <c r="D8" s="10" t="s">
        <v>49</v>
      </c>
      <c r="E8" s="10" t="s">
        <v>50</v>
      </c>
    </row>
    <row r="9" customFormat="false" ht="45" hidden="false" customHeight="true" outlineLevel="0" collapsed="false">
      <c r="A9" s="4" t="n">
        <v>6</v>
      </c>
      <c r="B9" s="22" t="n">
        <v>6</v>
      </c>
      <c r="C9" s="5" t="s">
        <v>51</v>
      </c>
      <c r="D9" s="6" t="s">
        <v>52</v>
      </c>
      <c r="E9" s="6" t="s">
        <v>53</v>
      </c>
    </row>
    <row r="10" customFormat="false" ht="45" hidden="false" customHeight="true" outlineLevel="0" collapsed="false">
      <c r="A10" s="8" t="n">
        <v>7</v>
      </c>
      <c r="B10" s="23" t="n">
        <v>7</v>
      </c>
      <c r="C10" s="9" t="s">
        <v>54</v>
      </c>
      <c r="D10" s="10" t="s">
        <v>55</v>
      </c>
      <c r="E10" s="10" t="s">
        <v>56</v>
      </c>
    </row>
    <row r="11" customFormat="false" ht="45" hidden="false" customHeight="true" outlineLevel="0" collapsed="false">
      <c r="A11" s="4" t="n">
        <v>8</v>
      </c>
      <c r="B11" s="24" t="n">
        <v>8</v>
      </c>
      <c r="C11" s="5" t="s">
        <v>57</v>
      </c>
      <c r="D11" s="6" t="s">
        <v>58</v>
      </c>
      <c r="E11" s="6" t="s">
        <v>59</v>
      </c>
    </row>
    <row r="12" customFormat="false" ht="45" hidden="false" customHeight="true" outlineLevel="0" collapsed="false">
      <c r="A12" s="8" t="n">
        <v>9</v>
      </c>
      <c r="B12" s="25" t="n">
        <v>9</v>
      </c>
      <c r="C12" s="9" t="s">
        <v>60</v>
      </c>
      <c r="D12" s="10" t="s">
        <v>61</v>
      </c>
      <c r="E12" s="10" t="s">
        <v>62</v>
      </c>
    </row>
    <row r="13" customFormat="false" ht="45" hidden="false" customHeight="true" outlineLevel="0" collapsed="false">
      <c r="A13" s="4" t="n">
        <v>10</v>
      </c>
      <c r="B13" s="26" t="n">
        <v>10</v>
      </c>
      <c r="C13" s="5" t="s">
        <v>63</v>
      </c>
      <c r="D13" s="6" t="s">
        <v>64</v>
      </c>
      <c r="E13" s="6" t="s">
        <v>65</v>
      </c>
    </row>
    <row r="14" customFormat="false" ht="45" hidden="false" customHeight="true" outlineLevel="0" collapsed="false">
      <c r="A14" s="8" t="n">
        <v>11</v>
      </c>
      <c r="B14" s="27" t="n">
        <v>11</v>
      </c>
      <c r="C14" s="9" t="s">
        <v>66</v>
      </c>
      <c r="D14" s="10" t="s">
        <v>67</v>
      </c>
      <c r="E14" s="10" t="s">
        <v>68</v>
      </c>
    </row>
    <row r="15" customFormat="false" ht="45" hidden="false" customHeight="true" outlineLevel="0" collapsed="false">
      <c r="A15" s="4" t="n">
        <v>12</v>
      </c>
      <c r="B15" s="28" t="n">
        <v>12</v>
      </c>
      <c r="C15" s="5" t="s">
        <v>69</v>
      </c>
      <c r="D15" s="6" t="s">
        <v>70</v>
      </c>
      <c r="E15" s="6" t="s">
        <v>71</v>
      </c>
    </row>
    <row r="16" customFormat="false" ht="45" hidden="false" customHeight="true" outlineLevel="0" collapsed="false">
      <c r="A16" s="8" t="n">
        <v>13</v>
      </c>
      <c r="B16" s="29" t="n">
        <v>13</v>
      </c>
      <c r="C16" s="9" t="s">
        <v>72</v>
      </c>
      <c r="D16" s="10" t="s">
        <v>73</v>
      </c>
      <c r="E16" s="10" t="s">
        <v>74</v>
      </c>
    </row>
    <row r="17" customFormat="false" ht="45" hidden="false" customHeight="true" outlineLevel="0" collapsed="false">
      <c r="A17" s="4" t="n">
        <v>14</v>
      </c>
      <c r="B17" s="30" t="n">
        <v>14</v>
      </c>
      <c r="C17" s="5" t="s">
        <v>75</v>
      </c>
      <c r="D17" s="6" t="s">
        <v>76</v>
      </c>
      <c r="E17" s="6" t="s">
        <v>77</v>
      </c>
    </row>
    <row r="18" customFormat="false" ht="45" hidden="false" customHeight="true" outlineLevel="0" collapsed="false">
      <c r="A18" s="8" t="n">
        <v>15</v>
      </c>
      <c r="B18" s="31" t="n">
        <v>15</v>
      </c>
      <c r="C18" s="9" t="s">
        <v>78</v>
      </c>
      <c r="D18" s="10" t="s">
        <v>79</v>
      </c>
      <c r="E18" s="10" t="s">
        <v>80</v>
      </c>
    </row>
    <row r="19" customFormat="false" ht="45" hidden="false" customHeight="true" outlineLevel="0" collapsed="false">
      <c r="A19" s="4" t="n">
        <v>16</v>
      </c>
      <c r="B19" s="32" t="n">
        <v>16</v>
      </c>
      <c r="C19" s="5" t="s">
        <v>81</v>
      </c>
      <c r="D19" s="6" t="s">
        <v>82</v>
      </c>
      <c r="E19" s="6" t="s">
        <v>83</v>
      </c>
    </row>
    <row r="20" customFormat="false" ht="45" hidden="false" customHeight="true" outlineLevel="0" collapsed="false">
      <c r="A20" s="8" t="n">
        <v>17</v>
      </c>
      <c r="B20" s="33" t="n">
        <v>17</v>
      </c>
      <c r="C20" s="9" t="s">
        <v>84</v>
      </c>
      <c r="D20" s="10" t="s">
        <v>85</v>
      </c>
      <c r="E20" s="10" t="s">
        <v>86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T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8" min="2" style="0" width="8"/>
    <col collapsed="false" customWidth="true" hidden="false" outlineLevel="0" max="19" min="19" style="0" width="12"/>
    <col collapsed="false" customWidth="true" hidden="false" outlineLevel="0" max="20" min="20" style="0" width="14"/>
  </cols>
  <sheetData>
    <row r="1" customFormat="false" ht="33.75" hidden="false" customHeight="true" outlineLevel="0" collapsed="false">
      <c r="A1" s="34" t="s">
        <v>6</v>
      </c>
      <c r="B1" s="34"/>
      <c r="C1" s="34"/>
      <c r="D1" s="34"/>
      <c r="E1" s="34"/>
      <c r="F1" s="34"/>
      <c r="G1" s="34"/>
      <c r="H1" s="34"/>
      <c r="I1" s="34"/>
      <c r="J1" s="34"/>
    </row>
    <row r="2" customFormat="false" ht="25.5" hidden="false" customHeight="true" outlineLevel="0" collapsed="false">
      <c r="A2" s="35" t="s">
        <v>87</v>
      </c>
      <c r="B2" s="35"/>
      <c r="C2" s="35"/>
      <c r="D2" s="35"/>
      <c r="E2" s="35"/>
      <c r="F2" s="35"/>
      <c r="G2" s="35"/>
      <c r="H2" s="35"/>
      <c r="I2" s="35"/>
      <c r="J2" s="35"/>
    </row>
    <row r="3" customFormat="false" ht="68.65" hidden="false" customHeight="false" outlineLevel="0" collapsed="false">
      <c r="A3" s="36" t="s">
        <v>88</v>
      </c>
      <c r="B3" s="36" t="s">
        <v>89</v>
      </c>
      <c r="C3" s="36" t="s">
        <v>90</v>
      </c>
      <c r="D3" s="36" t="s">
        <v>91</v>
      </c>
      <c r="E3" s="36" t="s">
        <v>92</v>
      </c>
      <c r="F3" s="36" t="s">
        <v>93</v>
      </c>
      <c r="G3" s="36" t="s">
        <v>94</v>
      </c>
      <c r="H3" s="36" t="s">
        <v>95</v>
      </c>
      <c r="I3" s="36" t="s">
        <v>96</v>
      </c>
      <c r="J3" s="36" t="s">
        <v>97</v>
      </c>
    </row>
    <row r="4" customFormat="false" ht="15" hidden="false" customHeight="false" outlineLevel="0" collapsed="false">
      <c r="A4" s="8" t="n">
        <v>1</v>
      </c>
      <c r="B4" s="37"/>
      <c r="C4" s="37"/>
      <c r="D4" s="37"/>
      <c r="E4" s="37"/>
      <c r="F4" s="37"/>
      <c r="G4" s="38" t="n">
        <f aca="false">IF(D4&gt;0,F4/D4*100,0)</f>
        <v>0</v>
      </c>
      <c r="H4" s="39"/>
      <c r="I4" s="37"/>
      <c r="J4" s="37"/>
    </row>
    <row r="5" customFormat="false" ht="15" hidden="false" customHeight="false" outlineLevel="0" collapsed="false">
      <c r="A5" s="4" t="n">
        <v>2</v>
      </c>
      <c r="B5" s="40"/>
      <c r="C5" s="40"/>
      <c r="D5" s="40"/>
      <c r="E5" s="40"/>
      <c r="F5" s="40"/>
      <c r="G5" s="41" t="n">
        <f aca="false">IF(D5&gt;0,F5/D5*100,0)</f>
        <v>0</v>
      </c>
      <c r="H5" s="42"/>
      <c r="I5" s="40"/>
      <c r="J5" s="40"/>
    </row>
    <row r="6" customFormat="false" ht="15" hidden="false" customHeight="false" outlineLevel="0" collapsed="false">
      <c r="A6" s="8" t="n">
        <v>3</v>
      </c>
      <c r="B6" s="37"/>
      <c r="C6" s="37"/>
      <c r="D6" s="37"/>
      <c r="E6" s="37"/>
      <c r="F6" s="37"/>
      <c r="G6" s="38" t="n">
        <f aca="false">IF(D6&gt;0,F6/D6*100,0)</f>
        <v>0</v>
      </c>
      <c r="H6" s="39"/>
      <c r="I6" s="37"/>
      <c r="J6" s="37"/>
    </row>
    <row r="7" customFormat="false" ht="15" hidden="false" customHeight="false" outlineLevel="0" collapsed="false">
      <c r="A7" s="4" t="n">
        <v>4</v>
      </c>
      <c r="B7" s="40"/>
      <c r="C7" s="40"/>
      <c r="D7" s="40"/>
      <c r="E7" s="40"/>
      <c r="F7" s="40"/>
      <c r="G7" s="41" t="n">
        <f aca="false">IF(D7&gt;0,F7/D7*100,0)</f>
        <v>0</v>
      </c>
      <c r="H7" s="42"/>
      <c r="I7" s="40"/>
      <c r="J7" s="40"/>
    </row>
    <row r="8" customFormat="false" ht="15" hidden="false" customHeight="false" outlineLevel="0" collapsed="false">
      <c r="A8" s="8" t="n">
        <v>5</v>
      </c>
      <c r="B8" s="37"/>
      <c r="C8" s="37"/>
      <c r="D8" s="37"/>
      <c r="E8" s="37"/>
      <c r="F8" s="37"/>
      <c r="G8" s="38" t="n">
        <f aca="false">IF(D8&gt;0,F8/D8*100,0)</f>
        <v>0</v>
      </c>
      <c r="H8" s="39"/>
      <c r="I8" s="37"/>
      <c r="J8" s="37"/>
    </row>
    <row r="9" customFormat="false" ht="15" hidden="false" customHeight="false" outlineLevel="0" collapsed="false">
      <c r="A9" s="4" t="n">
        <v>6</v>
      </c>
      <c r="B9" s="40"/>
      <c r="C9" s="40"/>
      <c r="D9" s="40"/>
      <c r="E9" s="40"/>
      <c r="F9" s="40"/>
      <c r="G9" s="41" t="n">
        <f aca="false">IF(D9&gt;0,F9/D9*100,0)</f>
        <v>0</v>
      </c>
      <c r="H9" s="42"/>
      <c r="I9" s="40"/>
      <c r="J9" s="40"/>
    </row>
    <row r="10" customFormat="false" ht="15" hidden="false" customHeight="false" outlineLevel="0" collapsed="false">
      <c r="A10" s="8" t="n">
        <v>7</v>
      </c>
      <c r="B10" s="37"/>
      <c r="C10" s="37"/>
      <c r="D10" s="37"/>
      <c r="E10" s="37"/>
      <c r="F10" s="37"/>
      <c r="G10" s="38" t="n">
        <f aca="false">IF(D10&gt;0,F10/D10*100,0)</f>
        <v>0</v>
      </c>
      <c r="H10" s="39"/>
      <c r="I10" s="37"/>
      <c r="J10" s="37"/>
    </row>
    <row r="11" customFormat="false" ht="15" hidden="false" customHeight="false" outlineLevel="0" collapsed="false">
      <c r="A11" s="4" t="n">
        <v>8</v>
      </c>
      <c r="B11" s="40"/>
      <c r="C11" s="40"/>
      <c r="D11" s="40"/>
      <c r="E11" s="40"/>
      <c r="F11" s="40"/>
      <c r="G11" s="41" t="n">
        <f aca="false">IF(D11&gt;0,F11/D11*100,0)</f>
        <v>0</v>
      </c>
      <c r="H11" s="42"/>
      <c r="I11" s="40"/>
      <c r="J11" s="40"/>
    </row>
    <row r="12" customFormat="false" ht="15" hidden="false" customHeight="false" outlineLevel="0" collapsed="false">
      <c r="A12" s="8" t="n">
        <v>9</v>
      </c>
      <c r="B12" s="37"/>
      <c r="C12" s="37"/>
      <c r="D12" s="37"/>
      <c r="E12" s="37"/>
      <c r="F12" s="37"/>
      <c r="G12" s="38" t="n">
        <f aca="false">IF(D12&gt;0,F12/D12*100,0)</f>
        <v>0</v>
      </c>
      <c r="H12" s="39"/>
      <c r="I12" s="37"/>
      <c r="J12" s="37"/>
    </row>
    <row r="13" customFormat="false" ht="15" hidden="false" customHeight="false" outlineLevel="0" collapsed="false">
      <c r="A13" s="4" t="n">
        <v>10</v>
      </c>
      <c r="B13" s="40"/>
      <c r="C13" s="40"/>
      <c r="D13" s="40"/>
      <c r="E13" s="40"/>
      <c r="F13" s="40"/>
      <c r="G13" s="41" t="n">
        <f aca="false">IF(D13&gt;0,F13/D13*100,0)</f>
        <v>0</v>
      </c>
      <c r="H13" s="42"/>
      <c r="I13" s="40"/>
      <c r="J13" s="40"/>
    </row>
    <row r="14" customFormat="false" ht="15" hidden="false" customHeight="false" outlineLevel="0" collapsed="false">
      <c r="A14" s="8" t="n">
        <v>11</v>
      </c>
      <c r="B14" s="37"/>
      <c r="C14" s="37"/>
      <c r="D14" s="37"/>
      <c r="E14" s="37"/>
      <c r="F14" s="37"/>
      <c r="G14" s="38" t="n">
        <f aca="false">IF(D14&gt;0,F14/D14*100,0)</f>
        <v>0</v>
      </c>
      <c r="H14" s="39"/>
      <c r="I14" s="37"/>
      <c r="J14" s="37"/>
    </row>
    <row r="15" customFormat="false" ht="15" hidden="false" customHeight="false" outlineLevel="0" collapsed="false">
      <c r="A15" s="4" t="n">
        <v>12</v>
      </c>
      <c r="B15" s="40"/>
      <c r="C15" s="40"/>
      <c r="D15" s="40"/>
      <c r="E15" s="40"/>
      <c r="F15" s="40"/>
      <c r="G15" s="41" t="n">
        <f aca="false">IF(D15&gt;0,F15/D15*100,0)</f>
        <v>0</v>
      </c>
      <c r="H15" s="42"/>
      <c r="I15" s="40"/>
      <c r="J15" s="40"/>
    </row>
    <row r="16" customFormat="false" ht="15" hidden="false" customHeight="false" outlineLevel="0" collapsed="false">
      <c r="A16" s="8" t="n">
        <v>13</v>
      </c>
      <c r="B16" s="37"/>
      <c r="C16" s="37"/>
      <c r="D16" s="37"/>
      <c r="E16" s="37"/>
      <c r="F16" s="37"/>
      <c r="G16" s="38" t="n">
        <f aca="false">IF(D16&gt;0,F16/D16*100,0)</f>
        <v>0</v>
      </c>
      <c r="H16" s="39"/>
      <c r="I16" s="37"/>
      <c r="J16" s="37"/>
    </row>
    <row r="17" customFormat="false" ht="15" hidden="false" customHeight="false" outlineLevel="0" collapsed="false">
      <c r="A17" s="4" t="n">
        <v>14</v>
      </c>
      <c r="B17" s="40"/>
      <c r="C17" s="40"/>
      <c r="D17" s="40"/>
      <c r="E17" s="40"/>
      <c r="F17" s="40"/>
      <c r="G17" s="41" t="n">
        <f aca="false">IF(D17&gt;0,F17/D17*100,0)</f>
        <v>0</v>
      </c>
      <c r="H17" s="42"/>
      <c r="I17" s="40"/>
      <c r="J17" s="40"/>
    </row>
    <row r="18" customFormat="false" ht="15" hidden="false" customHeight="false" outlineLevel="0" collapsed="false">
      <c r="A18" s="8" t="n">
        <v>15</v>
      </c>
      <c r="B18" s="37"/>
      <c r="C18" s="37"/>
      <c r="D18" s="37"/>
      <c r="E18" s="37"/>
      <c r="F18" s="37"/>
      <c r="G18" s="38" t="n">
        <f aca="false">IF(D18&gt;0,F18/D18*100,0)</f>
        <v>0</v>
      </c>
      <c r="H18" s="39"/>
      <c r="I18" s="37"/>
      <c r="J18" s="37"/>
    </row>
    <row r="19" customFormat="false" ht="15" hidden="false" customHeight="false" outlineLevel="0" collapsed="false">
      <c r="A19" s="4" t="n">
        <v>16</v>
      </c>
      <c r="B19" s="40"/>
      <c r="C19" s="40"/>
      <c r="D19" s="40"/>
      <c r="E19" s="40"/>
      <c r="F19" s="40"/>
      <c r="G19" s="41" t="n">
        <f aca="false">IF(D19&gt;0,F19/D19*100,0)</f>
        <v>0</v>
      </c>
      <c r="H19" s="42"/>
      <c r="I19" s="40"/>
      <c r="J19" s="40"/>
    </row>
    <row r="20" customFormat="false" ht="15" hidden="false" customHeight="false" outlineLevel="0" collapsed="false">
      <c r="A20" s="8" t="n">
        <v>17</v>
      </c>
      <c r="B20" s="37"/>
      <c r="C20" s="37"/>
      <c r="D20" s="37"/>
      <c r="E20" s="37"/>
      <c r="F20" s="37"/>
      <c r="G20" s="38" t="n">
        <f aca="false">IF(D20&gt;0,F20/D20*100,0)</f>
        <v>0</v>
      </c>
      <c r="H20" s="39"/>
      <c r="I20" s="37"/>
      <c r="J20" s="37"/>
    </row>
    <row r="21" customFormat="false" ht="15" hidden="false" customHeight="false" outlineLevel="0" collapsed="false">
      <c r="A21" s="4" t="n">
        <v>18</v>
      </c>
      <c r="B21" s="40"/>
      <c r="C21" s="40"/>
      <c r="D21" s="40"/>
      <c r="E21" s="40"/>
      <c r="F21" s="40"/>
      <c r="G21" s="41" t="n">
        <f aca="false">IF(D21&gt;0,F21/D21*100,0)</f>
        <v>0</v>
      </c>
      <c r="H21" s="42"/>
      <c r="I21" s="40"/>
      <c r="J21" s="40"/>
    </row>
    <row r="22" customFormat="false" ht="15" hidden="false" customHeight="false" outlineLevel="0" collapsed="false">
      <c r="A22" s="8" t="n">
        <v>19</v>
      </c>
      <c r="B22" s="37"/>
      <c r="C22" s="37"/>
      <c r="D22" s="37"/>
      <c r="E22" s="37"/>
      <c r="F22" s="37"/>
      <c r="G22" s="38" t="n">
        <f aca="false">IF(D22&gt;0,F22/D22*100,0)</f>
        <v>0</v>
      </c>
      <c r="H22" s="39"/>
      <c r="I22" s="37"/>
      <c r="J22" s="37"/>
    </row>
    <row r="23" customFormat="false" ht="15" hidden="false" customHeight="false" outlineLevel="0" collapsed="false">
      <c r="A23" s="4" t="n">
        <v>20</v>
      </c>
      <c r="B23" s="40"/>
      <c r="C23" s="40"/>
      <c r="D23" s="40"/>
      <c r="E23" s="40"/>
      <c r="F23" s="40"/>
      <c r="G23" s="41" t="n">
        <f aca="false">IF(D23&gt;0,F23/D23*100,0)</f>
        <v>0</v>
      </c>
      <c r="H23" s="42"/>
      <c r="I23" s="40"/>
      <c r="J23" s="40"/>
    </row>
    <row r="24" customFormat="false" ht="15" hidden="false" customHeight="false" outlineLevel="0" collapsed="false">
      <c r="A24" s="8" t="n">
        <v>21</v>
      </c>
      <c r="B24" s="37"/>
      <c r="C24" s="37"/>
      <c r="D24" s="37"/>
      <c r="E24" s="37"/>
      <c r="F24" s="37"/>
      <c r="G24" s="38" t="n">
        <f aca="false">IF(D24&gt;0,F24/D24*100,0)</f>
        <v>0</v>
      </c>
      <c r="H24" s="39"/>
      <c r="I24" s="37"/>
      <c r="J24" s="37"/>
    </row>
    <row r="25" customFormat="false" ht="15" hidden="false" customHeight="false" outlineLevel="0" collapsed="false">
      <c r="A25" s="4" t="n">
        <v>22</v>
      </c>
      <c r="B25" s="40"/>
      <c r="C25" s="40"/>
      <c r="D25" s="40"/>
      <c r="E25" s="40"/>
      <c r="F25" s="40"/>
      <c r="G25" s="41" t="n">
        <f aca="false">IF(D25&gt;0,F25/D25*100,0)</f>
        <v>0</v>
      </c>
      <c r="H25" s="42"/>
      <c r="I25" s="40"/>
      <c r="J25" s="40"/>
    </row>
    <row r="26" customFormat="false" ht="15" hidden="false" customHeight="false" outlineLevel="0" collapsed="false">
      <c r="A26" s="8" t="n">
        <v>23</v>
      </c>
      <c r="B26" s="37"/>
      <c r="C26" s="37"/>
      <c r="D26" s="37"/>
      <c r="E26" s="37"/>
      <c r="F26" s="37"/>
      <c r="G26" s="38" t="n">
        <f aca="false">IF(D26&gt;0,F26/D26*100,0)</f>
        <v>0</v>
      </c>
      <c r="H26" s="39"/>
      <c r="I26" s="37"/>
      <c r="J26" s="37"/>
    </row>
    <row r="27" customFormat="false" ht="15" hidden="false" customHeight="false" outlineLevel="0" collapsed="false">
      <c r="A27" s="4" t="n">
        <v>24</v>
      </c>
      <c r="B27" s="40"/>
      <c r="C27" s="40"/>
      <c r="D27" s="40"/>
      <c r="E27" s="40"/>
      <c r="F27" s="40"/>
      <c r="G27" s="41" t="n">
        <f aca="false">IF(D27&gt;0,F27/D27*100,0)</f>
        <v>0</v>
      </c>
      <c r="H27" s="42"/>
      <c r="I27" s="40"/>
      <c r="J27" s="40"/>
    </row>
    <row r="28" customFormat="false" ht="15" hidden="false" customHeight="false" outlineLevel="0" collapsed="false">
      <c r="A28" s="8" t="n">
        <v>25</v>
      </c>
      <c r="B28" s="37"/>
      <c r="C28" s="37"/>
      <c r="D28" s="37"/>
      <c r="E28" s="37"/>
      <c r="F28" s="37"/>
      <c r="G28" s="38" t="n">
        <f aca="false">IF(D28&gt;0,F28/D28*100,0)</f>
        <v>0</v>
      </c>
      <c r="H28" s="39"/>
      <c r="I28" s="37"/>
      <c r="J28" s="37"/>
    </row>
    <row r="29" customFormat="false" ht="15" hidden="false" customHeight="false" outlineLevel="0" collapsed="false">
      <c r="A29" s="4" t="n">
        <v>26</v>
      </c>
      <c r="B29" s="40"/>
      <c r="C29" s="40"/>
      <c r="D29" s="40"/>
      <c r="E29" s="40"/>
      <c r="F29" s="40"/>
      <c r="G29" s="41" t="n">
        <f aca="false">IF(D29&gt;0,F29/D29*100,0)</f>
        <v>0</v>
      </c>
      <c r="H29" s="42"/>
      <c r="I29" s="40"/>
      <c r="J29" s="40"/>
    </row>
    <row r="30" customFormat="false" ht="15" hidden="false" customHeight="false" outlineLevel="0" collapsed="false">
      <c r="A30" s="8" t="n">
        <v>27</v>
      </c>
      <c r="B30" s="37"/>
      <c r="C30" s="37"/>
      <c r="D30" s="37"/>
      <c r="E30" s="37"/>
      <c r="F30" s="37"/>
      <c r="G30" s="38" t="n">
        <f aca="false">IF(D30&gt;0,F30/D30*100,0)</f>
        <v>0</v>
      </c>
      <c r="H30" s="39"/>
      <c r="I30" s="37"/>
      <c r="J30" s="37"/>
    </row>
    <row r="31" customFormat="false" ht="15" hidden="false" customHeight="false" outlineLevel="0" collapsed="false">
      <c r="A31" s="4" t="n">
        <v>28</v>
      </c>
      <c r="B31" s="40"/>
      <c r="C31" s="40"/>
      <c r="D31" s="40"/>
      <c r="E31" s="40"/>
      <c r="F31" s="40"/>
      <c r="G31" s="41" t="n">
        <f aca="false">IF(D31&gt;0,F31/D31*100,0)</f>
        <v>0</v>
      </c>
      <c r="H31" s="42"/>
      <c r="I31" s="40"/>
      <c r="J31" s="40"/>
    </row>
    <row r="32" customFormat="false" ht="15" hidden="false" customHeight="false" outlineLevel="0" collapsed="false">
      <c r="A32" s="8" t="n">
        <v>29</v>
      </c>
      <c r="B32" s="37"/>
      <c r="C32" s="37"/>
      <c r="D32" s="37"/>
      <c r="E32" s="37"/>
      <c r="F32" s="37"/>
      <c r="G32" s="38" t="n">
        <f aca="false">IF(D32&gt;0,F32/D32*100,0)</f>
        <v>0</v>
      </c>
      <c r="H32" s="39"/>
      <c r="I32" s="37"/>
      <c r="J32" s="37"/>
    </row>
    <row r="33" customFormat="false" ht="15" hidden="false" customHeight="false" outlineLevel="0" collapsed="false">
      <c r="A33" s="4" t="n">
        <v>30</v>
      </c>
      <c r="B33" s="40"/>
      <c r="C33" s="40"/>
      <c r="D33" s="40"/>
      <c r="E33" s="40"/>
      <c r="F33" s="40"/>
      <c r="G33" s="41" t="n">
        <f aca="false">IF(D33&gt;0,F33/D33*100,0)</f>
        <v>0</v>
      </c>
      <c r="H33" s="42"/>
      <c r="I33" s="40"/>
      <c r="J33" s="40"/>
    </row>
    <row r="35" customFormat="false" ht="25.5" hidden="false" customHeight="true" outlineLevel="0" collapsed="false">
      <c r="A35" s="43" t="s">
        <v>98</v>
      </c>
      <c r="B35" s="43"/>
      <c r="C35" s="43"/>
      <c r="D35" s="43"/>
      <c r="E35" s="43"/>
      <c r="F35" s="43"/>
      <c r="G35" s="43"/>
      <c r="H35" s="43"/>
      <c r="I35" s="43"/>
      <c r="J35" s="43"/>
    </row>
    <row r="36" customFormat="false" ht="46.25" hidden="false" customHeight="false" outlineLevel="0" collapsed="false">
      <c r="A36" s="44" t="s">
        <v>99</v>
      </c>
      <c r="B36" s="45" t="s">
        <v>100</v>
      </c>
      <c r="C36" s="46" t="s">
        <v>101</v>
      </c>
      <c r="D36" s="47" t="s">
        <v>102</v>
      </c>
      <c r="E36" s="48" t="s">
        <v>103</v>
      </c>
      <c r="F36" s="49" t="s">
        <v>104</v>
      </c>
      <c r="G36" s="50" t="s">
        <v>105</v>
      </c>
      <c r="H36" s="51" t="s">
        <v>106</v>
      </c>
      <c r="I36" s="52" t="s">
        <v>107</v>
      </c>
      <c r="J36" s="53" t="s">
        <v>108</v>
      </c>
      <c r="K36" s="54" t="s">
        <v>109</v>
      </c>
      <c r="L36" s="55" t="s">
        <v>110</v>
      </c>
      <c r="M36" s="56" t="s">
        <v>111</v>
      </c>
      <c r="N36" s="57" t="s">
        <v>112</v>
      </c>
      <c r="O36" s="58" t="s">
        <v>113</v>
      </c>
      <c r="P36" s="59" t="s">
        <v>114</v>
      </c>
      <c r="Q36" s="60" t="s">
        <v>115</v>
      </c>
      <c r="R36" s="61" t="s">
        <v>116</v>
      </c>
      <c r="S36" s="62" t="s">
        <v>117</v>
      </c>
      <c r="T36" s="62" t="s">
        <v>118</v>
      </c>
    </row>
    <row r="37" customFormat="false" ht="15" hidden="false" customHeight="false" outlineLevel="0" collapsed="false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7" t="n">
        <f aca="false">SUM(B37:R37)</f>
        <v>0</v>
      </c>
      <c r="T37" s="7" t="n">
        <f aca="false">COUNTIF(B37:R37,"&gt;0")</f>
        <v>0</v>
      </c>
    </row>
    <row r="38" customFormat="false" ht="15" hidden="false" customHeight="fals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11" t="n">
        <f aca="false">SUM(B38:R38)</f>
        <v>0</v>
      </c>
      <c r="T38" s="11" t="n">
        <f aca="false">COUNTIF(B38:R38,"&gt;0")</f>
        <v>0</v>
      </c>
    </row>
    <row r="39" customFormat="false" ht="15" hidden="false" customHeight="false" outlineLevel="0" collapsed="false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7" t="n">
        <f aca="false">SUM(B39:R39)</f>
        <v>0</v>
      </c>
      <c r="T39" s="7" t="n">
        <f aca="false">COUNTIF(B39:R39,"&gt;0")</f>
        <v>0</v>
      </c>
    </row>
    <row r="40" customFormat="false" ht="15" hidden="false" customHeight="fals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11" t="n">
        <f aca="false">SUM(B40:R40)</f>
        <v>0</v>
      </c>
      <c r="T40" s="11" t="n">
        <f aca="false">COUNTIF(B40:R40,"&gt;0")</f>
        <v>0</v>
      </c>
    </row>
    <row r="41" customFormat="false" ht="15" hidden="false" customHeight="false" outlineLevel="0" collapsed="false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7" t="n">
        <f aca="false">SUM(B41:R41)</f>
        <v>0</v>
      </c>
      <c r="T41" s="7" t="n">
        <f aca="false">COUNTIF(B41:R41,"&gt;0")</f>
        <v>0</v>
      </c>
    </row>
    <row r="42" customFormat="false" ht="15" hidden="false" customHeight="fals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11" t="n">
        <f aca="false">SUM(B42:R42)</f>
        <v>0</v>
      </c>
      <c r="T42" s="11" t="n">
        <f aca="false">COUNTIF(B42:R42,"&gt;0")</f>
        <v>0</v>
      </c>
    </row>
    <row r="43" customFormat="false" ht="15" hidden="false" customHeight="false" outlineLevel="0" collapsed="false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7" t="n">
        <f aca="false">SUM(B43:R43)</f>
        <v>0</v>
      </c>
      <c r="T43" s="7" t="n">
        <f aca="false">COUNTIF(B43:R43,"&gt;0")</f>
        <v>0</v>
      </c>
    </row>
    <row r="44" customFormat="false" ht="15" hidden="false" customHeight="fals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11" t="n">
        <f aca="false">SUM(B44:R44)</f>
        <v>0</v>
      </c>
      <c r="T44" s="11" t="n">
        <f aca="false">COUNTIF(B44:R44,"&gt;0")</f>
        <v>0</v>
      </c>
    </row>
    <row r="45" customFormat="false" ht="15" hidden="false" customHeight="false" outlineLevel="0" collapsed="false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7" t="n">
        <f aca="false">SUM(B45:R45)</f>
        <v>0</v>
      </c>
      <c r="T45" s="7" t="n">
        <f aca="false">COUNTIF(B45:R45,"&gt;0")</f>
        <v>0</v>
      </c>
    </row>
    <row r="46" customFormat="false" ht="15" hidden="false" customHeight="fals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11" t="n">
        <f aca="false">SUM(B46:R46)</f>
        <v>0</v>
      </c>
      <c r="T46" s="11" t="n">
        <f aca="false">COUNTIF(B46:R46,"&gt;0")</f>
        <v>0</v>
      </c>
    </row>
    <row r="47" customFormat="false" ht="15" hidden="false" customHeight="false" outlineLevel="0" collapsed="false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7" t="n">
        <f aca="false">SUM(B47:R47)</f>
        <v>0</v>
      </c>
      <c r="T47" s="7" t="n">
        <f aca="false">COUNTIF(B47:R47,"&gt;0")</f>
        <v>0</v>
      </c>
    </row>
    <row r="48" customFormat="false" ht="15" hidden="false" customHeight="fals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11" t="n">
        <f aca="false">SUM(B48:R48)</f>
        <v>0</v>
      </c>
      <c r="T48" s="11" t="n">
        <f aca="false">COUNTIF(B48:R48,"&gt;0")</f>
        <v>0</v>
      </c>
    </row>
    <row r="49" customFormat="false" ht="15" hidden="false" customHeight="false" outlineLevel="0" collapsed="false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7" t="n">
        <f aca="false">SUM(B49:R49)</f>
        <v>0</v>
      </c>
      <c r="T49" s="7" t="n">
        <f aca="false">COUNTIF(B49:R49,"&gt;0")</f>
        <v>0</v>
      </c>
    </row>
    <row r="50" customFormat="false" ht="15" hidden="false" customHeight="fals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11" t="n">
        <f aca="false">SUM(B50:R50)</f>
        <v>0</v>
      </c>
      <c r="T50" s="11" t="n">
        <f aca="false">COUNTIF(B50:R50,"&gt;0")</f>
        <v>0</v>
      </c>
    </row>
    <row r="51" customFormat="false" ht="15" hidden="false" customHeight="false" outlineLevel="0" collapsed="false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7" t="n">
        <f aca="false">SUM(B51:R51)</f>
        <v>0</v>
      </c>
      <c r="T51" s="7" t="n">
        <f aca="false">COUNTIF(B51:R51,"&gt;0")</f>
        <v>0</v>
      </c>
    </row>
    <row r="52" customFormat="false" ht="15" hidden="false" customHeight="fals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11" t="n">
        <f aca="false">SUM(B52:R52)</f>
        <v>0</v>
      </c>
      <c r="T52" s="11" t="n">
        <f aca="false">COUNTIF(B52:R52,"&gt;0")</f>
        <v>0</v>
      </c>
    </row>
    <row r="53" customFormat="false" ht="15" hidden="false" customHeight="false" outlineLevel="0" collapsed="false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7" t="n">
        <f aca="false">SUM(B53:R53)</f>
        <v>0</v>
      </c>
      <c r="T53" s="7" t="n">
        <f aca="false">COUNTIF(B53:R53,"&gt;0")</f>
        <v>0</v>
      </c>
    </row>
    <row r="54" customFormat="false" ht="15" hidden="false" customHeight="fals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11" t="n">
        <f aca="false">SUM(B54:R54)</f>
        <v>0</v>
      </c>
      <c r="T54" s="11" t="n">
        <f aca="false">COUNTIF(B54:R54,"&gt;0")</f>
        <v>0</v>
      </c>
    </row>
    <row r="55" customFormat="false" ht="15" hidden="false" customHeight="false" outlineLevel="0" collapsed="false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7" t="n">
        <f aca="false">SUM(B55:R55)</f>
        <v>0</v>
      </c>
      <c r="T55" s="7" t="n">
        <f aca="false">COUNTIF(B55:R55,"&gt;0")</f>
        <v>0</v>
      </c>
    </row>
    <row r="56" customFormat="false" ht="15" hidden="false" customHeight="fals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11" t="n">
        <f aca="false">SUM(B56:R56)</f>
        <v>0</v>
      </c>
      <c r="T56" s="11" t="n">
        <f aca="false">COUNTIF(B56:R56,"&gt;0")</f>
        <v>0</v>
      </c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6" min="5" style="0" width="1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63" t="s">
        <v>119</v>
      </c>
      <c r="B1" s="63"/>
      <c r="C1" s="63"/>
      <c r="D1" s="63"/>
      <c r="E1" s="63"/>
      <c r="F1" s="63"/>
      <c r="G1" s="63"/>
      <c r="H1" s="63"/>
      <c r="I1" s="63"/>
    </row>
    <row r="2" customFormat="false" ht="25.5" hidden="false" customHeight="true" outlineLevel="0" collapsed="false">
      <c r="A2" s="64" t="s">
        <v>120</v>
      </c>
      <c r="B2" s="64"/>
      <c r="C2" s="64"/>
      <c r="D2" s="64"/>
      <c r="E2" s="64"/>
      <c r="F2" s="64"/>
      <c r="G2" s="64"/>
      <c r="H2" s="64"/>
      <c r="I2" s="64"/>
    </row>
    <row r="3" customFormat="false" ht="35.05" hidden="false" customHeight="false" outlineLevel="0" collapsed="false">
      <c r="A3" s="65" t="s">
        <v>88</v>
      </c>
      <c r="B3" s="65" t="s">
        <v>121</v>
      </c>
      <c r="C3" s="65" t="s">
        <v>122</v>
      </c>
      <c r="D3" s="65" t="s">
        <v>123</v>
      </c>
      <c r="E3" s="65" t="s">
        <v>124</v>
      </c>
      <c r="F3" s="65" t="s">
        <v>125</v>
      </c>
      <c r="G3" s="65" t="s">
        <v>126</v>
      </c>
      <c r="H3" s="65" t="s">
        <v>127</v>
      </c>
      <c r="I3" s="65" t="s">
        <v>89</v>
      </c>
    </row>
    <row r="4" customFormat="false" ht="36" hidden="false" customHeight="true" outlineLevel="0" collapsed="false">
      <c r="A4" s="8" t="n">
        <v>1</v>
      </c>
      <c r="B4" s="37"/>
      <c r="C4" s="37"/>
      <c r="D4" s="37"/>
      <c r="E4" s="37"/>
      <c r="F4" s="37"/>
      <c r="G4" s="37"/>
      <c r="H4" s="37"/>
      <c r="I4" s="37"/>
    </row>
    <row r="5" customFormat="false" ht="36" hidden="false" customHeight="true" outlineLevel="0" collapsed="false">
      <c r="A5" s="4" t="n">
        <v>2</v>
      </c>
      <c r="B5" s="40"/>
      <c r="C5" s="40"/>
      <c r="D5" s="40"/>
      <c r="E5" s="40"/>
      <c r="F5" s="40"/>
      <c r="G5" s="40"/>
      <c r="H5" s="40"/>
      <c r="I5" s="40"/>
    </row>
    <row r="6" customFormat="false" ht="36" hidden="false" customHeight="true" outlineLevel="0" collapsed="false">
      <c r="A6" s="8" t="n">
        <v>3</v>
      </c>
      <c r="B6" s="37"/>
      <c r="C6" s="37"/>
      <c r="D6" s="37"/>
      <c r="E6" s="37"/>
      <c r="F6" s="37"/>
      <c r="G6" s="37"/>
      <c r="H6" s="37"/>
      <c r="I6" s="37"/>
    </row>
    <row r="7" customFormat="false" ht="36" hidden="false" customHeight="true" outlineLevel="0" collapsed="false">
      <c r="A7" s="4" t="n">
        <v>4</v>
      </c>
      <c r="B7" s="40"/>
      <c r="C7" s="40"/>
      <c r="D7" s="40"/>
      <c r="E7" s="40"/>
      <c r="F7" s="40"/>
      <c r="G7" s="40"/>
      <c r="H7" s="40"/>
      <c r="I7" s="40"/>
    </row>
    <row r="8" customFormat="false" ht="36" hidden="false" customHeight="true" outlineLevel="0" collapsed="false">
      <c r="A8" s="8" t="n">
        <v>5</v>
      </c>
      <c r="B8" s="37"/>
      <c r="C8" s="37"/>
      <c r="D8" s="37"/>
      <c r="E8" s="37"/>
      <c r="F8" s="37"/>
      <c r="G8" s="37"/>
      <c r="H8" s="37"/>
      <c r="I8" s="37"/>
    </row>
    <row r="9" customFormat="false" ht="36" hidden="false" customHeight="true" outlineLevel="0" collapsed="false">
      <c r="A9" s="4" t="n">
        <v>6</v>
      </c>
      <c r="B9" s="40"/>
      <c r="C9" s="40"/>
      <c r="D9" s="40"/>
      <c r="E9" s="40"/>
      <c r="F9" s="40"/>
      <c r="G9" s="40"/>
      <c r="H9" s="40"/>
      <c r="I9" s="40"/>
    </row>
    <row r="10" customFormat="false" ht="36" hidden="false" customHeight="true" outlineLevel="0" collapsed="false">
      <c r="A10" s="8" t="n">
        <v>7</v>
      </c>
      <c r="B10" s="37"/>
      <c r="C10" s="37"/>
      <c r="D10" s="37"/>
      <c r="E10" s="37"/>
      <c r="F10" s="37"/>
      <c r="G10" s="37"/>
      <c r="H10" s="37"/>
      <c r="I10" s="37"/>
    </row>
    <row r="11" customFormat="false" ht="36" hidden="false" customHeight="true" outlineLevel="0" collapsed="false">
      <c r="A11" s="4" t="n">
        <v>8</v>
      </c>
      <c r="B11" s="40"/>
      <c r="C11" s="40"/>
      <c r="D11" s="40"/>
      <c r="E11" s="40"/>
      <c r="F11" s="40"/>
      <c r="G11" s="40"/>
      <c r="H11" s="40"/>
      <c r="I11" s="40"/>
    </row>
    <row r="12" customFormat="false" ht="36" hidden="false" customHeight="true" outlineLevel="0" collapsed="false">
      <c r="A12" s="8" t="n">
        <v>9</v>
      </c>
      <c r="B12" s="37"/>
      <c r="C12" s="37"/>
      <c r="D12" s="37"/>
      <c r="E12" s="37"/>
      <c r="F12" s="37"/>
      <c r="G12" s="37"/>
      <c r="H12" s="37"/>
      <c r="I12" s="37"/>
    </row>
    <row r="13" customFormat="false" ht="36" hidden="false" customHeight="true" outlineLevel="0" collapsed="false">
      <c r="A13" s="4" t="n">
        <v>10</v>
      </c>
      <c r="B13" s="40"/>
      <c r="C13" s="40"/>
      <c r="D13" s="40"/>
      <c r="E13" s="40"/>
      <c r="F13" s="40"/>
      <c r="G13" s="40"/>
      <c r="H13" s="40"/>
      <c r="I13" s="40"/>
    </row>
    <row r="14" customFormat="false" ht="36" hidden="false" customHeight="true" outlineLevel="0" collapsed="false">
      <c r="A14" s="8" t="n">
        <v>11</v>
      </c>
      <c r="B14" s="37"/>
      <c r="C14" s="37"/>
      <c r="D14" s="37"/>
      <c r="E14" s="37"/>
      <c r="F14" s="37"/>
      <c r="G14" s="37"/>
      <c r="H14" s="37"/>
      <c r="I14" s="37"/>
    </row>
    <row r="15" customFormat="false" ht="36" hidden="false" customHeight="true" outlineLevel="0" collapsed="false">
      <c r="A15" s="4" t="n">
        <v>12</v>
      </c>
      <c r="B15" s="40"/>
      <c r="C15" s="40"/>
      <c r="D15" s="40"/>
      <c r="E15" s="40"/>
      <c r="F15" s="40"/>
      <c r="G15" s="40"/>
      <c r="H15" s="40"/>
      <c r="I15" s="40"/>
    </row>
    <row r="16" customFormat="false" ht="36" hidden="false" customHeight="true" outlineLevel="0" collapsed="false">
      <c r="A16" s="8" t="n">
        <v>13</v>
      </c>
      <c r="B16" s="37"/>
      <c r="C16" s="37"/>
      <c r="D16" s="37"/>
      <c r="E16" s="37"/>
      <c r="F16" s="37"/>
      <c r="G16" s="37"/>
      <c r="H16" s="37"/>
      <c r="I16" s="37"/>
    </row>
    <row r="17" customFormat="false" ht="36" hidden="false" customHeight="true" outlineLevel="0" collapsed="false">
      <c r="A17" s="4" t="n">
        <v>14</v>
      </c>
      <c r="B17" s="40"/>
      <c r="C17" s="40"/>
      <c r="D17" s="40"/>
      <c r="E17" s="40"/>
      <c r="F17" s="40"/>
      <c r="G17" s="40"/>
      <c r="H17" s="40"/>
      <c r="I17" s="40"/>
    </row>
    <row r="18" customFormat="false" ht="36" hidden="false" customHeight="true" outlineLevel="0" collapsed="false">
      <c r="A18" s="8" t="n">
        <v>15</v>
      </c>
      <c r="B18" s="37"/>
      <c r="C18" s="37"/>
      <c r="D18" s="37"/>
      <c r="E18" s="37"/>
      <c r="F18" s="37"/>
      <c r="G18" s="37"/>
      <c r="H18" s="37"/>
      <c r="I18" s="37"/>
    </row>
    <row r="19" customFormat="false" ht="36" hidden="false" customHeight="true" outlineLevel="0" collapsed="false">
      <c r="A19" s="4" t="n">
        <v>16</v>
      </c>
      <c r="B19" s="40"/>
      <c r="C19" s="40"/>
      <c r="D19" s="40"/>
      <c r="E19" s="40"/>
      <c r="F19" s="40"/>
      <c r="G19" s="40"/>
      <c r="H19" s="40"/>
      <c r="I19" s="40"/>
    </row>
    <row r="20" customFormat="false" ht="36" hidden="false" customHeight="true" outlineLevel="0" collapsed="false">
      <c r="A20" s="8" t="n">
        <v>17</v>
      </c>
      <c r="B20" s="37"/>
      <c r="C20" s="37"/>
      <c r="D20" s="37"/>
      <c r="E20" s="37"/>
      <c r="F20" s="37"/>
      <c r="G20" s="37"/>
      <c r="H20" s="37"/>
      <c r="I20" s="37"/>
    </row>
    <row r="21" customFormat="false" ht="36" hidden="false" customHeight="true" outlineLevel="0" collapsed="false">
      <c r="A21" s="4" t="n">
        <v>18</v>
      </c>
      <c r="B21" s="40"/>
      <c r="C21" s="40"/>
      <c r="D21" s="40"/>
      <c r="E21" s="40"/>
      <c r="F21" s="40"/>
      <c r="G21" s="40"/>
      <c r="H21" s="40"/>
      <c r="I21" s="40"/>
    </row>
    <row r="22" customFormat="false" ht="36" hidden="false" customHeight="true" outlineLevel="0" collapsed="false">
      <c r="A22" s="8" t="n">
        <v>19</v>
      </c>
      <c r="B22" s="37"/>
      <c r="C22" s="37"/>
      <c r="D22" s="37"/>
      <c r="E22" s="37"/>
      <c r="F22" s="37"/>
      <c r="G22" s="37"/>
      <c r="H22" s="37"/>
      <c r="I22" s="37"/>
    </row>
    <row r="23" customFormat="false" ht="36" hidden="false" customHeight="true" outlineLevel="0" collapsed="false">
      <c r="A23" s="4" t="n">
        <v>20</v>
      </c>
      <c r="B23" s="40"/>
      <c r="C23" s="40"/>
      <c r="D23" s="40"/>
      <c r="E23" s="40"/>
      <c r="F23" s="40"/>
      <c r="G23" s="40"/>
      <c r="H23" s="40"/>
      <c r="I23" s="40"/>
    </row>
    <row r="24" customFormat="false" ht="36" hidden="false" customHeight="true" outlineLevel="0" collapsed="false">
      <c r="A24" s="8" t="n">
        <v>21</v>
      </c>
      <c r="B24" s="37"/>
      <c r="C24" s="37"/>
      <c r="D24" s="37"/>
      <c r="E24" s="37"/>
      <c r="F24" s="37"/>
      <c r="G24" s="37"/>
      <c r="H24" s="37"/>
      <c r="I24" s="37"/>
    </row>
    <row r="25" customFormat="false" ht="36" hidden="false" customHeight="true" outlineLevel="0" collapsed="false">
      <c r="A25" s="4" t="n">
        <v>22</v>
      </c>
      <c r="B25" s="40"/>
      <c r="C25" s="40"/>
      <c r="D25" s="40"/>
      <c r="E25" s="40"/>
      <c r="F25" s="40"/>
      <c r="G25" s="40"/>
      <c r="H25" s="40"/>
      <c r="I25" s="40"/>
    </row>
    <row r="26" customFormat="false" ht="36" hidden="false" customHeight="true" outlineLevel="0" collapsed="false">
      <c r="A26" s="8" t="n">
        <v>23</v>
      </c>
      <c r="B26" s="37"/>
      <c r="C26" s="37"/>
      <c r="D26" s="37"/>
      <c r="E26" s="37"/>
      <c r="F26" s="37"/>
      <c r="G26" s="37"/>
      <c r="H26" s="37"/>
      <c r="I26" s="37"/>
    </row>
    <row r="27" customFormat="false" ht="36" hidden="false" customHeight="true" outlineLevel="0" collapsed="false">
      <c r="A27" s="4" t="n">
        <v>24</v>
      </c>
      <c r="B27" s="40"/>
      <c r="C27" s="40"/>
      <c r="D27" s="40"/>
      <c r="E27" s="40"/>
      <c r="F27" s="40"/>
      <c r="G27" s="40"/>
      <c r="H27" s="40"/>
      <c r="I27" s="40"/>
    </row>
    <row r="28" customFormat="false" ht="36" hidden="false" customHeight="true" outlineLevel="0" collapsed="false">
      <c r="A28" s="8" t="n">
        <v>25</v>
      </c>
      <c r="B28" s="37"/>
      <c r="C28" s="37"/>
      <c r="D28" s="37"/>
      <c r="E28" s="37"/>
      <c r="F28" s="37"/>
      <c r="G28" s="37"/>
      <c r="H28" s="37"/>
      <c r="I28" s="37"/>
    </row>
    <row r="29" customFormat="false" ht="36" hidden="false" customHeight="true" outlineLevel="0" collapsed="false">
      <c r="A29" s="4" t="n">
        <v>26</v>
      </c>
      <c r="B29" s="40"/>
      <c r="C29" s="40"/>
      <c r="D29" s="40"/>
      <c r="E29" s="40"/>
      <c r="F29" s="40"/>
      <c r="G29" s="40"/>
      <c r="H29" s="40"/>
      <c r="I29" s="40"/>
    </row>
    <row r="30" customFormat="false" ht="36" hidden="false" customHeight="true" outlineLevel="0" collapsed="false">
      <c r="A30" s="8" t="n">
        <v>27</v>
      </c>
      <c r="B30" s="37"/>
      <c r="C30" s="37"/>
      <c r="D30" s="37"/>
      <c r="E30" s="37"/>
      <c r="F30" s="37"/>
      <c r="G30" s="37"/>
      <c r="H30" s="37"/>
      <c r="I30" s="37"/>
    </row>
    <row r="31" customFormat="false" ht="36" hidden="false" customHeight="true" outlineLevel="0" collapsed="false">
      <c r="A31" s="4" t="n">
        <v>28</v>
      </c>
      <c r="B31" s="40"/>
      <c r="C31" s="40"/>
      <c r="D31" s="40"/>
      <c r="E31" s="40"/>
      <c r="F31" s="40"/>
      <c r="G31" s="40"/>
      <c r="H31" s="40"/>
      <c r="I31" s="40"/>
    </row>
    <row r="32" customFormat="false" ht="36" hidden="false" customHeight="true" outlineLevel="0" collapsed="false">
      <c r="A32" s="8" t="n">
        <v>29</v>
      </c>
      <c r="B32" s="37"/>
      <c r="C32" s="37"/>
      <c r="D32" s="37"/>
      <c r="E32" s="37"/>
      <c r="F32" s="37"/>
      <c r="G32" s="37"/>
      <c r="H32" s="37"/>
      <c r="I32" s="37"/>
    </row>
    <row r="33" customFormat="false" ht="36" hidden="false" customHeight="true" outlineLevel="0" collapsed="false">
      <c r="A33" s="4" t="n">
        <v>30</v>
      </c>
      <c r="B33" s="40"/>
      <c r="C33" s="40"/>
      <c r="D33" s="40"/>
      <c r="E33" s="40"/>
      <c r="F33" s="40"/>
      <c r="G33" s="40"/>
      <c r="H33" s="40"/>
      <c r="I33" s="40"/>
    </row>
    <row r="34" customFormat="false" ht="36" hidden="false" customHeight="true" outlineLevel="0" collapsed="false">
      <c r="A34" s="8" t="n">
        <v>31</v>
      </c>
      <c r="B34" s="37"/>
      <c r="C34" s="37"/>
      <c r="D34" s="37"/>
      <c r="E34" s="37"/>
      <c r="F34" s="37"/>
      <c r="G34" s="37"/>
      <c r="H34" s="37"/>
      <c r="I34" s="37"/>
    </row>
    <row r="35" customFormat="false" ht="36" hidden="false" customHeight="true" outlineLevel="0" collapsed="false">
      <c r="A35" s="4" t="n">
        <v>32</v>
      </c>
      <c r="B35" s="40"/>
      <c r="C35" s="40"/>
      <c r="D35" s="40"/>
      <c r="E35" s="40"/>
      <c r="F35" s="40"/>
      <c r="G35" s="40"/>
      <c r="H35" s="40"/>
      <c r="I35" s="40"/>
    </row>
    <row r="36" customFormat="false" ht="36" hidden="false" customHeight="true" outlineLevel="0" collapsed="false">
      <c r="A36" s="8" t="n">
        <v>33</v>
      </c>
      <c r="B36" s="37"/>
      <c r="C36" s="37"/>
      <c r="D36" s="37"/>
      <c r="E36" s="37"/>
      <c r="F36" s="37"/>
      <c r="G36" s="37"/>
      <c r="H36" s="37"/>
      <c r="I36" s="37"/>
    </row>
    <row r="37" customFormat="false" ht="36" hidden="false" customHeight="true" outlineLevel="0" collapsed="false">
      <c r="A37" s="4" t="n">
        <v>34</v>
      </c>
      <c r="B37" s="40"/>
      <c r="C37" s="40"/>
      <c r="D37" s="40"/>
      <c r="E37" s="40"/>
      <c r="F37" s="40"/>
      <c r="G37" s="40"/>
      <c r="H37" s="40"/>
      <c r="I37" s="40"/>
    </row>
    <row r="38" customFormat="false" ht="36" hidden="false" customHeight="true" outlineLevel="0" collapsed="false">
      <c r="A38" s="8" t="n">
        <v>35</v>
      </c>
      <c r="B38" s="37"/>
      <c r="C38" s="37"/>
      <c r="D38" s="37"/>
      <c r="E38" s="37"/>
      <c r="F38" s="37"/>
      <c r="G38" s="37"/>
      <c r="H38" s="37"/>
      <c r="I38" s="37"/>
    </row>
    <row r="39" customFormat="false" ht="36" hidden="false" customHeight="true" outlineLevel="0" collapsed="false">
      <c r="A39" s="4" t="n">
        <v>36</v>
      </c>
      <c r="B39" s="40"/>
      <c r="C39" s="40"/>
      <c r="D39" s="40"/>
      <c r="E39" s="40"/>
      <c r="F39" s="40"/>
      <c r="G39" s="40"/>
      <c r="H39" s="40"/>
      <c r="I39" s="40"/>
    </row>
    <row r="40" customFormat="false" ht="36" hidden="false" customHeight="true" outlineLevel="0" collapsed="false">
      <c r="A40" s="8" t="n">
        <v>37</v>
      </c>
      <c r="B40" s="37"/>
      <c r="C40" s="37"/>
      <c r="D40" s="37"/>
      <c r="E40" s="37"/>
      <c r="F40" s="37"/>
      <c r="G40" s="37"/>
      <c r="H40" s="37"/>
      <c r="I40" s="37"/>
    </row>
    <row r="41" customFormat="false" ht="36" hidden="false" customHeight="true" outlineLevel="0" collapsed="false">
      <c r="A41" s="4" t="n">
        <v>38</v>
      </c>
      <c r="B41" s="40"/>
      <c r="C41" s="40"/>
      <c r="D41" s="40"/>
      <c r="E41" s="40"/>
      <c r="F41" s="40"/>
      <c r="G41" s="40"/>
      <c r="H41" s="40"/>
      <c r="I41" s="40"/>
    </row>
    <row r="42" customFormat="false" ht="36" hidden="false" customHeight="true" outlineLevel="0" collapsed="false">
      <c r="A42" s="8" t="n">
        <v>39</v>
      </c>
      <c r="B42" s="37"/>
      <c r="C42" s="37"/>
      <c r="D42" s="37"/>
      <c r="E42" s="37"/>
      <c r="F42" s="37"/>
      <c r="G42" s="37"/>
      <c r="H42" s="37"/>
      <c r="I42" s="37"/>
    </row>
    <row r="43" customFormat="false" ht="36" hidden="false" customHeight="true" outlineLevel="0" collapsed="false">
      <c r="A43" s="4" t="n">
        <v>40</v>
      </c>
      <c r="B43" s="40"/>
      <c r="C43" s="40"/>
      <c r="D43" s="40"/>
      <c r="E43" s="40"/>
      <c r="F43" s="40"/>
      <c r="G43" s="40"/>
      <c r="H43" s="40"/>
      <c r="I43" s="40"/>
    </row>
    <row r="44" customFormat="false" ht="36" hidden="false" customHeight="true" outlineLevel="0" collapsed="false">
      <c r="A44" s="8" t="n">
        <v>41</v>
      </c>
      <c r="B44" s="37"/>
      <c r="C44" s="37"/>
      <c r="D44" s="37"/>
      <c r="E44" s="37"/>
      <c r="F44" s="37"/>
      <c r="G44" s="37"/>
      <c r="H44" s="37"/>
      <c r="I44" s="37"/>
    </row>
    <row r="45" customFormat="false" ht="36" hidden="false" customHeight="true" outlineLevel="0" collapsed="false">
      <c r="A45" s="4" t="n">
        <v>42</v>
      </c>
      <c r="B45" s="40"/>
      <c r="C45" s="40"/>
      <c r="D45" s="40"/>
      <c r="E45" s="40"/>
      <c r="F45" s="40"/>
      <c r="G45" s="40"/>
      <c r="H45" s="40"/>
      <c r="I45" s="40"/>
    </row>
    <row r="46" customFormat="false" ht="36" hidden="false" customHeight="true" outlineLevel="0" collapsed="false">
      <c r="A46" s="8" t="n">
        <v>43</v>
      </c>
      <c r="B46" s="37"/>
      <c r="C46" s="37"/>
      <c r="D46" s="37"/>
      <c r="E46" s="37"/>
      <c r="F46" s="37"/>
      <c r="G46" s="37"/>
      <c r="H46" s="37"/>
      <c r="I46" s="37"/>
    </row>
    <row r="47" customFormat="false" ht="36" hidden="false" customHeight="true" outlineLevel="0" collapsed="false">
      <c r="A47" s="4" t="n">
        <v>44</v>
      </c>
      <c r="B47" s="40"/>
      <c r="C47" s="40"/>
      <c r="D47" s="40"/>
      <c r="E47" s="40"/>
      <c r="F47" s="40"/>
      <c r="G47" s="40"/>
      <c r="H47" s="40"/>
      <c r="I47" s="40"/>
    </row>
    <row r="48" customFormat="false" ht="36" hidden="false" customHeight="true" outlineLevel="0" collapsed="false">
      <c r="A48" s="8" t="n">
        <v>45</v>
      </c>
      <c r="B48" s="37"/>
      <c r="C48" s="37"/>
      <c r="D48" s="37"/>
      <c r="E48" s="37"/>
      <c r="F48" s="37"/>
      <c r="G48" s="37"/>
      <c r="H48" s="37"/>
      <c r="I48" s="37"/>
    </row>
    <row r="49" customFormat="false" ht="36" hidden="false" customHeight="true" outlineLevel="0" collapsed="false">
      <c r="A49" s="4" t="n">
        <v>46</v>
      </c>
      <c r="B49" s="40"/>
      <c r="C49" s="40"/>
      <c r="D49" s="40"/>
      <c r="E49" s="40"/>
      <c r="F49" s="40"/>
      <c r="G49" s="40"/>
      <c r="H49" s="40"/>
      <c r="I49" s="40"/>
    </row>
    <row r="50" customFormat="false" ht="36" hidden="false" customHeight="true" outlineLevel="0" collapsed="false">
      <c r="A50" s="8" t="n">
        <v>47</v>
      </c>
      <c r="B50" s="37"/>
      <c r="C50" s="37"/>
      <c r="D50" s="37"/>
      <c r="E50" s="37"/>
      <c r="F50" s="37"/>
      <c r="G50" s="37"/>
      <c r="H50" s="37"/>
      <c r="I50" s="37"/>
    </row>
    <row r="51" customFormat="false" ht="36" hidden="false" customHeight="true" outlineLevel="0" collapsed="false">
      <c r="A51" s="4" t="n">
        <v>48</v>
      </c>
      <c r="B51" s="40"/>
      <c r="C51" s="40"/>
      <c r="D51" s="40"/>
      <c r="E51" s="40"/>
      <c r="F51" s="40"/>
      <c r="G51" s="40"/>
      <c r="H51" s="40"/>
      <c r="I51" s="40"/>
    </row>
    <row r="52" customFormat="false" ht="36" hidden="false" customHeight="true" outlineLevel="0" collapsed="false">
      <c r="A52" s="8" t="n">
        <v>49</v>
      </c>
      <c r="B52" s="37"/>
      <c r="C52" s="37"/>
      <c r="D52" s="37"/>
      <c r="E52" s="37"/>
      <c r="F52" s="37"/>
      <c r="G52" s="37"/>
      <c r="H52" s="37"/>
      <c r="I52" s="37"/>
    </row>
    <row r="53" customFormat="false" ht="36" hidden="false" customHeight="true" outlineLevel="0" collapsed="false">
      <c r="A53" s="4" t="n">
        <v>50</v>
      </c>
      <c r="B53" s="40"/>
      <c r="C53" s="40"/>
      <c r="D53" s="40"/>
      <c r="E53" s="40"/>
      <c r="F53" s="40"/>
      <c r="G53" s="40"/>
      <c r="H53" s="40"/>
      <c r="I53" s="40"/>
    </row>
    <row r="55" customFormat="false" ht="25.5" hidden="false" customHeight="true" outlineLevel="0" collapsed="false">
      <c r="A55" s="66" t="s">
        <v>128</v>
      </c>
      <c r="B55" s="66"/>
      <c r="C55" s="66"/>
      <c r="D55" s="66"/>
      <c r="E55" s="66"/>
      <c r="F55" s="66"/>
      <c r="G55" s="66"/>
      <c r="H55" s="66"/>
      <c r="I55" s="66"/>
    </row>
    <row r="56" customFormat="false" ht="23.85" hidden="false" customHeight="false" outlineLevel="0" collapsed="false">
      <c r="A56" s="67" t="s">
        <v>88</v>
      </c>
      <c r="B56" s="67" t="s">
        <v>89</v>
      </c>
      <c r="C56" s="67" t="s">
        <v>129</v>
      </c>
      <c r="D56" s="67" t="s">
        <v>130</v>
      </c>
      <c r="E56" s="67" t="s">
        <v>131</v>
      </c>
      <c r="F56" s="67" t="s">
        <v>132</v>
      </c>
      <c r="G56" s="67" t="s">
        <v>133</v>
      </c>
      <c r="H56" s="67" t="s">
        <v>134</v>
      </c>
      <c r="I56" s="67" t="s">
        <v>135</v>
      </c>
    </row>
    <row r="57" customFormat="false" ht="15" hidden="false" customHeight="false" outlineLevel="0" collapsed="false">
      <c r="A57" s="4" t="n">
        <v>1</v>
      </c>
      <c r="B57" s="40"/>
      <c r="C57" s="40"/>
      <c r="D57" s="40"/>
      <c r="E57" s="40"/>
      <c r="F57" s="40"/>
      <c r="G57" s="40"/>
      <c r="H57" s="40"/>
      <c r="I57" s="40"/>
    </row>
    <row r="58" customFormat="false" ht="15" hidden="false" customHeight="false" outlineLevel="0" collapsed="false">
      <c r="A58" s="8" t="n">
        <v>2</v>
      </c>
      <c r="B58" s="37"/>
      <c r="C58" s="37"/>
      <c r="D58" s="37"/>
      <c r="E58" s="37"/>
      <c r="F58" s="37"/>
      <c r="G58" s="37"/>
      <c r="H58" s="37"/>
      <c r="I58" s="37"/>
    </row>
    <row r="59" customFormat="false" ht="15" hidden="false" customHeight="false" outlineLevel="0" collapsed="false">
      <c r="A59" s="4" t="n">
        <v>3</v>
      </c>
      <c r="B59" s="40"/>
      <c r="C59" s="40"/>
      <c r="D59" s="40"/>
      <c r="E59" s="40"/>
      <c r="F59" s="40"/>
      <c r="G59" s="40"/>
      <c r="H59" s="40"/>
      <c r="I59" s="40"/>
    </row>
    <row r="60" customFormat="false" ht="15" hidden="false" customHeight="false" outlineLevel="0" collapsed="false">
      <c r="A60" s="8" t="n">
        <v>4</v>
      </c>
      <c r="B60" s="37"/>
      <c r="C60" s="37"/>
      <c r="D60" s="37"/>
      <c r="E60" s="37"/>
      <c r="F60" s="37"/>
      <c r="G60" s="37"/>
      <c r="H60" s="37"/>
      <c r="I60" s="37"/>
    </row>
    <row r="61" customFormat="false" ht="15" hidden="false" customHeight="false" outlineLevel="0" collapsed="false">
      <c r="A61" s="4" t="n">
        <v>5</v>
      </c>
      <c r="B61" s="40"/>
      <c r="C61" s="40"/>
      <c r="D61" s="40"/>
      <c r="E61" s="40"/>
      <c r="F61" s="40"/>
      <c r="G61" s="40"/>
      <c r="H61" s="40"/>
      <c r="I61" s="40"/>
    </row>
    <row r="62" customFormat="false" ht="15" hidden="false" customHeight="false" outlineLevel="0" collapsed="false">
      <c r="A62" s="8" t="n">
        <v>6</v>
      </c>
      <c r="B62" s="37"/>
      <c r="C62" s="37"/>
      <c r="D62" s="37"/>
      <c r="E62" s="37"/>
      <c r="F62" s="37"/>
      <c r="G62" s="37"/>
      <c r="H62" s="37"/>
      <c r="I62" s="37"/>
    </row>
    <row r="63" customFormat="false" ht="15" hidden="false" customHeight="false" outlineLevel="0" collapsed="false">
      <c r="A63" s="4" t="n">
        <v>7</v>
      </c>
      <c r="B63" s="40"/>
      <c r="C63" s="40"/>
      <c r="D63" s="40"/>
      <c r="E63" s="40"/>
      <c r="F63" s="40"/>
      <c r="G63" s="40"/>
      <c r="H63" s="40"/>
      <c r="I63" s="40"/>
    </row>
    <row r="64" customFormat="false" ht="15" hidden="false" customHeight="false" outlineLevel="0" collapsed="false">
      <c r="A64" s="8" t="n">
        <v>8</v>
      </c>
      <c r="B64" s="37"/>
      <c r="C64" s="37"/>
      <c r="D64" s="37"/>
      <c r="E64" s="37"/>
      <c r="F64" s="37"/>
      <c r="G64" s="37"/>
      <c r="H64" s="37"/>
      <c r="I64" s="37"/>
    </row>
    <row r="65" customFormat="false" ht="15" hidden="false" customHeight="false" outlineLevel="0" collapsed="false">
      <c r="A65" s="4" t="n">
        <v>9</v>
      </c>
      <c r="B65" s="40"/>
      <c r="C65" s="40"/>
      <c r="D65" s="40"/>
      <c r="E65" s="40"/>
      <c r="F65" s="40"/>
      <c r="G65" s="40"/>
      <c r="H65" s="40"/>
      <c r="I65" s="40"/>
    </row>
    <row r="66" customFormat="false" ht="15" hidden="false" customHeight="false" outlineLevel="0" collapsed="false">
      <c r="A66" s="8" t="n">
        <v>10</v>
      </c>
      <c r="B66" s="37"/>
      <c r="C66" s="37"/>
      <c r="D66" s="37"/>
      <c r="E66" s="37"/>
      <c r="F66" s="37"/>
      <c r="G66" s="37"/>
      <c r="H66" s="37"/>
      <c r="I66" s="37"/>
    </row>
    <row r="67" customFormat="false" ht="15" hidden="false" customHeight="false" outlineLevel="0" collapsed="false">
      <c r="A67" s="4" t="n">
        <v>11</v>
      </c>
      <c r="B67" s="40"/>
      <c r="C67" s="40"/>
      <c r="D67" s="40"/>
      <c r="E67" s="40"/>
      <c r="F67" s="40"/>
      <c r="G67" s="40"/>
      <c r="H67" s="40"/>
      <c r="I67" s="40"/>
    </row>
    <row r="68" customFormat="false" ht="15" hidden="false" customHeight="false" outlineLevel="0" collapsed="false">
      <c r="A68" s="8" t="n">
        <v>12</v>
      </c>
      <c r="B68" s="37"/>
      <c r="C68" s="37"/>
      <c r="D68" s="37"/>
      <c r="E68" s="37"/>
      <c r="F68" s="37"/>
      <c r="G68" s="37"/>
      <c r="H68" s="37"/>
      <c r="I68" s="37"/>
    </row>
    <row r="69" customFormat="false" ht="15" hidden="false" customHeight="false" outlineLevel="0" collapsed="false">
      <c r="A69" s="4" t="n">
        <v>13</v>
      </c>
      <c r="B69" s="40"/>
      <c r="C69" s="40"/>
      <c r="D69" s="40"/>
      <c r="E69" s="40"/>
      <c r="F69" s="40"/>
      <c r="G69" s="40"/>
      <c r="H69" s="40"/>
      <c r="I69" s="40"/>
    </row>
    <row r="70" customFormat="false" ht="15" hidden="false" customHeight="false" outlineLevel="0" collapsed="false">
      <c r="A70" s="8" t="n">
        <v>14</v>
      </c>
      <c r="B70" s="37"/>
      <c r="C70" s="37"/>
      <c r="D70" s="37"/>
      <c r="E70" s="37"/>
      <c r="F70" s="37"/>
      <c r="G70" s="37"/>
      <c r="H70" s="37"/>
      <c r="I70" s="37"/>
    </row>
    <row r="71" customFormat="false" ht="15" hidden="false" customHeight="false" outlineLevel="0" collapsed="false">
      <c r="A71" s="4" t="n">
        <v>15</v>
      </c>
      <c r="B71" s="40"/>
      <c r="C71" s="40"/>
      <c r="D71" s="40"/>
      <c r="E71" s="40"/>
      <c r="F71" s="40"/>
      <c r="G71" s="40"/>
      <c r="H71" s="40"/>
      <c r="I71" s="40"/>
    </row>
    <row r="72" customFormat="false" ht="15" hidden="false" customHeight="false" outlineLevel="0" collapsed="false">
      <c r="A72" s="8" t="n">
        <v>16</v>
      </c>
      <c r="B72" s="37"/>
      <c r="C72" s="37"/>
      <c r="D72" s="37"/>
      <c r="E72" s="37"/>
      <c r="F72" s="37"/>
      <c r="G72" s="37"/>
      <c r="H72" s="37"/>
      <c r="I72" s="37"/>
    </row>
    <row r="73" customFormat="false" ht="15" hidden="false" customHeight="false" outlineLevel="0" collapsed="false">
      <c r="A73" s="4" t="n">
        <v>17</v>
      </c>
      <c r="B73" s="40"/>
      <c r="C73" s="40"/>
      <c r="D73" s="40"/>
      <c r="E73" s="40"/>
      <c r="F73" s="40"/>
      <c r="G73" s="40"/>
      <c r="H73" s="40"/>
      <c r="I73" s="40"/>
    </row>
    <row r="74" customFormat="false" ht="15" hidden="false" customHeight="false" outlineLevel="0" collapsed="false">
      <c r="A74" s="8" t="n">
        <v>18</v>
      </c>
      <c r="B74" s="37"/>
      <c r="C74" s="37"/>
      <c r="D74" s="37"/>
      <c r="E74" s="37"/>
      <c r="F74" s="37"/>
      <c r="G74" s="37"/>
      <c r="H74" s="37"/>
      <c r="I74" s="37"/>
    </row>
    <row r="75" customFormat="false" ht="15" hidden="false" customHeight="false" outlineLevel="0" collapsed="false">
      <c r="A75" s="4" t="n">
        <v>19</v>
      </c>
      <c r="B75" s="40"/>
      <c r="C75" s="40"/>
      <c r="D75" s="40"/>
      <c r="E75" s="40"/>
      <c r="F75" s="40"/>
      <c r="G75" s="40"/>
      <c r="H75" s="40"/>
      <c r="I75" s="40"/>
    </row>
    <row r="76" customFormat="false" ht="15" hidden="false" customHeight="false" outlineLevel="0" collapsed="false">
      <c r="A76" s="8" t="n">
        <v>20</v>
      </c>
      <c r="B76" s="37"/>
      <c r="C76" s="37"/>
      <c r="D76" s="37"/>
      <c r="E76" s="37"/>
      <c r="F76" s="37"/>
      <c r="G76" s="37"/>
      <c r="H76" s="37"/>
      <c r="I76" s="37"/>
    </row>
  </sheetData>
  <mergeCells count="3">
    <mergeCell ref="A1:I1"/>
    <mergeCell ref="A2:I2"/>
    <mergeCell ref="A55:I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5" min="4" style="0" width="28"/>
    <col collapsed="false" customWidth="true" hidden="false" outlineLevel="0" max="7" min="6" style="0" width="22"/>
    <col collapsed="false" customWidth="true" hidden="false" outlineLevel="0" max="8" min="8" style="0" width="14"/>
  </cols>
  <sheetData>
    <row r="1" customFormat="false" ht="33.75" hidden="false" customHeight="true" outlineLevel="0" collapsed="false">
      <c r="A1" s="68" t="s">
        <v>136</v>
      </c>
      <c r="B1" s="68"/>
      <c r="C1" s="68"/>
      <c r="D1" s="68"/>
      <c r="E1" s="68"/>
      <c r="F1" s="68"/>
      <c r="G1" s="68"/>
      <c r="H1" s="68"/>
    </row>
    <row r="2" customFormat="false" ht="25.5" hidden="false" customHeight="true" outlineLevel="0" collapsed="false">
      <c r="A2" s="69" t="s">
        <v>137</v>
      </c>
      <c r="B2" s="69"/>
      <c r="C2" s="69"/>
      <c r="D2" s="69"/>
      <c r="E2" s="69"/>
      <c r="F2" s="69"/>
      <c r="G2" s="69"/>
      <c r="H2" s="69"/>
    </row>
    <row r="3" customFormat="false" ht="35.05" hidden="false" customHeight="false" outlineLevel="0" collapsed="false">
      <c r="A3" s="70" t="s">
        <v>88</v>
      </c>
      <c r="B3" s="70" t="s">
        <v>138</v>
      </c>
      <c r="C3" s="70" t="s">
        <v>122</v>
      </c>
      <c r="D3" s="70" t="s">
        <v>139</v>
      </c>
      <c r="E3" s="70" t="s">
        <v>140</v>
      </c>
      <c r="F3" s="70" t="s">
        <v>126</v>
      </c>
      <c r="G3" s="70" t="s">
        <v>141</v>
      </c>
      <c r="H3" s="70" t="s">
        <v>89</v>
      </c>
    </row>
    <row r="4" customFormat="false" ht="54.75" hidden="false" customHeight="true" outlineLevel="0" collapsed="false">
      <c r="A4" s="8" t="n">
        <v>1</v>
      </c>
      <c r="B4" s="37"/>
      <c r="C4" s="37"/>
      <c r="D4" s="37"/>
      <c r="E4" s="37"/>
      <c r="F4" s="37"/>
      <c r="G4" s="37"/>
      <c r="H4" s="37"/>
    </row>
    <row r="5" customFormat="false" ht="54.75" hidden="false" customHeight="true" outlineLevel="0" collapsed="false">
      <c r="A5" s="4" t="n">
        <v>2</v>
      </c>
      <c r="B5" s="40"/>
      <c r="C5" s="40"/>
      <c r="D5" s="40"/>
      <c r="E5" s="40"/>
      <c r="F5" s="40"/>
      <c r="G5" s="40"/>
      <c r="H5" s="40"/>
    </row>
    <row r="6" customFormat="false" ht="54.75" hidden="false" customHeight="true" outlineLevel="0" collapsed="false">
      <c r="A6" s="8" t="n">
        <v>3</v>
      </c>
      <c r="B6" s="37"/>
      <c r="C6" s="37"/>
      <c r="D6" s="37"/>
      <c r="E6" s="37"/>
      <c r="F6" s="37"/>
      <c r="G6" s="37"/>
      <c r="H6" s="37"/>
    </row>
    <row r="7" customFormat="false" ht="54.75" hidden="false" customHeight="true" outlineLevel="0" collapsed="false">
      <c r="A7" s="4" t="n">
        <v>4</v>
      </c>
      <c r="B7" s="40"/>
      <c r="C7" s="40"/>
      <c r="D7" s="40"/>
      <c r="E7" s="40"/>
      <c r="F7" s="40"/>
      <c r="G7" s="40"/>
      <c r="H7" s="40"/>
    </row>
    <row r="8" customFormat="false" ht="54.75" hidden="false" customHeight="true" outlineLevel="0" collapsed="false">
      <c r="A8" s="8" t="n">
        <v>5</v>
      </c>
      <c r="B8" s="37"/>
      <c r="C8" s="37"/>
      <c r="D8" s="37"/>
      <c r="E8" s="37"/>
      <c r="F8" s="37"/>
      <c r="G8" s="37"/>
      <c r="H8" s="37"/>
    </row>
    <row r="9" customFormat="false" ht="54.75" hidden="false" customHeight="true" outlineLevel="0" collapsed="false">
      <c r="A9" s="4" t="n">
        <v>6</v>
      </c>
      <c r="B9" s="40"/>
      <c r="C9" s="40"/>
      <c r="D9" s="40"/>
      <c r="E9" s="40"/>
      <c r="F9" s="40"/>
      <c r="G9" s="40"/>
      <c r="H9" s="40"/>
    </row>
    <row r="10" customFormat="false" ht="54.75" hidden="false" customHeight="true" outlineLevel="0" collapsed="false">
      <c r="A10" s="8" t="n">
        <v>7</v>
      </c>
      <c r="B10" s="37"/>
      <c r="C10" s="37"/>
      <c r="D10" s="37"/>
      <c r="E10" s="37"/>
      <c r="F10" s="37"/>
      <c r="G10" s="37"/>
      <c r="H10" s="37"/>
    </row>
    <row r="11" customFormat="false" ht="54.75" hidden="false" customHeight="true" outlineLevel="0" collapsed="false">
      <c r="A11" s="4" t="n">
        <v>8</v>
      </c>
      <c r="B11" s="40"/>
      <c r="C11" s="40"/>
      <c r="D11" s="40"/>
      <c r="E11" s="40"/>
      <c r="F11" s="40"/>
      <c r="G11" s="40"/>
      <c r="H11" s="40"/>
    </row>
    <row r="12" customFormat="false" ht="54.75" hidden="false" customHeight="true" outlineLevel="0" collapsed="false">
      <c r="A12" s="8" t="n">
        <v>9</v>
      </c>
      <c r="B12" s="37"/>
      <c r="C12" s="37"/>
      <c r="D12" s="37"/>
      <c r="E12" s="37"/>
      <c r="F12" s="37"/>
      <c r="G12" s="37"/>
      <c r="H12" s="37"/>
    </row>
    <row r="13" customFormat="false" ht="54.75" hidden="false" customHeight="true" outlineLevel="0" collapsed="false">
      <c r="A13" s="4" t="n">
        <v>10</v>
      </c>
      <c r="B13" s="40"/>
      <c r="C13" s="40"/>
      <c r="D13" s="40"/>
      <c r="E13" s="40"/>
      <c r="F13" s="40"/>
      <c r="G13" s="40"/>
      <c r="H13" s="40"/>
    </row>
    <row r="14" customFormat="false" ht="54.75" hidden="false" customHeight="true" outlineLevel="0" collapsed="false">
      <c r="A14" s="8" t="n">
        <v>11</v>
      </c>
      <c r="B14" s="37"/>
      <c r="C14" s="37"/>
      <c r="D14" s="37"/>
      <c r="E14" s="37"/>
      <c r="F14" s="37"/>
      <c r="G14" s="37"/>
      <c r="H14" s="37"/>
    </row>
    <row r="15" customFormat="false" ht="54.75" hidden="false" customHeight="true" outlineLevel="0" collapsed="false">
      <c r="A15" s="4" t="n">
        <v>12</v>
      </c>
      <c r="B15" s="40"/>
      <c r="C15" s="40"/>
      <c r="D15" s="40"/>
      <c r="E15" s="40"/>
      <c r="F15" s="40"/>
      <c r="G15" s="40"/>
      <c r="H15" s="40"/>
    </row>
    <row r="16" customFormat="false" ht="54.75" hidden="false" customHeight="true" outlineLevel="0" collapsed="false">
      <c r="A16" s="8" t="n">
        <v>13</v>
      </c>
      <c r="B16" s="37"/>
      <c r="C16" s="37"/>
      <c r="D16" s="37"/>
      <c r="E16" s="37"/>
      <c r="F16" s="37"/>
      <c r="G16" s="37"/>
      <c r="H16" s="37"/>
    </row>
    <row r="17" customFormat="false" ht="54.75" hidden="false" customHeight="true" outlineLevel="0" collapsed="false">
      <c r="A17" s="4" t="n">
        <v>14</v>
      </c>
      <c r="B17" s="40"/>
      <c r="C17" s="40"/>
      <c r="D17" s="40"/>
      <c r="E17" s="40"/>
      <c r="F17" s="40"/>
      <c r="G17" s="40"/>
      <c r="H17" s="40"/>
    </row>
    <row r="18" customFormat="false" ht="54.75" hidden="false" customHeight="true" outlineLevel="0" collapsed="false">
      <c r="A18" s="8" t="n">
        <v>15</v>
      </c>
      <c r="B18" s="37"/>
      <c r="C18" s="37"/>
      <c r="D18" s="37"/>
      <c r="E18" s="37"/>
      <c r="F18" s="37"/>
      <c r="G18" s="37"/>
      <c r="H18" s="37"/>
    </row>
    <row r="19" customFormat="false" ht="54.75" hidden="false" customHeight="true" outlineLevel="0" collapsed="false">
      <c r="A19" s="4" t="n">
        <v>16</v>
      </c>
      <c r="B19" s="40"/>
      <c r="C19" s="40"/>
      <c r="D19" s="40"/>
      <c r="E19" s="40"/>
      <c r="F19" s="40"/>
      <c r="G19" s="40"/>
      <c r="H19" s="40"/>
    </row>
    <row r="20" customFormat="false" ht="54.75" hidden="false" customHeight="true" outlineLevel="0" collapsed="false">
      <c r="A20" s="8" t="n">
        <v>17</v>
      </c>
      <c r="B20" s="37"/>
      <c r="C20" s="37"/>
      <c r="D20" s="37"/>
      <c r="E20" s="37"/>
      <c r="F20" s="37"/>
      <c r="G20" s="37"/>
      <c r="H20" s="37"/>
    </row>
    <row r="21" customFormat="false" ht="54.75" hidden="false" customHeight="true" outlineLevel="0" collapsed="false">
      <c r="A21" s="4" t="n">
        <v>18</v>
      </c>
      <c r="B21" s="40"/>
      <c r="C21" s="40"/>
      <c r="D21" s="40"/>
      <c r="E21" s="40"/>
      <c r="F21" s="40"/>
      <c r="G21" s="40"/>
      <c r="H21" s="40"/>
    </row>
    <row r="22" customFormat="false" ht="54.75" hidden="false" customHeight="true" outlineLevel="0" collapsed="false">
      <c r="A22" s="8" t="n">
        <v>19</v>
      </c>
      <c r="B22" s="37"/>
      <c r="C22" s="37"/>
      <c r="D22" s="37"/>
      <c r="E22" s="37"/>
      <c r="F22" s="37"/>
      <c r="G22" s="37"/>
      <c r="H22" s="37"/>
    </row>
    <row r="23" customFormat="false" ht="54.75" hidden="false" customHeight="true" outlineLevel="0" collapsed="false">
      <c r="A23" s="4" t="n">
        <v>20</v>
      </c>
      <c r="B23" s="40"/>
      <c r="C23" s="40"/>
      <c r="D23" s="40"/>
      <c r="E23" s="40"/>
      <c r="F23" s="40"/>
      <c r="G23" s="40"/>
      <c r="H23" s="40"/>
    </row>
    <row r="24" customFormat="false" ht="54.75" hidden="false" customHeight="true" outlineLevel="0" collapsed="false">
      <c r="A24" s="8" t="n">
        <v>21</v>
      </c>
      <c r="B24" s="37"/>
      <c r="C24" s="37"/>
      <c r="D24" s="37"/>
      <c r="E24" s="37"/>
      <c r="F24" s="37"/>
      <c r="G24" s="37"/>
      <c r="H24" s="37"/>
    </row>
    <row r="25" customFormat="false" ht="54.75" hidden="false" customHeight="true" outlineLevel="0" collapsed="false">
      <c r="A25" s="4" t="n">
        <v>22</v>
      </c>
      <c r="B25" s="40"/>
      <c r="C25" s="40"/>
      <c r="D25" s="40"/>
      <c r="E25" s="40"/>
      <c r="F25" s="40"/>
      <c r="G25" s="40"/>
      <c r="H25" s="40"/>
    </row>
    <row r="26" customFormat="false" ht="54.75" hidden="false" customHeight="true" outlineLevel="0" collapsed="false">
      <c r="A26" s="8" t="n">
        <v>23</v>
      </c>
      <c r="B26" s="37"/>
      <c r="C26" s="37"/>
      <c r="D26" s="37"/>
      <c r="E26" s="37"/>
      <c r="F26" s="37"/>
      <c r="G26" s="37"/>
      <c r="H26" s="37"/>
    </row>
    <row r="27" customFormat="false" ht="54.75" hidden="false" customHeight="true" outlineLevel="0" collapsed="false">
      <c r="A27" s="4" t="n">
        <v>24</v>
      </c>
      <c r="B27" s="40"/>
      <c r="C27" s="40"/>
      <c r="D27" s="40"/>
      <c r="E27" s="40"/>
      <c r="F27" s="40"/>
      <c r="G27" s="40"/>
      <c r="H27" s="40"/>
    </row>
    <row r="28" customFormat="false" ht="54.75" hidden="false" customHeight="true" outlineLevel="0" collapsed="false">
      <c r="A28" s="8" t="n">
        <v>25</v>
      </c>
      <c r="B28" s="37"/>
      <c r="C28" s="37"/>
      <c r="D28" s="37"/>
      <c r="E28" s="37"/>
      <c r="F28" s="37"/>
      <c r="G28" s="37"/>
      <c r="H28" s="37"/>
    </row>
    <row r="29" customFormat="false" ht="54.75" hidden="false" customHeight="true" outlineLevel="0" collapsed="false">
      <c r="A29" s="4" t="n">
        <v>26</v>
      </c>
      <c r="B29" s="40"/>
      <c r="C29" s="40"/>
      <c r="D29" s="40"/>
      <c r="E29" s="40"/>
      <c r="F29" s="40"/>
      <c r="G29" s="40"/>
      <c r="H29" s="40"/>
    </row>
    <row r="30" customFormat="false" ht="54.75" hidden="false" customHeight="true" outlineLevel="0" collapsed="false">
      <c r="A30" s="8" t="n">
        <v>27</v>
      </c>
      <c r="B30" s="37"/>
      <c r="C30" s="37"/>
      <c r="D30" s="37"/>
      <c r="E30" s="37"/>
      <c r="F30" s="37"/>
      <c r="G30" s="37"/>
      <c r="H30" s="37"/>
    </row>
    <row r="31" customFormat="false" ht="54.75" hidden="false" customHeight="true" outlineLevel="0" collapsed="false">
      <c r="A31" s="4" t="n">
        <v>28</v>
      </c>
      <c r="B31" s="40"/>
      <c r="C31" s="40"/>
      <c r="D31" s="40"/>
      <c r="E31" s="40"/>
      <c r="F31" s="40"/>
      <c r="G31" s="40"/>
      <c r="H31" s="40"/>
    </row>
    <row r="32" customFormat="false" ht="54.75" hidden="false" customHeight="true" outlineLevel="0" collapsed="false">
      <c r="A32" s="8" t="n">
        <v>29</v>
      </c>
      <c r="B32" s="37"/>
      <c r="C32" s="37"/>
      <c r="D32" s="37"/>
      <c r="E32" s="37"/>
      <c r="F32" s="37"/>
      <c r="G32" s="37"/>
      <c r="H32" s="37"/>
    </row>
    <row r="33" customFormat="false" ht="54.75" hidden="false" customHeight="true" outlineLevel="0" collapsed="false">
      <c r="A33" s="4" t="n">
        <v>30</v>
      </c>
      <c r="B33" s="40"/>
      <c r="C33" s="40"/>
      <c r="D33" s="40"/>
      <c r="E33" s="40"/>
      <c r="F33" s="40"/>
      <c r="G33" s="40"/>
      <c r="H33" s="40"/>
    </row>
    <row r="35" customFormat="false" ht="25.5" hidden="false" customHeight="true" outlineLevel="0" collapsed="false">
      <c r="A35" s="71" t="s">
        <v>142</v>
      </c>
      <c r="B35" s="71"/>
      <c r="C35" s="71"/>
      <c r="D35" s="71"/>
      <c r="E35" s="71"/>
      <c r="F35" s="71"/>
      <c r="G35" s="71"/>
      <c r="H35" s="71"/>
    </row>
    <row r="36" customFormat="false" ht="23.85" hidden="false" customHeight="false" outlineLevel="0" collapsed="false">
      <c r="A36" s="72" t="s">
        <v>88</v>
      </c>
      <c r="B36" s="72" t="s">
        <v>89</v>
      </c>
      <c r="C36" s="72" t="s">
        <v>143</v>
      </c>
      <c r="D36" s="72" t="s">
        <v>144</v>
      </c>
      <c r="E36" s="72" t="s">
        <v>145</v>
      </c>
      <c r="F36" s="72" t="s">
        <v>146</v>
      </c>
      <c r="G36" s="72" t="s">
        <v>147</v>
      </c>
      <c r="H36" s="72" t="s">
        <v>97</v>
      </c>
    </row>
    <row r="37" customFormat="false" ht="15" hidden="false" customHeight="false" outlineLevel="0" collapsed="false">
      <c r="A37" s="4" t="n">
        <v>1</v>
      </c>
      <c r="B37" s="40"/>
      <c r="C37" s="40"/>
      <c r="D37" s="40"/>
      <c r="E37" s="40"/>
      <c r="F37" s="40"/>
      <c r="G37" s="40"/>
      <c r="H37" s="40"/>
    </row>
    <row r="38" customFormat="false" ht="15" hidden="false" customHeight="false" outlineLevel="0" collapsed="false">
      <c r="A38" s="8" t="n">
        <v>2</v>
      </c>
      <c r="B38" s="37"/>
      <c r="C38" s="37"/>
      <c r="D38" s="37"/>
      <c r="E38" s="37"/>
      <c r="F38" s="37"/>
      <c r="G38" s="37"/>
      <c r="H38" s="37"/>
    </row>
    <row r="39" customFormat="false" ht="15" hidden="false" customHeight="false" outlineLevel="0" collapsed="false">
      <c r="A39" s="4" t="n">
        <v>3</v>
      </c>
      <c r="B39" s="40"/>
      <c r="C39" s="40"/>
      <c r="D39" s="40"/>
      <c r="E39" s="40"/>
      <c r="F39" s="40"/>
      <c r="G39" s="40"/>
      <c r="H39" s="40"/>
    </row>
    <row r="40" customFormat="false" ht="15" hidden="false" customHeight="false" outlineLevel="0" collapsed="false">
      <c r="A40" s="8" t="n">
        <v>4</v>
      </c>
      <c r="B40" s="37"/>
      <c r="C40" s="37"/>
      <c r="D40" s="37"/>
      <c r="E40" s="37"/>
      <c r="F40" s="37"/>
      <c r="G40" s="37"/>
      <c r="H40" s="37"/>
    </row>
    <row r="41" customFormat="false" ht="15" hidden="false" customHeight="false" outlineLevel="0" collapsed="false">
      <c r="A41" s="4" t="n">
        <v>5</v>
      </c>
      <c r="B41" s="40"/>
      <c r="C41" s="40"/>
      <c r="D41" s="40"/>
      <c r="E41" s="40"/>
      <c r="F41" s="40"/>
      <c r="G41" s="40"/>
      <c r="H41" s="40"/>
    </row>
    <row r="42" customFormat="false" ht="15" hidden="false" customHeight="false" outlineLevel="0" collapsed="false">
      <c r="A42" s="8" t="n">
        <v>6</v>
      </c>
      <c r="B42" s="37"/>
      <c r="C42" s="37"/>
      <c r="D42" s="37"/>
      <c r="E42" s="37"/>
      <c r="F42" s="37"/>
      <c r="G42" s="37"/>
      <c r="H42" s="37"/>
    </row>
    <row r="43" customFormat="false" ht="15" hidden="false" customHeight="false" outlineLevel="0" collapsed="false">
      <c r="A43" s="4" t="n">
        <v>7</v>
      </c>
      <c r="B43" s="40"/>
      <c r="C43" s="40"/>
      <c r="D43" s="40"/>
      <c r="E43" s="40"/>
      <c r="F43" s="40"/>
      <c r="G43" s="40"/>
      <c r="H43" s="40"/>
    </row>
    <row r="44" customFormat="false" ht="15" hidden="false" customHeight="false" outlineLevel="0" collapsed="false">
      <c r="A44" s="8" t="n">
        <v>8</v>
      </c>
      <c r="B44" s="37"/>
      <c r="C44" s="37"/>
      <c r="D44" s="37"/>
      <c r="E44" s="37"/>
      <c r="F44" s="37"/>
      <c r="G44" s="37"/>
      <c r="H44" s="37"/>
    </row>
    <row r="45" customFormat="false" ht="15" hidden="false" customHeight="false" outlineLevel="0" collapsed="false">
      <c r="A45" s="4" t="n">
        <v>9</v>
      </c>
      <c r="B45" s="40"/>
      <c r="C45" s="40"/>
      <c r="D45" s="40"/>
      <c r="E45" s="40"/>
      <c r="F45" s="40"/>
      <c r="G45" s="40"/>
      <c r="H45" s="40"/>
    </row>
    <row r="46" customFormat="false" ht="15" hidden="false" customHeight="false" outlineLevel="0" collapsed="false">
      <c r="A46" s="8" t="n">
        <v>10</v>
      </c>
      <c r="B46" s="37"/>
      <c r="C46" s="37"/>
      <c r="D46" s="37"/>
      <c r="E46" s="37"/>
      <c r="F46" s="37"/>
      <c r="G46" s="37"/>
      <c r="H46" s="37"/>
    </row>
    <row r="47" customFormat="false" ht="15" hidden="false" customHeight="false" outlineLevel="0" collapsed="false">
      <c r="A47" s="4" t="n">
        <v>11</v>
      </c>
      <c r="B47" s="40"/>
      <c r="C47" s="40"/>
      <c r="D47" s="40"/>
      <c r="E47" s="40"/>
      <c r="F47" s="40"/>
      <c r="G47" s="40"/>
      <c r="H47" s="40"/>
    </row>
    <row r="48" customFormat="false" ht="15" hidden="false" customHeight="false" outlineLevel="0" collapsed="false">
      <c r="A48" s="8" t="n">
        <v>12</v>
      </c>
      <c r="B48" s="37"/>
      <c r="C48" s="37"/>
      <c r="D48" s="37"/>
      <c r="E48" s="37"/>
      <c r="F48" s="37"/>
      <c r="G48" s="37"/>
      <c r="H48" s="37"/>
    </row>
    <row r="49" customFormat="false" ht="15" hidden="false" customHeight="false" outlineLevel="0" collapsed="false">
      <c r="A49" s="4" t="n">
        <v>13</v>
      </c>
      <c r="B49" s="40"/>
      <c r="C49" s="40"/>
      <c r="D49" s="40"/>
      <c r="E49" s="40"/>
      <c r="F49" s="40"/>
      <c r="G49" s="40"/>
      <c r="H49" s="40"/>
    </row>
    <row r="50" customFormat="false" ht="15" hidden="false" customHeight="false" outlineLevel="0" collapsed="false">
      <c r="A50" s="8" t="n">
        <v>14</v>
      </c>
      <c r="B50" s="37"/>
      <c r="C50" s="37"/>
      <c r="D50" s="37"/>
      <c r="E50" s="37"/>
      <c r="F50" s="37"/>
      <c r="G50" s="37"/>
      <c r="H50" s="37"/>
    </row>
    <row r="51" customFormat="false" ht="15" hidden="false" customHeight="false" outlineLevel="0" collapsed="false">
      <c r="A51" s="4" t="n">
        <v>15</v>
      </c>
      <c r="B51" s="40"/>
      <c r="C51" s="40"/>
      <c r="D51" s="40"/>
      <c r="E51" s="40"/>
      <c r="F51" s="40"/>
      <c r="G51" s="40"/>
      <c r="H51" s="40"/>
    </row>
    <row r="52" customFormat="false" ht="15" hidden="false" customHeight="false" outlineLevel="0" collapsed="false">
      <c r="A52" s="8" t="n">
        <v>16</v>
      </c>
      <c r="B52" s="37"/>
      <c r="C52" s="37"/>
      <c r="D52" s="37"/>
      <c r="E52" s="37"/>
      <c r="F52" s="37"/>
      <c r="G52" s="37"/>
      <c r="H52" s="37"/>
    </row>
    <row r="53" customFormat="false" ht="15" hidden="false" customHeight="false" outlineLevel="0" collapsed="false">
      <c r="A53" s="4" t="n">
        <v>17</v>
      </c>
      <c r="B53" s="40"/>
      <c r="C53" s="40"/>
      <c r="D53" s="40"/>
      <c r="E53" s="40"/>
      <c r="F53" s="40"/>
      <c r="G53" s="40"/>
      <c r="H53" s="40"/>
    </row>
    <row r="54" customFormat="false" ht="15" hidden="false" customHeight="false" outlineLevel="0" collapsed="false">
      <c r="A54" s="8" t="n">
        <v>18</v>
      </c>
      <c r="B54" s="37"/>
      <c r="C54" s="37"/>
      <c r="D54" s="37"/>
      <c r="E54" s="37"/>
      <c r="F54" s="37"/>
      <c r="G54" s="37"/>
      <c r="H54" s="37"/>
    </row>
    <row r="55" customFormat="false" ht="15" hidden="false" customHeight="false" outlineLevel="0" collapsed="false">
      <c r="A55" s="4" t="n">
        <v>19</v>
      </c>
      <c r="B55" s="40"/>
      <c r="C55" s="40"/>
      <c r="D55" s="40"/>
      <c r="E55" s="40"/>
      <c r="F55" s="40"/>
      <c r="G55" s="40"/>
      <c r="H55" s="40"/>
    </row>
    <row r="56" customFormat="false" ht="15" hidden="false" customHeight="false" outlineLevel="0" collapsed="false">
      <c r="A56" s="8" t="n">
        <v>20</v>
      </c>
      <c r="B56" s="37"/>
      <c r="C56" s="37"/>
      <c r="D56" s="37"/>
      <c r="E56" s="37"/>
      <c r="F56" s="37"/>
      <c r="G56" s="37"/>
      <c r="H56" s="37"/>
    </row>
  </sheetData>
  <mergeCells count="3">
    <mergeCell ref="A1:H1"/>
    <mergeCell ref="A2:H2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14" t="s">
        <v>148</v>
      </c>
      <c r="B1" s="14"/>
      <c r="C1" s="14"/>
      <c r="D1" s="14"/>
      <c r="E1" s="14"/>
      <c r="F1" s="14"/>
      <c r="G1" s="14"/>
    </row>
    <row r="2" customFormat="false" ht="25.5" hidden="false" customHeight="true" outlineLevel="0" collapsed="false">
      <c r="A2" s="15" t="s">
        <v>149</v>
      </c>
      <c r="B2" s="15"/>
      <c r="C2" s="15"/>
      <c r="D2" s="15"/>
      <c r="E2" s="15"/>
      <c r="F2" s="15"/>
      <c r="G2" s="15"/>
    </row>
    <row r="3" customFormat="false" ht="23.85" hidden="false" customHeight="false" outlineLevel="0" collapsed="false">
      <c r="A3" s="16" t="s">
        <v>2</v>
      </c>
      <c r="B3" s="16" t="s">
        <v>89</v>
      </c>
      <c r="C3" s="16" t="s">
        <v>150</v>
      </c>
      <c r="D3" s="16" t="s">
        <v>151</v>
      </c>
      <c r="E3" s="16" t="s">
        <v>152</v>
      </c>
      <c r="F3" s="16" t="s">
        <v>153</v>
      </c>
      <c r="G3" s="16" t="s">
        <v>154</v>
      </c>
    </row>
    <row r="4" customFormat="false" ht="30" hidden="false" customHeight="true" outlineLevel="0" collapsed="false">
      <c r="A4" s="8" t="n">
        <v>1</v>
      </c>
      <c r="B4" s="37"/>
      <c r="C4" s="10" t="s">
        <v>155</v>
      </c>
      <c r="D4" s="37"/>
      <c r="E4" s="37"/>
      <c r="F4" s="37"/>
      <c r="G4" s="37"/>
    </row>
    <row r="5" customFormat="false" ht="30" hidden="false" customHeight="true" outlineLevel="0" collapsed="false">
      <c r="A5" s="4" t="n">
        <v>2</v>
      </c>
      <c r="B5" s="40"/>
      <c r="C5" s="6" t="s">
        <v>156</v>
      </c>
      <c r="D5" s="40"/>
      <c r="E5" s="40"/>
      <c r="F5" s="40"/>
      <c r="G5" s="40"/>
    </row>
    <row r="6" customFormat="false" ht="30" hidden="false" customHeight="true" outlineLevel="0" collapsed="false">
      <c r="A6" s="8" t="n">
        <v>3</v>
      </c>
      <c r="B6" s="37"/>
      <c r="C6" s="10" t="s">
        <v>157</v>
      </c>
      <c r="D6" s="37"/>
      <c r="E6" s="37"/>
      <c r="F6" s="37"/>
      <c r="G6" s="37"/>
    </row>
    <row r="7" customFormat="false" ht="30" hidden="false" customHeight="true" outlineLevel="0" collapsed="false">
      <c r="A7" s="4" t="n">
        <v>4</v>
      </c>
      <c r="B7" s="40"/>
      <c r="C7" s="6" t="s">
        <v>158</v>
      </c>
      <c r="D7" s="40"/>
      <c r="E7" s="40"/>
      <c r="F7" s="40"/>
      <c r="G7" s="40"/>
    </row>
    <row r="8" customFormat="false" ht="30" hidden="false" customHeight="true" outlineLevel="0" collapsed="false">
      <c r="A8" s="8" t="n">
        <v>5</v>
      </c>
      <c r="B8" s="37"/>
      <c r="C8" s="10" t="s">
        <v>159</v>
      </c>
      <c r="D8" s="37"/>
      <c r="E8" s="37"/>
      <c r="F8" s="37"/>
      <c r="G8" s="37"/>
    </row>
    <row r="9" customFormat="false" ht="30" hidden="false" customHeight="true" outlineLevel="0" collapsed="false">
      <c r="A9" s="4" t="n">
        <v>6</v>
      </c>
      <c r="B9" s="40"/>
      <c r="C9" s="6" t="s">
        <v>160</v>
      </c>
      <c r="D9" s="40"/>
      <c r="E9" s="40"/>
      <c r="F9" s="40"/>
      <c r="G9" s="40"/>
    </row>
    <row r="10" customFormat="false" ht="30" hidden="false" customHeight="true" outlineLevel="0" collapsed="false">
      <c r="A10" s="8" t="n">
        <v>7</v>
      </c>
      <c r="B10" s="37"/>
      <c r="C10" s="10" t="s">
        <v>161</v>
      </c>
      <c r="D10" s="37"/>
      <c r="E10" s="37"/>
      <c r="F10" s="37"/>
      <c r="G10" s="37"/>
    </row>
    <row r="11" customFormat="false" ht="30" hidden="false" customHeight="true" outlineLevel="0" collapsed="false">
      <c r="A11" s="4" t="n">
        <v>8</v>
      </c>
      <c r="B11" s="40"/>
      <c r="C11" s="6" t="s">
        <v>162</v>
      </c>
      <c r="D11" s="40"/>
      <c r="E11" s="40"/>
      <c r="F11" s="40"/>
      <c r="G11" s="40"/>
    </row>
    <row r="12" customFormat="false" ht="30" hidden="false" customHeight="true" outlineLevel="0" collapsed="false">
      <c r="A12" s="8" t="n">
        <v>9</v>
      </c>
      <c r="B12" s="37"/>
      <c r="C12" s="10" t="s">
        <v>163</v>
      </c>
      <c r="D12" s="37"/>
      <c r="E12" s="37"/>
      <c r="F12" s="37"/>
      <c r="G12" s="37"/>
    </row>
    <row r="13" customFormat="false" ht="30" hidden="false" customHeight="true" outlineLevel="0" collapsed="false">
      <c r="A13" s="4" t="n">
        <v>10</v>
      </c>
      <c r="B13" s="40"/>
      <c r="C13" s="6" t="s">
        <v>164</v>
      </c>
      <c r="D13" s="40"/>
      <c r="E13" s="40"/>
      <c r="F13" s="40"/>
      <c r="G13" s="40"/>
    </row>
    <row r="14" customFormat="false" ht="30" hidden="false" customHeight="true" outlineLevel="0" collapsed="false">
      <c r="A14" s="8" t="n">
        <v>11</v>
      </c>
      <c r="B14" s="37"/>
      <c r="C14" s="10" t="s">
        <v>165</v>
      </c>
      <c r="D14" s="37"/>
      <c r="E14" s="37"/>
      <c r="F14" s="37"/>
      <c r="G14" s="37"/>
    </row>
    <row r="15" customFormat="false" ht="30" hidden="false" customHeight="true" outlineLevel="0" collapsed="false">
      <c r="A15" s="4" t="n">
        <v>12</v>
      </c>
      <c r="B15" s="40"/>
      <c r="C15" s="6" t="s">
        <v>166</v>
      </c>
      <c r="D15" s="40"/>
      <c r="E15" s="40"/>
      <c r="F15" s="40"/>
      <c r="G15" s="40"/>
    </row>
    <row r="16" customFormat="false" ht="30" hidden="false" customHeight="true" outlineLevel="0" collapsed="false">
      <c r="A16" s="8" t="n">
        <v>13</v>
      </c>
      <c r="B16" s="37"/>
      <c r="C16" s="10" t="s">
        <v>167</v>
      </c>
      <c r="D16" s="37"/>
      <c r="E16" s="37"/>
      <c r="F16" s="37"/>
      <c r="G16" s="37"/>
    </row>
    <row r="17" customFormat="false" ht="30" hidden="false" customHeight="true" outlineLevel="0" collapsed="false">
      <c r="A17" s="4" t="n">
        <v>14</v>
      </c>
      <c r="B17" s="40"/>
      <c r="C17" s="6" t="s">
        <v>168</v>
      </c>
      <c r="D17" s="40"/>
      <c r="E17" s="40"/>
      <c r="F17" s="40"/>
      <c r="G17" s="40"/>
    </row>
    <row r="18" customFormat="false" ht="30" hidden="false" customHeight="true" outlineLevel="0" collapsed="false">
      <c r="A18" s="8" t="n">
        <v>15</v>
      </c>
      <c r="B18" s="37"/>
      <c r="C18" s="10" t="s">
        <v>169</v>
      </c>
      <c r="D18" s="37"/>
      <c r="E18" s="37"/>
      <c r="F18" s="37"/>
      <c r="G18" s="37"/>
    </row>
    <row r="19" customFormat="false" ht="30" hidden="false" customHeight="true" outlineLevel="0" collapsed="false">
      <c r="A19" s="4" t="n">
        <v>16</v>
      </c>
      <c r="B19" s="40"/>
      <c r="C19" s="6" t="s">
        <v>170</v>
      </c>
      <c r="D19" s="40"/>
      <c r="E19" s="40"/>
      <c r="F19" s="40"/>
      <c r="G19" s="40"/>
    </row>
    <row r="20" customFormat="false" ht="30" hidden="false" customHeight="true" outlineLevel="0" collapsed="false">
      <c r="A20" s="8" t="n">
        <v>17</v>
      </c>
      <c r="B20" s="37"/>
      <c r="C20" s="10" t="s">
        <v>171</v>
      </c>
      <c r="D20" s="37"/>
      <c r="E20" s="37"/>
      <c r="F20" s="37"/>
      <c r="G20" s="37"/>
    </row>
    <row r="21" customFormat="false" ht="30" hidden="false" customHeight="true" outlineLevel="0" collapsed="false">
      <c r="A21" s="4" t="n">
        <v>18</v>
      </c>
      <c r="B21" s="40"/>
      <c r="C21" s="6" t="s">
        <v>172</v>
      </c>
      <c r="D21" s="40"/>
      <c r="E21" s="40"/>
      <c r="F21" s="40"/>
      <c r="G21" s="40"/>
    </row>
    <row r="23" customFormat="false" ht="25.5" hidden="false" customHeight="true" outlineLevel="0" collapsed="false">
      <c r="A23" s="66" t="s">
        <v>173</v>
      </c>
      <c r="B23" s="66"/>
      <c r="C23" s="66"/>
      <c r="D23" s="66"/>
      <c r="E23" s="66"/>
      <c r="F23" s="66"/>
      <c r="G23" s="66"/>
    </row>
    <row r="24" customFormat="false" ht="15" hidden="false" customHeight="true" outlineLevel="0" collapsed="false">
      <c r="A24" s="73" t="s">
        <v>174</v>
      </c>
      <c r="B24" s="73"/>
      <c r="C24" s="73"/>
      <c r="D24" s="74" t="n">
        <f aca="false">COUNTIF(D4:D21,"Y")</f>
        <v>0</v>
      </c>
      <c r="E24" s="75"/>
      <c r="F24" s="75"/>
      <c r="G24" s="75"/>
    </row>
    <row r="25" customFormat="false" ht="15" hidden="false" customHeight="true" outlineLevel="0" collapsed="false">
      <c r="A25" s="73" t="s">
        <v>175</v>
      </c>
      <c r="B25" s="73"/>
      <c r="C25" s="73"/>
      <c r="D25" s="74" t="n">
        <f aca="false">IFERROR(COUNTIF(D4:D21,"Y")/18*100,0)</f>
        <v>0</v>
      </c>
      <c r="E25" s="75"/>
      <c r="F25" s="75"/>
      <c r="G25" s="75"/>
    </row>
  </sheetData>
  <mergeCells count="5">
    <mergeCell ref="A1:G1"/>
    <mergeCell ref="A2:G2"/>
    <mergeCell ref="A23:G23"/>
    <mergeCell ref="A24:C24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76" t="s">
        <v>18</v>
      </c>
      <c r="B1" s="76"/>
      <c r="C1" s="76"/>
      <c r="D1" s="76"/>
      <c r="E1" s="76"/>
      <c r="F1" s="76"/>
      <c r="G1" s="76"/>
      <c r="H1" s="76"/>
      <c r="I1" s="76"/>
    </row>
    <row r="2" customFormat="false" ht="25.5" hidden="false" customHeight="true" outlineLevel="0" collapsed="false">
      <c r="A2" s="77" t="s">
        <v>176</v>
      </c>
      <c r="B2" s="77"/>
      <c r="C2" s="77"/>
      <c r="D2" s="77"/>
      <c r="E2" s="77"/>
      <c r="F2" s="77"/>
      <c r="G2" s="77"/>
      <c r="H2" s="77"/>
      <c r="I2" s="77"/>
    </row>
    <row r="3" customFormat="false" ht="35.05" hidden="false" customHeight="false" outlineLevel="0" collapsed="false">
      <c r="A3" s="78" t="s">
        <v>88</v>
      </c>
      <c r="B3" s="78" t="s">
        <v>177</v>
      </c>
      <c r="C3" s="78" t="s">
        <v>178</v>
      </c>
      <c r="D3" s="78" t="s">
        <v>179</v>
      </c>
      <c r="E3" s="78" t="s">
        <v>180</v>
      </c>
      <c r="F3" s="78" t="s">
        <v>181</v>
      </c>
      <c r="G3" s="78" t="s">
        <v>126</v>
      </c>
      <c r="H3" s="78" t="s">
        <v>182</v>
      </c>
      <c r="I3" s="78" t="s">
        <v>89</v>
      </c>
    </row>
    <row r="4" customFormat="false" ht="36" hidden="false" customHeight="true" outlineLevel="0" collapsed="false">
      <c r="A4" s="8" t="n">
        <v>1</v>
      </c>
      <c r="B4" s="37"/>
      <c r="C4" s="37"/>
      <c r="D4" s="37"/>
      <c r="E4" s="37"/>
      <c r="F4" s="37"/>
      <c r="G4" s="37"/>
      <c r="H4" s="37"/>
      <c r="I4" s="37"/>
    </row>
    <row r="5" customFormat="false" ht="36" hidden="false" customHeight="true" outlineLevel="0" collapsed="false">
      <c r="A5" s="4" t="n">
        <v>2</v>
      </c>
      <c r="B5" s="40"/>
      <c r="C5" s="40"/>
      <c r="D5" s="40"/>
      <c r="E5" s="40"/>
      <c r="F5" s="40"/>
      <c r="G5" s="40"/>
      <c r="H5" s="40"/>
      <c r="I5" s="40"/>
    </row>
    <row r="6" customFormat="false" ht="36" hidden="false" customHeight="true" outlineLevel="0" collapsed="false">
      <c r="A6" s="8" t="n">
        <v>3</v>
      </c>
      <c r="B6" s="37"/>
      <c r="C6" s="37"/>
      <c r="D6" s="37"/>
      <c r="E6" s="37"/>
      <c r="F6" s="37"/>
      <c r="G6" s="37"/>
      <c r="H6" s="37"/>
      <c r="I6" s="37"/>
    </row>
    <row r="7" customFormat="false" ht="36" hidden="false" customHeight="true" outlineLevel="0" collapsed="false">
      <c r="A7" s="4" t="n">
        <v>4</v>
      </c>
      <c r="B7" s="40"/>
      <c r="C7" s="40"/>
      <c r="D7" s="40"/>
      <c r="E7" s="40"/>
      <c r="F7" s="40"/>
      <c r="G7" s="40"/>
      <c r="H7" s="40"/>
      <c r="I7" s="40"/>
    </row>
    <row r="8" customFormat="false" ht="36" hidden="false" customHeight="true" outlineLevel="0" collapsed="false">
      <c r="A8" s="8" t="n">
        <v>5</v>
      </c>
      <c r="B8" s="37"/>
      <c r="C8" s="37"/>
      <c r="D8" s="37"/>
      <c r="E8" s="37"/>
      <c r="F8" s="37"/>
      <c r="G8" s="37"/>
      <c r="H8" s="37"/>
      <c r="I8" s="37"/>
    </row>
    <row r="9" customFormat="false" ht="36" hidden="false" customHeight="true" outlineLevel="0" collapsed="false">
      <c r="A9" s="4" t="n">
        <v>6</v>
      </c>
      <c r="B9" s="40"/>
      <c r="C9" s="40"/>
      <c r="D9" s="40"/>
      <c r="E9" s="40"/>
      <c r="F9" s="40"/>
      <c r="G9" s="40"/>
      <c r="H9" s="40"/>
      <c r="I9" s="40"/>
    </row>
    <row r="10" customFormat="false" ht="36" hidden="false" customHeight="true" outlineLevel="0" collapsed="false">
      <c r="A10" s="8" t="n">
        <v>7</v>
      </c>
      <c r="B10" s="37"/>
      <c r="C10" s="37"/>
      <c r="D10" s="37"/>
      <c r="E10" s="37"/>
      <c r="F10" s="37"/>
      <c r="G10" s="37"/>
      <c r="H10" s="37"/>
      <c r="I10" s="37"/>
    </row>
    <row r="11" customFormat="false" ht="36" hidden="false" customHeight="true" outlineLevel="0" collapsed="false">
      <c r="A11" s="4" t="n">
        <v>8</v>
      </c>
      <c r="B11" s="40"/>
      <c r="C11" s="40"/>
      <c r="D11" s="40"/>
      <c r="E11" s="40"/>
      <c r="F11" s="40"/>
      <c r="G11" s="40"/>
      <c r="H11" s="40"/>
      <c r="I11" s="40"/>
    </row>
    <row r="12" customFormat="false" ht="36" hidden="false" customHeight="true" outlineLevel="0" collapsed="false">
      <c r="A12" s="8" t="n">
        <v>9</v>
      </c>
      <c r="B12" s="37"/>
      <c r="C12" s="37"/>
      <c r="D12" s="37"/>
      <c r="E12" s="37"/>
      <c r="F12" s="37"/>
      <c r="G12" s="37"/>
      <c r="H12" s="37"/>
      <c r="I12" s="37"/>
    </row>
    <row r="13" customFormat="false" ht="36" hidden="false" customHeight="true" outlineLevel="0" collapsed="false">
      <c r="A13" s="4" t="n">
        <v>10</v>
      </c>
      <c r="B13" s="40"/>
      <c r="C13" s="40"/>
      <c r="D13" s="40"/>
      <c r="E13" s="40"/>
      <c r="F13" s="40"/>
      <c r="G13" s="40"/>
      <c r="H13" s="40"/>
      <c r="I13" s="40"/>
    </row>
    <row r="14" customFormat="false" ht="36" hidden="false" customHeight="true" outlineLevel="0" collapsed="false">
      <c r="A14" s="8" t="n">
        <v>11</v>
      </c>
      <c r="B14" s="37"/>
      <c r="C14" s="37"/>
      <c r="D14" s="37"/>
      <c r="E14" s="37"/>
      <c r="F14" s="37"/>
      <c r="G14" s="37"/>
      <c r="H14" s="37"/>
      <c r="I14" s="37"/>
    </row>
    <row r="15" customFormat="false" ht="36" hidden="false" customHeight="true" outlineLevel="0" collapsed="false">
      <c r="A15" s="4" t="n">
        <v>12</v>
      </c>
      <c r="B15" s="40"/>
      <c r="C15" s="40"/>
      <c r="D15" s="40"/>
      <c r="E15" s="40"/>
      <c r="F15" s="40"/>
      <c r="G15" s="40"/>
      <c r="H15" s="40"/>
      <c r="I15" s="40"/>
    </row>
    <row r="16" customFormat="false" ht="36" hidden="false" customHeight="true" outlineLevel="0" collapsed="false">
      <c r="A16" s="8" t="n">
        <v>13</v>
      </c>
      <c r="B16" s="37"/>
      <c r="C16" s="37"/>
      <c r="D16" s="37"/>
      <c r="E16" s="37"/>
      <c r="F16" s="37"/>
      <c r="G16" s="37"/>
      <c r="H16" s="37"/>
      <c r="I16" s="37"/>
    </row>
    <row r="17" customFormat="false" ht="36" hidden="false" customHeight="true" outlineLevel="0" collapsed="false">
      <c r="A17" s="4" t="n">
        <v>14</v>
      </c>
      <c r="B17" s="40"/>
      <c r="C17" s="40"/>
      <c r="D17" s="40"/>
      <c r="E17" s="40"/>
      <c r="F17" s="40"/>
      <c r="G17" s="40"/>
      <c r="H17" s="40"/>
      <c r="I17" s="40"/>
    </row>
    <row r="18" customFormat="false" ht="36" hidden="false" customHeight="true" outlineLevel="0" collapsed="false">
      <c r="A18" s="8" t="n">
        <v>15</v>
      </c>
      <c r="B18" s="37"/>
      <c r="C18" s="37"/>
      <c r="D18" s="37"/>
      <c r="E18" s="37"/>
      <c r="F18" s="37"/>
      <c r="G18" s="37"/>
      <c r="H18" s="37"/>
      <c r="I18" s="37"/>
    </row>
    <row r="19" customFormat="false" ht="36" hidden="false" customHeight="true" outlineLevel="0" collapsed="false">
      <c r="A19" s="4" t="n">
        <v>16</v>
      </c>
      <c r="B19" s="40"/>
      <c r="C19" s="40"/>
      <c r="D19" s="40"/>
      <c r="E19" s="40"/>
      <c r="F19" s="40"/>
      <c r="G19" s="40"/>
      <c r="H19" s="40"/>
      <c r="I19" s="40"/>
    </row>
    <row r="20" customFormat="false" ht="36" hidden="false" customHeight="true" outlineLevel="0" collapsed="false">
      <c r="A20" s="8" t="n">
        <v>17</v>
      </c>
      <c r="B20" s="37"/>
      <c r="C20" s="37"/>
      <c r="D20" s="37"/>
      <c r="E20" s="37"/>
      <c r="F20" s="37"/>
      <c r="G20" s="37"/>
      <c r="H20" s="37"/>
      <c r="I20" s="37"/>
    </row>
    <row r="21" customFormat="false" ht="36" hidden="false" customHeight="true" outlineLevel="0" collapsed="false">
      <c r="A21" s="4" t="n">
        <v>18</v>
      </c>
      <c r="B21" s="40"/>
      <c r="C21" s="40"/>
      <c r="D21" s="40"/>
      <c r="E21" s="40"/>
      <c r="F21" s="40"/>
      <c r="G21" s="40"/>
      <c r="H21" s="40"/>
      <c r="I21" s="40"/>
    </row>
    <row r="22" customFormat="false" ht="36" hidden="false" customHeight="true" outlineLevel="0" collapsed="false">
      <c r="A22" s="8" t="n">
        <v>19</v>
      </c>
      <c r="B22" s="37"/>
      <c r="C22" s="37"/>
      <c r="D22" s="37"/>
      <c r="E22" s="37"/>
      <c r="F22" s="37"/>
      <c r="G22" s="37"/>
      <c r="H22" s="37"/>
      <c r="I22" s="37"/>
    </row>
    <row r="23" customFormat="false" ht="36" hidden="false" customHeight="true" outlineLevel="0" collapsed="false">
      <c r="A23" s="4" t="n">
        <v>20</v>
      </c>
      <c r="B23" s="40"/>
      <c r="C23" s="40"/>
      <c r="D23" s="40"/>
      <c r="E23" s="40"/>
      <c r="F23" s="40"/>
      <c r="G23" s="40"/>
      <c r="H23" s="40"/>
      <c r="I23" s="40"/>
    </row>
    <row r="24" customFormat="false" ht="36" hidden="false" customHeight="true" outlineLevel="0" collapsed="false">
      <c r="A24" s="8" t="n">
        <v>21</v>
      </c>
      <c r="B24" s="37"/>
      <c r="C24" s="37"/>
      <c r="D24" s="37"/>
      <c r="E24" s="37"/>
      <c r="F24" s="37"/>
      <c r="G24" s="37"/>
      <c r="H24" s="37"/>
      <c r="I24" s="37"/>
    </row>
    <row r="25" customFormat="false" ht="36" hidden="false" customHeight="true" outlineLevel="0" collapsed="false">
      <c r="A25" s="4" t="n">
        <v>22</v>
      </c>
      <c r="B25" s="40"/>
      <c r="C25" s="40"/>
      <c r="D25" s="40"/>
      <c r="E25" s="40"/>
      <c r="F25" s="40"/>
      <c r="G25" s="40"/>
      <c r="H25" s="40"/>
      <c r="I25" s="40"/>
    </row>
    <row r="26" customFormat="false" ht="36" hidden="false" customHeight="true" outlineLevel="0" collapsed="false">
      <c r="A26" s="8" t="n">
        <v>23</v>
      </c>
      <c r="B26" s="37"/>
      <c r="C26" s="37"/>
      <c r="D26" s="37"/>
      <c r="E26" s="37"/>
      <c r="F26" s="37"/>
      <c r="G26" s="37"/>
      <c r="H26" s="37"/>
      <c r="I26" s="37"/>
    </row>
    <row r="27" customFormat="false" ht="36" hidden="false" customHeight="true" outlineLevel="0" collapsed="false">
      <c r="A27" s="4" t="n">
        <v>24</v>
      </c>
      <c r="B27" s="40"/>
      <c r="C27" s="40"/>
      <c r="D27" s="40"/>
      <c r="E27" s="40"/>
      <c r="F27" s="40"/>
      <c r="G27" s="40"/>
      <c r="H27" s="40"/>
      <c r="I27" s="40"/>
    </row>
    <row r="28" customFormat="false" ht="36" hidden="false" customHeight="true" outlineLevel="0" collapsed="false">
      <c r="A28" s="8" t="n">
        <v>25</v>
      </c>
      <c r="B28" s="37"/>
      <c r="C28" s="37"/>
      <c r="D28" s="37"/>
      <c r="E28" s="37"/>
      <c r="F28" s="37"/>
      <c r="G28" s="37"/>
      <c r="H28" s="37"/>
      <c r="I28" s="37"/>
    </row>
    <row r="29" customFormat="false" ht="36" hidden="false" customHeight="true" outlineLevel="0" collapsed="false">
      <c r="A29" s="4" t="n">
        <v>26</v>
      </c>
      <c r="B29" s="40"/>
      <c r="C29" s="40"/>
      <c r="D29" s="40"/>
      <c r="E29" s="40"/>
      <c r="F29" s="40"/>
      <c r="G29" s="40"/>
      <c r="H29" s="40"/>
      <c r="I29" s="40"/>
    </row>
    <row r="30" customFormat="false" ht="36" hidden="false" customHeight="true" outlineLevel="0" collapsed="false">
      <c r="A30" s="8" t="n">
        <v>27</v>
      </c>
      <c r="B30" s="37"/>
      <c r="C30" s="37"/>
      <c r="D30" s="37"/>
      <c r="E30" s="37"/>
      <c r="F30" s="37"/>
      <c r="G30" s="37"/>
      <c r="H30" s="37"/>
      <c r="I30" s="37"/>
    </row>
    <row r="31" customFormat="false" ht="36" hidden="false" customHeight="true" outlineLevel="0" collapsed="false">
      <c r="A31" s="4" t="n">
        <v>28</v>
      </c>
      <c r="B31" s="40"/>
      <c r="C31" s="40"/>
      <c r="D31" s="40"/>
      <c r="E31" s="40"/>
      <c r="F31" s="40"/>
      <c r="G31" s="40"/>
      <c r="H31" s="40"/>
      <c r="I31" s="40"/>
    </row>
    <row r="32" customFormat="false" ht="36" hidden="false" customHeight="true" outlineLevel="0" collapsed="false">
      <c r="A32" s="8" t="n">
        <v>29</v>
      </c>
      <c r="B32" s="37"/>
      <c r="C32" s="37"/>
      <c r="D32" s="37"/>
      <c r="E32" s="37"/>
      <c r="F32" s="37"/>
      <c r="G32" s="37"/>
      <c r="H32" s="37"/>
      <c r="I32" s="37"/>
    </row>
    <row r="33" customFormat="false" ht="36" hidden="false" customHeight="true" outlineLevel="0" collapsed="false">
      <c r="A33" s="4" t="n">
        <v>30</v>
      </c>
      <c r="B33" s="40"/>
      <c r="C33" s="40"/>
      <c r="D33" s="40"/>
      <c r="E33" s="40"/>
      <c r="F33" s="40"/>
      <c r="G33" s="40"/>
      <c r="H33" s="40"/>
      <c r="I33" s="40"/>
    </row>
    <row r="34" customFormat="false" ht="36" hidden="false" customHeight="true" outlineLevel="0" collapsed="false">
      <c r="A34" s="8" t="n">
        <v>31</v>
      </c>
      <c r="B34" s="37"/>
      <c r="C34" s="37"/>
      <c r="D34" s="37"/>
      <c r="E34" s="37"/>
      <c r="F34" s="37"/>
      <c r="G34" s="37"/>
      <c r="H34" s="37"/>
      <c r="I34" s="37"/>
    </row>
    <row r="35" customFormat="false" ht="36" hidden="false" customHeight="true" outlineLevel="0" collapsed="false">
      <c r="A35" s="4" t="n">
        <v>32</v>
      </c>
      <c r="B35" s="40"/>
      <c r="C35" s="40"/>
      <c r="D35" s="40"/>
      <c r="E35" s="40"/>
      <c r="F35" s="40"/>
      <c r="G35" s="40"/>
      <c r="H35" s="40"/>
      <c r="I35" s="40"/>
    </row>
    <row r="36" customFormat="false" ht="36" hidden="false" customHeight="true" outlineLevel="0" collapsed="false">
      <c r="A36" s="8" t="n">
        <v>33</v>
      </c>
      <c r="B36" s="37"/>
      <c r="C36" s="37"/>
      <c r="D36" s="37"/>
      <c r="E36" s="37"/>
      <c r="F36" s="37"/>
      <c r="G36" s="37"/>
      <c r="H36" s="37"/>
      <c r="I36" s="37"/>
    </row>
    <row r="37" customFormat="false" ht="36" hidden="false" customHeight="true" outlineLevel="0" collapsed="false">
      <c r="A37" s="4" t="n">
        <v>34</v>
      </c>
      <c r="B37" s="40"/>
      <c r="C37" s="40"/>
      <c r="D37" s="40"/>
      <c r="E37" s="40"/>
      <c r="F37" s="40"/>
      <c r="G37" s="40"/>
      <c r="H37" s="40"/>
      <c r="I37" s="40"/>
    </row>
    <row r="38" customFormat="false" ht="36" hidden="false" customHeight="true" outlineLevel="0" collapsed="false">
      <c r="A38" s="8" t="n">
        <v>35</v>
      </c>
      <c r="B38" s="37"/>
      <c r="C38" s="37"/>
      <c r="D38" s="37"/>
      <c r="E38" s="37"/>
      <c r="F38" s="37"/>
      <c r="G38" s="37"/>
      <c r="H38" s="37"/>
      <c r="I38" s="37"/>
    </row>
    <row r="39" customFormat="false" ht="36" hidden="false" customHeight="true" outlineLevel="0" collapsed="false">
      <c r="A39" s="4" t="n">
        <v>36</v>
      </c>
      <c r="B39" s="40"/>
      <c r="C39" s="40"/>
      <c r="D39" s="40"/>
      <c r="E39" s="40"/>
      <c r="F39" s="40"/>
      <c r="G39" s="40"/>
      <c r="H39" s="40"/>
      <c r="I39" s="40"/>
    </row>
    <row r="40" customFormat="false" ht="36" hidden="false" customHeight="true" outlineLevel="0" collapsed="false">
      <c r="A40" s="8" t="n">
        <v>37</v>
      </c>
      <c r="B40" s="37"/>
      <c r="C40" s="37"/>
      <c r="D40" s="37"/>
      <c r="E40" s="37"/>
      <c r="F40" s="37"/>
      <c r="G40" s="37"/>
      <c r="H40" s="37"/>
      <c r="I40" s="37"/>
    </row>
    <row r="41" customFormat="false" ht="36" hidden="false" customHeight="true" outlineLevel="0" collapsed="false">
      <c r="A41" s="4" t="n">
        <v>38</v>
      </c>
      <c r="B41" s="40"/>
      <c r="C41" s="40"/>
      <c r="D41" s="40"/>
      <c r="E41" s="40"/>
      <c r="F41" s="40"/>
      <c r="G41" s="40"/>
      <c r="H41" s="40"/>
      <c r="I41" s="40"/>
    </row>
    <row r="42" customFormat="false" ht="36" hidden="false" customHeight="true" outlineLevel="0" collapsed="false">
      <c r="A42" s="8" t="n">
        <v>39</v>
      </c>
      <c r="B42" s="37"/>
      <c r="C42" s="37"/>
      <c r="D42" s="37"/>
      <c r="E42" s="37"/>
      <c r="F42" s="37"/>
      <c r="G42" s="37"/>
      <c r="H42" s="37"/>
      <c r="I42" s="37"/>
    </row>
    <row r="43" customFormat="false" ht="36" hidden="false" customHeight="true" outlineLevel="0" collapsed="false">
      <c r="A43" s="4" t="n">
        <v>40</v>
      </c>
      <c r="B43" s="40"/>
      <c r="C43" s="40"/>
      <c r="D43" s="40"/>
      <c r="E43" s="40"/>
      <c r="F43" s="40"/>
      <c r="G43" s="40"/>
      <c r="H43" s="40"/>
      <c r="I43" s="40"/>
    </row>
    <row r="45" customFormat="false" ht="25.5" hidden="false" customHeight="true" outlineLevel="0" collapsed="false">
      <c r="A45" s="71" t="s">
        <v>183</v>
      </c>
      <c r="B45" s="71"/>
      <c r="C45" s="71"/>
      <c r="D45" s="71"/>
      <c r="E45" s="71"/>
      <c r="F45" s="71"/>
      <c r="G45" s="71"/>
      <c r="H45" s="71"/>
      <c r="I45" s="71"/>
    </row>
    <row r="46" customFormat="false" ht="23.85" hidden="false" customHeight="false" outlineLevel="0" collapsed="false">
      <c r="A46" s="72" t="s">
        <v>88</v>
      </c>
      <c r="B46" s="72" t="s">
        <v>89</v>
      </c>
      <c r="C46" s="72" t="s">
        <v>184</v>
      </c>
      <c r="D46" s="72" t="s">
        <v>185</v>
      </c>
      <c r="E46" s="72" t="s">
        <v>186</v>
      </c>
      <c r="F46" s="72" t="s">
        <v>187</v>
      </c>
      <c r="G46" s="72" t="s">
        <v>188</v>
      </c>
      <c r="H46" s="72" t="s">
        <v>189</v>
      </c>
      <c r="I46" s="72" t="s">
        <v>135</v>
      </c>
    </row>
    <row r="47" customFormat="false" ht="15" hidden="false" customHeight="false" outlineLevel="0" collapsed="false">
      <c r="A47" s="4" t="n">
        <v>1</v>
      </c>
      <c r="B47" s="40"/>
      <c r="C47" s="40"/>
      <c r="D47" s="40"/>
      <c r="E47" s="40"/>
      <c r="F47" s="40"/>
      <c r="G47" s="40"/>
      <c r="H47" s="40"/>
      <c r="I47" s="40"/>
    </row>
    <row r="48" customFormat="false" ht="15" hidden="false" customHeight="false" outlineLevel="0" collapsed="false">
      <c r="A48" s="8" t="n">
        <v>2</v>
      </c>
      <c r="B48" s="37"/>
      <c r="C48" s="37"/>
      <c r="D48" s="37"/>
      <c r="E48" s="37"/>
      <c r="F48" s="37"/>
      <c r="G48" s="37"/>
      <c r="H48" s="37"/>
      <c r="I48" s="37"/>
    </row>
    <row r="49" customFormat="false" ht="15" hidden="false" customHeight="false" outlineLevel="0" collapsed="false">
      <c r="A49" s="4" t="n">
        <v>3</v>
      </c>
      <c r="B49" s="40"/>
      <c r="C49" s="40"/>
      <c r="D49" s="40"/>
      <c r="E49" s="40"/>
      <c r="F49" s="40"/>
      <c r="G49" s="40"/>
      <c r="H49" s="40"/>
      <c r="I49" s="40"/>
    </row>
    <row r="50" customFormat="false" ht="15" hidden="false" customHeight="false" outlineLevel="0" collapsed="false">
      <c r="A50" s="8" t="n">
        <v>4</v>
      </c>
      <c r="B50" s="37"/>
      <c r="C50" s="37"/>
      <c r="D50" s="37"/>
      <c r="E50" s="37"/>
      <c r="F50" s="37"/>
      <c r="G50" s="37"/>
      <c r="H50" s="37"/>
      <c r="I50" s="37"/>
    </row>
    <row r="51" customFormat="false" ht="15" hidden="false" customHeight="false" outlineLevel="0" collapsed="false">
      <c r="A51" s="4" t="n">
        <v>5</v>
      </c>
      <c r="B51" s="40"/>
      <c r="C51" s="40"/>
      <c r="D51" s="40"/>
      <c r="E51" s="40"/>
      <c r="F51" s="40"/>
      <c r="G51" s="40"/>
      <c r="H51" s="40"/>
      <c r="I51" s="40"/>
    </row>
    <row r="52" customFormat="false" ht="15" hidden="false" customHeight="false" outlineLevel="0" collapsed="false">
      <c r="A52" s="8" t="n">
        <v>6</v>
      </c>
      <c r="B52" s="37"/>
      <c r="C52" s="37"/>
      <c r="D52" s="37"/>
      <c r="E52" s="37"/>
      <c r="F52" s="37"/>
      <c r="G52" s="37"/>
      <c r="H52" s="37"/>
      <c r="I52" s="37"/>
    </row>
    <row r="53" customFormat="false" ht="15" hidden="false" customHeight="false" outlineLevel="0" collapsed="false">
      <c r="A53" s="4" t="n">
        <v>7</v>
      </c>
      <c r="B53" s="40"/>
      <c r="C53" s="40"/>
      <c r="D53" s="40"/>
      <c r="E53" s="40"/>
      <c r="F53" s="40"/>
      <c r="G53" s="40"/>
      <c r="H53" s="40"/>
      <c r="I53" s="40"/>
    </row>
    <row r="54" customFormat="false" ht="15" hidden="false" customHeight="false" outlineLevel="0" collapsed="false">
      <c r="A54" s="8" t="n">
        <v>8</v>
      </c>
      <c r="B54" s="37"/>
      <c r="C54" s="37"/>
      <c r="D54" s="37"/>
      <c r="E54" s="37"/>
      <c r="F54" s="37"/>
      <c r="G54" s="37"/>
      <c r="H54" s="37"/>
      <c r="I54" s="37"/>
    </row>
    <row r="55" customFormat="false" ht="15" hidden="false" customHeight="false" outlineLevel="0" collapsed="false">
      <c r="A55" s="4" t="n">
        <v>9</v>
      </c>
      <c r="B55" s="40"/>
      <c r="C55" s="40"/>
      <c r="D55" s="40"/>
      <c r="E55" s="40"/>
      <c r="F55" s="40"/>
      <c r="G55" s="40"/>
      <c r="H55" s="40"/>
      <c r="I55" s="40"/>
    </row>
    <row r="56" customFormat="false" ht="15" hidden="false" customHeight="false" outlineLevel="0" collapsed="false">
      <c r="A56" s="8" t="n">
        <v>10</v>
      </c>
      <c r="B56" s="37"/>
      <c r="C56" s="37"/>
      <c r="D56" s="37"/>
      <c r="E56" s="37"/>
      <c r="F56" s="37"/>
      <c r="G56" s="37"/>
      <c r="H56" s="37"/>
      <c r="I56" s="37"/>
    </row>
    <row r="57" customFormat="false" ht="15" hidden="false" customHeight="false" outlineLevel="0" collapsed="false">
      <c r="A57" s="4" t="n">
        <v>11</v>
      </c>
      <c r="B57" s="40"/>
      <c r="C57" s="40"/>
      <c r="D57" s="40"/>
      <c r="E57" s="40"/>
      <c r="F57" s="40"/>
      <c r="G57" s="40"/>
      <c r="H57" s="40"/>
      <c r="I57" s="40"/>
    </row>
    <row r="58" customFormat="false" ht="15" hidden="false" customHeight="false" outlineLevel="0" collapsed="false">
      <c r="A58" s="8" t="n">
        <v>12</v>
      </c>
      <c r="B58" s="37"/>
      <c r="C58" s="37"/>
      <c r="D58" s="37"/>
      <c r="E58" s="37"/>
      <c r="F58" s="37"/>
      <c r="G58" s="37"/>
      <c r="H58" s="37"/>
      <c r="I58" s="37"/>
    </row>
    <row r="59" customFormat="false" ht="15" hidden="false" customHeight="false" outlineLevel="0" collapsed="false">
      <c r="A59" s="4" t="n">
        <v>13</v>
      </c>
      <c r="B59" s="40"/>
      <c r="C59" s="40"/>
      <c r="D59" s="40"/>
      <c r="E59" s="40"/>
      <c r="F59" s="40"/>
      <c r="G59" s="40"/>
      <c r="H59" s="40"/>
      <c r="I59" s="40"/>
    </row>
    <row r="60" customFormat="false" ht="15" hidden="false" customHeight="false" outlineLevel="0" collapsed="false">
      <c r="A60" s="8" t="n">
        <v>14</v>
      </c>
      <c r="B60" s="37"/>
      <c r="C60" s="37"/>
      <c r="D60" s="37"/>
      <c r="E60" s="37"/>
      <c r="F60" s="37"/>
      <c r="G60" s="37"/>
      <c r="H60" s="37"/>
      <c r="I60" s="37"/>
    </row>
    <row r="61" customFormat="false" ht="15" hidden="false" customHeight="false" outlineLevel="0" collapsed="false">
      <c r="A61" s="4" t="n">
        <v>15</v>
      </c>
      <c r="B61" s="40"/>
      <c r="C61" s="40"/>
      <c r="D61" s="40"/>
      <c r="E61" s="40"/>
      <c r="F61" s="40"/>
      <c r="G61" s="40"/>
      <c r="H61" s="40"/>
      <c r="I61" s="40"/>
    </row>
    <row r="62" customFormat="false" ht="15" hidden="false" customHeight="false" outlineLevel="0" collapsed="false">
      <c r="A62" s="8" t="n">
        <v>16</v>
      </c>
      <c r="B62" s="37"/>
      <c r="C62" s="37"/>
      <c r="D62" s="37"/>
      <c r="E62" s="37"/>
      <c r="F62" s="37"/>
      <c r="G62" s="37"/>
      <c r="H62" s="37"/>
      <c r="I62" s="37"/>
    </row>
    <row r="63" customFormat="false" ht="15" hidden="false" customHeight="false" outlineLevel="0" collapsed="false">
      <c r="A63" s="4" t="n">
        <v>17</v>
      </c>
      <c r="B63" s="40"/>
      <c r="C63" s="40"/>
      <c r="D63" s="40"/>
      <c r="E63" s="40"/>
      <c r="F63" s="40"/>
      <c r="G63" s="40"/>
      <c r="H63" s="40"/>
      <c r="I63" s="40"/>
    </row>
    <row r="64" customFormat="false" ht="15" hidden="false" customHeight="false" outlineLevel="0" collapsed="false">
      <c r="A64" s="8" t="n">
        <v>18</v>
      </c>
      <c r="B64" s="37"/>
      <c r="C64" s="37"/>
      <c r="D64" s="37"/>
      <c r="E64" s="37"/>
      <c r="F64" s="37"/>
      <c r="G64" s="37"/>
      <c r="H64" s="37"/>
      <c r="I64" s="37"/>
    </row>
    <row r="65" customFormat="false" ht="15" hidden="false" customHeight="false" outlineLevel="0" collapsed="false">
      <c r="A65" s="4" t="n">
        <v>19</v>
      </c>
      <c r="B65" s="40"/>
      <c r="C65" s="40"/>
      <c r="D65" s="40"/>
      <c r="E65" s="40"/>
      <c r="F65" s="40"/>
      <c r="G65" s="40"/>
      <c r="H65" s="40"/>
      <c r="I65" s="40"/>
    </row>
    <row r="66" customFormat="false" ht="15" hidden="false" customHeight="false" outlineLevel="0" collapsed="false">
      <c r="A66" s="8" t="n">
        <v>20</v>
      </c>
      <c r="B66" s="37"/>
      <c r="C66" s="37"/>
      <c r="D66" s="37"/>
      <c r="E66" s="37"/>
      <c r="F66" s="37"/>
      <c r="G66" s="37"/>
      <c r="H66" s="37"/>
      <c r="I66" s="37"/>
    </row>
  </sheetData>
  <mergeCells count="3">
    <mergeCell ref="A1:I1"/>
    <mergeCell ref="A2:I2"/>
    <mergeCell ref="A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T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8"/>
    <col collapsed="false" customWidth="true" hidden="false" outlineLevel="0" max="20" min="19" style="0" width="14"/>
  </cols>
  <sheetData>
    <row r="1" customFormat="false" ht="33.75" hidden="false" customHeight="true" outlineLevel="0" collapsed="false">
      <c r="A1" s="79" t="s">
        <v>190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customFormat="false" ht="25.5" hidden="false" customHeight="true" outlineLevel="0" collapsed="false">
      <c r="A2" s="43" t="s">
        <v>191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4" customFormat="false" ht="23.85" hidden="false" customHeight="false" outlineLevel="0" collapsed="false">
      <c r="A4" s="44" t="s">
        <v>99</v>
      </c>
      <c r="B4" s="45" t="s">
        <v>100</v>
      </c>
      <c r="C4" s="46" t="s">
        <v>101</v>
      </c>
      <c r="D4" s="47" t="s">
        <v>102</v>
      </c>
      <c r="E4" s="48" t="s">
        <v>103</v>
      </c>
      <c r="F4" s="49" t="s">
        <v>104</v>
      </c>
      <c r="G4" s="50" t="s">
        <v>105</v>
      </c>
      <c r="H4" s="51" t="s">
        <v>106</v>
      </c>
      <c r="I4" s="52" t="s">
        <v>107</v>
      </c>
      <c r="J4" s="53" t="s">
        <v>108</v>
      </c>
      <c r="K4" s="54" t="s">
        <v>109</v>
      </c>
      <c r="L4" s="55" t="s">
        <v>110</v>
      </c>
      <c r="M4" s="56" t="s">
        <v>111</v>
      </c>
      <c r="N4" s="57" t="s">
        <v>112</v>
      </c>
      <c r="O4" s="58" t="s">
        <v>113</v>
      </c>
      <c r="P4" s="59" t="s">
        <v>114</v>
      </c>
      <c r="Q4" s="60" t="s">
        <v>115</v>
      </c>
      <c r="R4" s="61" t="s">
        <v>116</v>
      </c>
      <c r="S4" s="62" t="s">
        <v>192</v>
      </c>
      <c r="T4" s="62" t="s">
        <v>193</v>
      </c>
    </row>
    <row r="5" customFormat="false" ht="15" hidden="false" customHeight="false" outlineLevel="0" collapsed="false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7" t="n">
        <f aca="false">SUM(B5:R5)</f>
        <v>0</v>
      </c>
      <c r="T5" s="7" t="n">
        <f aca="false">COUNTIF(B5:R5,"&gt;=1")</f>
        <v>0</v>
      </c>
    </row>
    <row r="6" customFormat="false" ht="15" hidden="false" customHeight="false" outlineLevel="0" collapsed="false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11" t="n">
        <f aca="false">SUM(B6:R6)</f>
        <v>0</v>
      </c>
      <c r="T6" s="11" t="n">
        <f aca="false">COUNTIF(B6:R6,"&gt;=1")</f>
        <v>0</v>
      </c>
    </row>
    <row r="7" customFormat="false" ht="15" hidden="false" customHeight="false" outlineLevel="0" collapsed="false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7" t="n">
        <f aca="false">SUM(B7:R7)</f>
        <v>0</v>
      </c>
      <c r="T7" s="7" t="n">
        <f aca="false">COUNTIF(B7:R7,"&gt;=1")</f>
        <v>0</v>
      </c>
    </row>
    <row r="8" customFormat="false" ht="15" hidden="false" customHeight="false" outlineLevel="0" collapsed="false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11" t="n">
        <f aca="false">SUM(B8:R8)</f>
        <v>0</v>
      </c>
      <c r="T8" s="11" t="n">
        <f aca="false">COUNTIF(B8:R8,"&gt;=1")</f>
        <v>0</v>
      </c>
    </row>
    <row r="9" customFormat="false" ht="15" hidden="false" customHeight="false" outlineLevel="0" collapsed="false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7" t="n">
        <f aca="false">SUM(B9:R9)</f>
        <v>0</v>
      </c>
      <c r="T9" s="7" t="n">
        <f aca="false">COUNTIF(B9:R9,"&gt;=1")</f>
        <v>0</v>
      </c>
    </row>
    <row r="10" customFormat="false" ht="15" hidden="false" customHeight="false" outlineLevel="0" collapsed="false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11" t="n">
        <f aca="false">SUM(B10:R10)</f>
        <v>0</v>
      </c>
      <c r="T10" s="11" t="n">
        <f aca="false">COUNTIF(B10:R10,"&gt;=1")</f>
        <v>0</v>
      </c>
    </row>
    <row r="11" customFormat="false" ht="15" hidden="false" customHeight="false" outlineLevel="0" collapsed="false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7" t="n">
        <f aca="false">SUM(B11:R11)</f>
        <v>0</v>
      </c>
      <c r="T11" s="7" t="n">
        <f aca="false">COUNTIF(B11:R11,"&gt;=1")</f>
        <v>0</v>
      </c>
    </row>
    <row r="12" customFormat="false" ht="15" hidden="false" customHeight="fals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11" t="n">
        <f aca="false">SUM(B12:R12)</f>
        <v>0</v>
      </c>
      <c r="T12" s="11" t="n">
        <f aca="false">COUNTIF(B12:R12,"&gt;=1")</f>
        <v>0</v>
      </c>
    </row>
    <row r="13" customFormat="false" ht="15" hidden="false" customHeight="false" outlineLevel="0" collapsed="false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7" t="n">
        <f aca="false">SUM(B13:R13)</f>
        <v>0</v>
      </c>
      <c r="T13" s="7" t="n">
        <f aca="false">COUNTIF(B13:R13,"&gt;=1")</f>
        <v>0</v>
      </c>
    </row>
    <row r="14" customFormat="false" ht="15" hidden="false" customHeight="fals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11" t="n">
        <f aca="false">SUM(B14:R14)</f>
        <v>0</v>
      </c>
      <c r="T14" s="11" t="n">
        <f aca="false">COUNTIF(B14:R14,"&gt;=1")</f>
        <v>0</v>
      </c>
    </row>
    <row r="15" customFormat="false" ht="15" hidden="false" customHeight="false" outlineLevel="0" collapsed="false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7" t="n">
        <f aca="false">SUM(B15:R15)</f>
        <v>0</v>
      </c>
      <c r="T15" s="7" t="n">
        <f aca="false">COUNTIF(B15:R15,"&gt;=1")</f>
        <v>0</v>
      </c>
    </row>
    <row r="16" customFormat="false" ht="15" hidden="false" customHeight="fals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11" t="n">
        <f aca="false">SUM(B16:R16)</f>
        <v>0</v>
      </c>
      <c r="T16" s="11" t="n">
        <f aca="false">COUNTIF(B16:R16,"&gt;=1")</f>
        <v>0</v>
      </c>
    </row>
    <row r="17" customFormat="false" ht="15" hidden="false" customHeight="false" outlineLevel="0" collapsed="false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7" t="n">
        <f aca="false">SUM(B17:R17)</f>
        <v>0</v>
      </c>
      <c r="T17" s="7" t="n">
        <f aca="false">COUNTIF(B17:R17,"&gt;=1")</f>
        <v>0</v>
      </c>
    </row>
    <row r="18" customFormat="false" ht="15" hidden="false" customHeight="fals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11" t="n">
        <f aca="false">SUM(B18:R18)</f>
        <v>0</v>
      </c>
      <c r="T18" s="11" t="n">
        <f aca="false">COUNTIF(B18:R18,"&gt;=1")</f>
        <v>0</v>
      </c>
    </row>
    <row r="19" customFormat="false" ht="15" hidden="false" customHeight="false" outlineLevel="0" collapsed="false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7" t="n">
        <f aca="false">SUM(B19:R19)</f>
        <v>0</v>
      </c>
      <c r="T19" s="7" t="n">
        <f aca="false">COUNTIF(B19:R19,"&gt;=1")</f>
        <v>0</v>
      </c>
    </row>
    <row r="20" customFormat="false" ht="15" hidden="false" customHeight="fals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11" t="n">
        <f aca="false">SUM(B20:R20)</f>
        <v>0</v>
      </c>
      <c r="T20" s="11" t="n">
        <f aca="false">COUNTIF(B20:R20,"&gt;=1")</f>
        <v>0</v>
      </c>
    </row>
    <row r="21" customFormat="false" ht="15" hidden="false" customHeight="false" outlineLevel="0" collapsed="false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7" t="n">
        <f aca="false">SUM(B21:R21)</f>
        <v>0</v>
      </c>
      <c r="T21" s="7" t="n">
        <f aca="false">COUNTIF(B21:R21,"&gt;=1")</f>
        <v>0</v>
      </c>
    </row>
    <row r="22" customFormat="false" ht="15" hidden="false" customHeight="fals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11" t="n">
        <f aca="false">SUM(B22:R22)</f>
        <v>0</v>
      </c>
      <c r="T22" s="11" t="n">
        <f aca="false">COUNTIF(B22:R22,"&gt;=1")</f>
        <v>0</v>
      </c>
    </row>
    <row r="23" customFormat="false" ht="15" hidden="false" customHeight="false" outlineLevel="0" collapsed="false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7" t="n">
        <f aca="false">SUM(B23:R23)</f>
        <v>0</v>
      </c>
      <c r="T23" s="7" t="n">
        <f aca="false">COUNTIF(B23:R23,"&gt;=1")</f>
        <v>0</v>
      </c>
    </row>
    <row r="24" customFormat="false" ht="15" hidden="false" customHeight="fals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11" t="n">
        <f aca="false">SUM(B24:R24)</f>
        <v>0</v>
      </c>
      <c r="T24" s="11" t="n">
        <f aca="false">COUNTIF(B24:R24,"&gt;=1")</f>
        <v>0</v>
      </c>
    </row>
    <row r="25" customFormat="false" ht="15" hidden="false" customHeight="false" outlineLevel="0" collapsed="false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7" t="n">
        <f aca="false">SUM(B25:R25)</f>
        <v>0</v>
      </c>
      <c r="T25" s="7" t="n">
        <f aca="false">COUNTIF(B25:R25,"&gt;=1")</f>
        <v>0</v>
      </c>
    </row>
    <row r="26" customFormat="false" ht="15" hidden="false" customHeight="fals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11" t="n">
        <f aca="false">SUM(B26:R26)</f>
        <v>0</v>
      </c>
      <c r="T26" s="11" t="n">
        <f aca="false">COUNTIF(B26:R26,"&gt;=1")</f>
        <v>0</v>
      </c>
    </row>
    <row r="27" customFormat="false" ht="15" hidden="false" customHeight="false" outlineLevel="0" collapsed="false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7" t="n">
        <f aca="false">SUM(B27:R27)</f>
        <v>0</v>
      </c>
      <c r="T27" s="7" t="n">
        <f aca="false">COUNTIF(B27:R27,"&gt;=1")</f>
        <v>0</v>
      </c>
    </row>
    <row r="28" customFormat="false" ht="15" hidden="false" customHeight="fals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11" t="n">
        <f aca="false">SUM(B28:R28)</f>
        <v>0</v>
      </c>
      <c r="T28" s="11" t="n">
        <f aca="false">COUNTIF(B28:R28,"&gt;=1")</f>
        <v>0</v>
      </c>
    </row>
    <row r="29" customFormat="false" ht="15" hidden="false" customHeight="false" outlineLevel="0" collapsed="false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7" t="n">
        <f aca="false">SUM(B29:R29)</f>
        <v>0</v>
      </c>
      <c r="T29" s="7" t="n">
        <f aca="false">COUNTIF(B29:R29,"&gt;=1")</f>
        <v>0</v>
      </c>
    </row>
    <row r="30" customFormat="false" ht="15" hidden="false" customHeight="false" outlineLevel="0" collapsed="false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11" t="n">
        <f aca="false">SUM(B30:R30)</f>
        <v>0</v>
      </c>
      <c r="T30" s="11" t="n">
        <f aca="false">COUNTIF(B30:R30,"&gt;=1")</f>
        <v>0</v>
      </c>
    </row>
    <row r="31" customFormat="false" ht="15" hidden="false" customHeight="false" outlineLevel="0" collapsed="false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7" t="n">
        <f aca="false">SUM(B31:R31)</f>
        <v>0</v>
      </c>
      <c r="T31" s="7" t="n">
        <f aca="false">COUNTIF(B31:R31,"&gt;=1")</f>
        <v>0</v>
      </c>
    </row>
    <row r="32" customFormat="false" ht="15" hidden="false" customHeight="fals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11" t="n">
        <f aca="false">SUM(B32:R32)</f>
        <v>0</v>
      </c>
      <c r="T32" s="11" t="n">
        <f aca="false">COUNTIF(B32:R32,"&gt;=1")</f>
        <v>0</v>
      </c>
    </row>
    <row r="33" customFormat="false" ht="15" hidden="false" customHeight="false" outlineLevel="0" collapsed="false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7" t="n">
        <f aca="false">SUM(B33:R33)</f>
        <v>0</v>
      </c>
      <c r="T33" s="7" t="n">
        <f aca="false">COUNTIF(B33:R33,"&gt;=1")</f>
        <v>0</v>
      </c>
    </row>
    <row r="34" customFormat="false" ht="15" hidden="false" customHeight="fals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11" t="n">
        <f aca="false">SUM(B34:R34)</f>
        <v>0</v>
      </c>
      <c r="T34" s="11" t="n">
        <f aca="false">COUNTIF(B34:R34,"&gt;=1")</f>
        <v>0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80" t="s">
        <v>194</v>
      </c>
      <c r="B1" s="80"/>
      <c r="C1" s="80"/>
      <c r="D1" s="80"/>
      <c r="E1" s="80"/>
      <c r="F1" s="80"/>
      <c r="G1" s="80"/>
      <c r="H1" s="80"/>
      <c r="I1" s="80"/>
    </row>
    <row r="2" customFormat="false" ht="25.5" hidden="false" customHeight="true" outlineLevel="0" collapsed="false">
      <c r="A2" s="35" t="s">
        <v>195</v>
      </c>
      <c r="B2" s="35"/>
      <c r="C2" s="35"/>
      <c r="D2" s="35"/>
      <c r="E2" s="35"/>
      <c r="F2" s="35"/>
      <c r="G2" s="35"/>
      <c r="H2" s="35"/>
      <c r="I2" s="35"/>
    </row>
    <row r="3" customFormat="false" ht="23.85" hidden="false" customHeight="false" outlineLevel="0" collapsed="false">
      <c r="A3" s="62" t="s">
        <v>88</v>
      </c>
      <c r="B3" s="62" t="s">
        <v>89</v>
      </c>
      <c r="C3" s="62" t="s">
        <v>196</v>
      </c>
      <c r="D3" s="62" t="s">
        <v>197</v>
      </c>
      <c r="E3" s="62" t="s">
        <v>198</v>
      </c>
      <c r="F3" s="62" t="s">
        <v>199</v>
      </c>
      <c r="G3" s="62" t="s">
        <v>200</v>
      </c>
      <c r="H3" s="62" t="s">
        <v>201</v>
      </c>
      <c r="I3" s="62" t="s">
        <v>202</v>
      </c>
    </row>
    <row r="4" customFormat="false" ht="15" hidden="false" customHeight="false" outlineLevel="0" collapsed="false">
      <c r="B4" s="81" t="s">
        <v>203</v>
      </c>
      <c r="C4" s="82" t="n">
        <v>0.3</v>
      </c>
      <c r="D4" s="82" t="n">
        <v>0.25</v>
      </c>
      <c r="E4" s="82" t="n">
        <v>0.2</v>
      </c>
      <c r="F4" s="82" t="n">
        <v>0.15</v>
      </c>
      <c r="G4" s="82" t="n">
        <v>0.1</v>
      </c>
    </row>
    <row r="5" customFormat="false" ht="15" hidden="false" customHeight="false" outlineLevel="0" collapsed="false">
      <c r="A5" s="4" t="n">
        <v>1</v>
      </c>
      <c r="B5" s="40"/>
      <c r="C5" s="83"/>
      <c r="D5" s="83"/>
      <c r="E5" s="83"/>
      <c r="F5" s="83"/>
      <c r="G5" s="83"/>
      <c r="H5" s="84" t="n">
        <f aca="false">C5*$C$4+D5*$D$4+E5*$E$4+F5*$F$4+G5*$G$4</f>
        <v>0</v>
      </c>
      <c r="I5" s="7" t="n">
        <f aca="false">IFERROR(RANK(H5,$H$5:$H$34,0),"")</f>
        <v>1</v>
      </c>
    </row>
    <row r="6" customFormat="false" ht="15" hidden="false" customHeight="false" outlineLevel="0" collapsed="false">
      <c r="A6" s="8" t="n">
        <v>2</v>
      </c>
      <c r="B6" s="37"/>
      <c r="C6" s="85"/>
      <c r="D6" s="85"/>
      <c r="E6" s="85"/>
      <c r="F6" s="85"/>
      <c r="G6" s="85"/>
      <c r="H6" s="86" t="n">
        <f aca="false">C6*$C$4+D6*$D$4+E6*$E$4+F6*$F$4+G6*$G$4</f>
        <v>0</v>
      </c>
      <c r="I6" s="11" t="n">
        <f aca="false">IFERROR(RANK(H6,$H$5:$H$34,0),"")</f>
        <v>1</v>
      </c>
    </row>
    <row r="7" customFormat="false" ht="15" hidden="false" customHeight="false" outlineLevel="0" collapsed="false">
      <c r="A7" s="4" t="n">
        <v>3</v>
      </c>
      <c r="B7" s="40"/>
      <c r="C7" s="83"/>
      <c r="D7" s="83"/>
      <c r="E7" s="83"/>
      <c r="F7" s="83"/>
      <c r="G7" s="83"/>
      <c r="H7" s="84" t="n">
        <f aca="false">C7*$C$4+D7*$D$4+E7*$E$4+F7*$F$4+G7*$G$4</f>
        <v>0</v>
      </c>
      <c r="I7" s="7" t="n">
        <f aca="false">IFERROR(RANK(H7,$H$5:$H$34,0),"")</f>
        <v>1</v>
      </c>
    </row>
    <row r="8" customFormat="false" ht="15" hidden="false" customHeight="false" outlineLevel="0" collapsed="false">
      <c r="A8" s="8" t="n">
        <v>4</v>
      </c>
      <c r="B8" s="37"/>
      <c r="C8" s="85"/>
      <c r="D8" s="85"/>
      <c r="E8" s="85"/>
      <c r="F8" s="85"/>
      <c r="G8" s="85"/>
      <c r="H8" s="86" t="n">
        <f aca="false">C8*$C$4+D8*$D$4+E8*$E$4+F8*$F$4+G8*$G$4</f>
        <v>0</v>
      </c>
      <c r="I8" s="11" t="n">
        <f aca="false">IFERROR(RANK(H8,$H$5:$H$34,0),"")</f>
        <v>1</v>
      </c>
    </row>
    <row r="9" customFormat="false" ht="15" hidden="false" customHeight="false" outlineLevel="0" collapsed="false">
      <c r="A9" s="4" t="n">
        <v>5</v>
      </c>
      <c r="B9" s="40"/>
      <c r="C9" s="83"/>
      <c r="D9" s="83"/>
      <c r="E9" s="83"/>
      <c r="F9" s="83"/>
      <c r="G9" s="83"/>
      <c r="H9" s="84" t="n">
        <f aca="false">C9*$C$4+D9*$D$4+E9*$E$4+F9*$F$4+G9*$G$4</f>
        <v>0</v>
      </c>
      <c r="I9" s="7" t="n">
        <f aca="false">IFERROR(RANK(H9,$H$5:$H$34,0),"")</f>
        <v>1</v>
      </c>
    </row>
    <row r="10" customFormat="false" ht="15" hidden="false" customHeight="false" outlineLevel="0" collapsed="false">
      <c r="A10" s="8" t="n">
        <v>6</v>
      </c>
      <c r="B10" s="37"/>
      <c r="C10" s="85"/>
      <c r="D10" s="85"/>
      <c r="E10" s="85"/>
      <c r="F10" s="85"/>
      <c r="G10" s="85"/>
      <c r="H10" s="86" t="n">
        <f aca="false">C10*$C$4+D10*$D$4+E10*$E$4+F10*$F$4+G10*$G$4</f>
        <v>0</v>
      </c>
      <c r="I10" s="11" t="n">
        <f aca="false">IFERROR(RANK(H10,$H$5:$H$34,0),"")</f>
        <v>1</v>
      </c>
    </row>
    <row r="11" customFormat="false" ht="15" hidden="false" customHeight="false" outlineLevel="0" collapsed="false">
      <c r="A11" s="4" t="n">
        <v>7</v>
      </c>
      <c r="B11" s="40"/>
      <c r="C11" s="83"/>
      <c r="D11" s="83"/>
      <c r="E11" s="83"/>
      <c r="F11" s="83"/>
      <c r="G11" s="83"/>
      <c r="H11" s="84" t="n">
        <f aca="false">C11*$C$4+D11*$D$4+E11*$E$4+F11*$F$4+G11*$G$4</f>
        <v>0</v>
      </c>
      <c r="I11" s="7" t="n">
        <f aca="false">IFERROR(RANK(H11,$H$5:$H$34,0),"")</f>
        <v>1</v>
      </c>
    </row>
    <row r="12" customFormat="false" ht="15" hidden="false" customHeight="false" outlineLevel="0" collapsed="false">
      <c r="A12" s="8" t="n">
        <v>8</v>
      </c>
      <c r="B12" s="37"/>
      <c r="C12" s="85"/>
      <c r="D12" s="85"/>
      <c r="E12" s="85"/>
      <c r="F12" s="85"/>
      <c r="G12" s="85"/>
      <c r="H12" s="86" t="n">
        <f aca="false">C12*$C$4+D12*$D$4+E12*$E$4+F12*$F$4+G12*$G$4</f>
        <v>0</v>
      </c>
      <c r="I12" s="11" t="n">
        <f aca="false">IFERROR(RANK(H12,$H$5:$H$34,0),"")</f>
        <v>1</v>
      </c>
    </row>
    <row r="13" customFormat="false" ht="15" hidden="false" customHeight="false" outlineLevel="0" collapsed="false">
      <c r="A13" s="4" t="n">
        <v>9</v>
      </c>
      <c r="B13" s="40"/>
      <c r="C13" s="83"/>
      <c r="D13" s="83"/>
      <c r="E13" s="83"/>
      <c r="F13" s="83"/>
      <c r="G13" s="83"/>
      <c r="H13" s="84" t="n">
        <f aca="false">C13*$C$4+D13*$D$4+E13*$E$4+F13*$F$4+G13*$G$4</f>
        <v>0</v>
      </c>
      <c r="I13" s="7" t="n">
        <f aca="false">IFERROR(RANK(H13,$H$5:$H$34,0),"")</f>
        <v>1</v>
      </c>
    </row>
    <row r="14" customFormat="false" ht="15" hidden="false" customHeight="false" outlineLevel="0" collapsed="false">
      <c r="A14" s="8" t="n">
        <v>10</v>
      </c>
      <c r="B14" s="37"/>
      <c r="C14" s="85"/>
      <c r="D14" s="85"/>
      <c r="E14" s="85"/>
      <c r="F14" s="85"/>
      <c r="G14" s="85"/>
      <c r="H14" s="86" t="n">
        <f aca="false">C14*$C$4+D14*$D$4+E14*$E$4+F14*$F$4+G14*$G$4</f>
        <v>0</v>
      </c>
      <c r="I14" s="11" t="n">
        <f aca="false">IFERROR(RANK(H14,$H$5:$H$34,0),"")</f>
        <v>1</v>
      </c>
    </row>
    <row r="15" customFormat="false" ht="15" hidden="false" customHeight="false" outlineLevel="0" collapsed="false">
      <c r="A15" s="4" t="n">
        <v>11</v>
      </c>
      <c r="B15" s="40"/>
      <c r="C15" s="83"/>
      <c r="D15" s="83"/>
      <c r="E15" s="83"/>
      <c r="F15" s="83"/>
      <c r="G15" s="83"/>
      <c r="H15" s="84" t="n">
        <f aca="false">C15*$C$4+D15*$D$4+E15*$E$4+F15*$F$4+G15*$G$4</f>
        <v>0</v>
      </c>
      <c r="I15" s="7" t="n">
        <f aca="false">IFERROR(RANK(H15,$H$5:$H$34,0),"")</f>
        <v>1</v>
      </c>
    </row>
    <row r="16" customFormat="false" ht="15" hidden="false" customHeight="false" outlineLevel="0" collapsed="false">
      <c r="A16" s="8" t="n">
        <v>12</v>
      </c>
      <c r="B16" s="37"/>
      <c r="C16" s="85"/>
      <c r="D16" s="85"/>
      <c r="E16" s="85"/>
      <c r="F16" s="85"/>
      <c r="G16" s="85"/>
      <c r="H16" s="86" t="n">
        <f aca="false">C16*$C$4+D16*$D$4+E16*$E$4+F16*$F$4+G16*$G$4</f>
        <v>0</v>
      </c>
      <c r="I16" s="11" t="n">
        <f aca="false">IFERROR(RANK(H16,$H$5:$H$34,0),"")</f>
        <v>1</v>
      </c>
    </row>
    <row r="17" customFormat="false" ht="15" hidden="false" customHeight="false" outlineLevel="0" collapsed="false">
      <c r="A17" s="4" t="n">
        <v>13</v>
      </c>
      <c r="B17" s="40"/>
      <c r="C17" s="83"/>
      <c r="D17" s="83"/>
      <c r="E17" s="83"/>
      <c r="F17" s="83"/>
      <c r="G17" s="83"/>
      <c r="H17" s="84" t="n">
        <f aca="false">C17*$C$4+D17*$D$4+E17*$E$4+F17*$F$4+G17*$G$4</f>
        <v>0</v>
      </c>
      <c r="I17" s="7" t="n">
        <f aca="false">IFERROR(RANK(H17,$H$5:$H$34,0),"")</f>
        <v>1</v>
      </c>
    </row>
    <row r="18" customFormat="false" ht="15" hidden="false" customHeight="false" outlineLevel="0" collapsed="false">
      <c r="A18" s="8" t="n">
        <v>14</v>
      </c>
      <c r="B18" s="37"/>
      <c r="C18" s="85"/>
      <c r="D18" s="85"/>
      <c r="E18" s="85"/>
      <c r="F18" s="85"/>
      <c r="G18" s="85"/>
      <c r="H18" s="86" t="n">
        <f aca="false">C18*$C$4+D18*$D$4+E18*$E$4+F18*$F$4+G18*$G$4</f>
        <v>0</v>
      </c>
      <c r="I18" s="11" t="n">
        <f aca="false">IFERROR(RANK(H18,$H$5:$H$34,0),"")</f>
        <v>1</v>
      </c>
    </row>
    <row r="19" customFormat="false" ht="15" hidden="false" customHeight="false" outlineLevel="0" collapsed="false">
      <c r="A19" s="4" t="n">
        <v>15</v>
      </c>
      <c r="B19" s="40"/>
      <c r="C19" s="83"/>
      <c r="D19" s="83"/>
      <c r="E19" s="83"/>
      <c r="F19" s="83"/>
      <c r="G19" s="83"/>
      <c r="H19" s="84" t="n">
        <f aca="false">C19*$C$4+D19*$D$4+E19*$E$4+F19*$F$4+G19*$G$4</f>
        <v>0</v>
      </c>
      <c r="I19" s="7" t="n">
        <f aca="false">IFERROR(RANK(H19,$H$5:$H$34,0),"")</f>
        <v>1</v>
      </c>
    </row>
    <row r="20" customFormat="false" ht="15" hidden="false" customHeight="false" outlineLevel="0" collapsed="false">
      <c r="A20" s="8" t="n">
        <v>16</v>
      </c>
      <c r="B20" s="37"/>
      <c r="C20" s="85"/>
      <c r="D20" s="85"/>
      <c r="E20" s="85"/>
      <c r="F20" s="85"/>
      <c r="G20" s="85"/>
      <c r="H20" s="86" t="n">
        <f aca="false">C20*$C$4+D20*$D$4+E20*$E$4+F20*$F$4+G20*$G$4</f>
        <v>0</v>
      </c>
      <c r="I20" s="11" t="n">
        <f aca="false">IFERROR(RANK(H20,$H$5:$H$34,0),"")</f>
        <v>1</v>
      </c>
    </row>
    <row r="21" customFormat="false" ht="15" hidden="false" customHeight="false" outlineLevel="0" collapsed="false">
      <c r="A21" s="4" t="n">
        <v>17</v>
      </c>
      <c r="B21" s="40"/>
      <c r="C21" s="83"/>
      <c r="D21" s="83"/>
      <c r="E21" s="83"/>
      <c r="F21" s="83"/>
      <c r="G21" s="83"/>
      <c r="H21" s="84" t="n">
        <f aca="false">C21*$C$4+D21*$D$4+E21*$E$4+F21*$F$4+G21*$G$4</f>
        <v>0</v>
      </c>
      <c r="I21" s="7" t="n">
        <f aca="false">IFERROR(RANK(H21,$H$5:$H$34,0),"")</f>
        <v>1</v>
      </c>
    </row>
    <row r="22" customFormat="false" ht="15" hidden="false" customHeight="false" outlineLevel="0" collapsed="false">
      <c r="A22" s="8" t="n">
        <v>18</v>
      </c>
      <c r="B22" s="37"/>
      <c r="C22" s="85"/>
      <c r="D22" s="85"/>
      <c r="E22" s="85"/>
      <c r="F22" s="85"/>
      <c r="G22" s="85"/>
      <c r="H22" s="86" t="n">
        <f aca="false">C22*$C$4+D22*$D$4+E22*$E$4+F22*$F$4+G22*$G$4</f>
        <v>0</v>
      </c>
      <c r="I22" s="11" t="n">
        <f aca="false">IFERROR(RANK(H22,$H$5:$H$34,0),"")</f>
        <v>1</v>
      </c>
    </row>
    <row r="23" customFormat="false" ht="15" hidden="false" customHeight="false" outlineLevel="0" collapsed="false">
      <c r="A23" s="4" t="n">
        <v>19</v>
      </c>
      <c r="B23" s="40"/>
      <c r="C23" s="83"/>
      <c r="D23" s="83"/>
      <c r="E23" s="83"/>
      <c r="F23" s="83"/>
      <c r="G23" s="83"/>
      <c r="H23" s="84" t="n">
        <f aca="false">C23*$C$4+D23*$D$4+E23*$E$4+F23*$F$4+G23*$G$4</f>
        <v>0</v>
      </c>
      <c r="I23" s="7" t="n">
        <f aca="false">IFERROR(RANK(H23,$H$5:$H$34,0),"")</f>
        <v>1</v>
      </c>
    </row>
    <row r="24" customFormat="false" ht="15" hidden="false" customHeight="false" outlineLevel="0" collapsed="false">
      <c r="A24" s="8" t="n">
        <v>20</v>
      </c>
      <c r="B24" s="37"/>
      <c r="C24" s="85"/>
      <c r="D24" s="85"/>
      <c r="E24" s="85"/>
      <c r="F24" s="85"/>
      <c r="G24" s="85"/>
      <c r="H24" s="86" t="n">
        <f aca="false">C24*$C$4+D24*$D$4+E24*$E$4+F24*$F$4+G24*$G$4</f>
        <v>0</v>
      </c>
      <c r="I24" s="11" t="n">
        <f aca="false">IFERROR(RANK(H24,$H$5:$H$34,0),"")</f>
        <v>1</v>
      </c>
    </row>
    <row r="25" customFormat="false" ht="15" hidden="false" customHeight="false" outlineLevel="0" collapsed="false">
      <c r="A25" s="4" t="n">
        <v>21</v>
      </c>
      <c r="B25" s="40"/>
      <c r="C25" s="83"/>
      <c r="D25" s="83"/>
      <c r="E25" s="83"/>
      <c r="F25" s="83"/>
      <c r="G25" s="83"/>
      <c r="H25" s="84" t="n">
        <f aca="false">C25*$C$4+D25*$D$4+E25*$E$4+F25*$F$4+G25*$G$4</f>
        <v>0</v>
      </c>
      <c r="I25" s="7" t="n">
        <f aca="false">IFERROR(RANK(H25,$H$5:$H$34,0),"")</f>
        <v>1</v>
      </c>
    </row>
    <row r="26" customFormat="false" ht="15" hidden="false" customHeight="false" outlineLevel="0" collapsed="false">
      <c r="A26" s="8" t="n">
        <v>22</v>
      </c>
      <c r="B26" s="37"/>
      <c r="C26" s="85"/>
      <c r="D26" s="85"/>
      <c r="E26" s="85"/>
      <c r="F26" s="85"/>
      <c r="G26" s="85"/>
      <c r="H26" s="86" t="n">
        <f aca="false">C26*$C$4+D26*$D$4+E26*$E$4+F26*$F$4+G26*$G$4</f>
        <v>0</v>
      </c>
      <c r="I26" s="11" t="n">
        <f aca="false">IFERROR(RANK(H26,$H$5:$H$34,0),"")</f>
        <v>1</v>
      </c>
    </row>
    <row r="27" customFormat="false" ht="15" hidden="false" customHeight="false" outlineLevel="0" collapsed="false">
      <c r="A27" s="4" t="n">
        <v>23</v>
      </c>
      <c r="B27" s="40"/>
      <c r="C27" s="83"/>
      <c r="D27" s="83"/>
      <c r="E27" s="83"/>
      <c r="F27" s="83"/>
      <c r="G27" s="83"/>
      <c r="H27" s="84" t="n">
        <f aca="false">C27*$C$4+D27*$D$4+E27*$E$4+F27*$F$4+G27*$G$4</f>
        <v>0</v>
      </c>
      <c r="I27" s="7" t="n">
        <f aca="false">IFERROR(RANK(H27,$H$5:$H$34,0),"")</f>
        <v>1</v>
      </c>
    </row>
    <row r="28" customFormat="false" ht="15" hidden="false" customHeight="false" outlineLevel="0" collapsed="false">
      <c r="A28" s="8" t="n">
        <v>24</v>
      </c>
      <c r="B28" s="37"/>
      <c r="C28" s="85"/>
      <c r="D28" s="85"/>
      <c r="E28" s="85"/>
      <c r="F28" s="85"/>
      <c r="G28" s="85"/>
      <c r="H28" s="86" t="n">
        <f aca="false">C28*$C$4+D28*$D$4+E28*$E$4+F28*$F$4+G28*$G$4</f>
        <v>0</v>
      </c>
      <c r="I28" s="11" t="n">
        <f aca="false">IFERROR(RANK(H28,$H$5:$H$34,0),"")</f>
        <v>1</v>
      </c>
    </row>
    <row r="29" customFormat="false" ht="15" hidden="false" customHeight="false" outlineLevel="0" collapsed="false">
      <c r="A29" s="4" t="n">
        <v>25</v>
      </c>
      <c r="B29" s="40"/>
      <c r="C29" s="83"/>
      <c r="D29" s="83"/>
      <c r="E29" s="83"/>
      <c r="F29" s="83"/>
      <c r="G29" s="83"/>
      <c r="H29" s="84" t="n">
        <f aca="false">C29*$C$4+D29*$D$4+E29*$E$4+F29*$F$4+G29*$G$4</f>
        <v>0</v>
      </c>
      <c r="I29" s="7" t="n">
        <f aca="false">IFERROR(RANK(H29,$H$5:$H$34,0),"")</f>
        <v>1</v>
      </c>
    </row>
    <row r="30" customFormat="false" ht="15" hidden="false" customHeight="false" outlineLevel="0" collapsed="false">
      <c r="A30" s="8" t="n">
        <v>26</v>
      </c>
      <c r="B30" s="37"/>
      <c r="C30" s="85"/>
      <c r="D30" s="85"/>
      <c r="E30" s="85"/>
      <c r="F30" s="85"/>
      <c r="G30" s="85"/>
      <c r="H30" s="86" t="n">
        <f aca="false">C30*$C$4+D30*$D$4+E30*$E$4+F30*$F$4+G30*$G$4</f>
        <v>0</v>
      </c>
      <c r="I30" s="11" t="n">
        <f aca="false">IFERROR(RANK(H30,$H$5:$H$34,0),"")</f>
        <v>1</v>
      </c>
    </row>
    <row r="31" customFormat="false" ht="15" hidden="false" customHeight="false" outlineLevel="0" collapsed="false">
      <c r="A31" s="4" t="n">
        <v>27</v>
      </c>
      <c r="B31" s="40"/>
      <c r="C31" s="83"/>
      <c r="D31" s="83"/>
      <c r="E31" s="83"/>
      <c r="F31" s="83"/>
      <c r="G31" s="83"/>
      <c r="H31" s="84" t="n">
        <f aca="false">C31*$C$4+D31*$D$4+E31*$E$4+F31*$F$4+G31*$G$4</f>
        <v>0</v>
      </c>
      <c r="I31" s="7" t="n">
        <f aca="false">IFERROR(RANK(H31,$H$5:$H$34,0),"")</f>
        <v>1</v>
      </c>
    </row>
    <row r="32" customFormat="false" ht="15" hidden="false" customHeight="false" outlineLevel="0" collapsed="false">
      <c r="A32" s="8" t="n">
        <v>28</v>
      </c>
      <c r="B32" s="37"/>
      <c r="C32" s="85"/>
      <c r="D32" s="85"/>
      <c r="E32" s="85"/>
      <c r="F32" s="85"/>
      <c r="G32" s="85"/>
      <c r="H32" s="86" t="n">
        <f aca="false">C32*$C$4+D32*$D$4+E32*$E$4+F32*$F$4+G32*$G$4</f>
        <v>0</v>
      </c>
      <c r="I32" s="11" t="n">
        <f aca="false">IFERROR(RANK(H32,$H$5:$H$34,0),"")</f>
        <v>1</v>
      </c>
    </row>
    <row r="33" customFormat="false" ht="15" hidden="false" customHeight="false" outlineLevel="0" collapsed="false">
      <c r="A33" s="4" t="n">
        <v>29</v>
      </c>
      <c r="B33" s="40"/>
      <c r="C33" s="83"/>
      <c r="D33" s="83"/>
      <c r="E33" s="83"/>
      <c r="F33" s="83"/>
      <c r="G33" s="83"/>
      <c r="H33" s="84" t="n">
        <f aca="false">C33*$C$4+D33*$D$4+E33*$E$4+F33*$F$4+G33*$G$4</f>
        <v>0</v>
      </c>
      <c r="I33" s="7" t="n">
        <f aca="false">IFERROR(RANK(H33,$H$5:$H$34,0),"")</f>
        <v>1</v>
      </c>
    </row>
    <row r="34" customFormat="false" ht="15" hidden="false" customHeight="false" outlineLevel="0" collapsed="false">
      <c r="A34" s="8" t="n">
        <v>30</v>
      </c>
      <c r="B34" s="37"/>
      <c r="C34" s="85"/>
      <c r="D34" s="85"/>
      <c r="E34" s="85"/>
      <c r="F34" s="85"/>
      <c r="G34" s="85"/>
      <c r="H34" s="86" t="n">
        <f aca="false">C34*$C$4+D34*$D$4+E34*$E$4+F34*$F$4+G34*$G$4</f>
        <v>0</v>
      </c>
      <c r="I34" s="11" t="n">
        <f aca="false">IFERROR(RANK(H34,$H$5:$H$34,0),"")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63" t="s">
        <v>204</v>
      </c>
      <c r="B1" s="63"/>
      <c r="C1" s="63"/>
      <c r="D1" s="63"/>
      <c r="E1" s="63"/>
      <c r="F1" s="63"/>
      <c r="G1" s="63"/>
      <c r="H1" s="63"/>
      <c r="I1" s="63"/>
    </row>
    <row r="2" customFormat="false" ht="25.5" hidden="false" customHeight="true" outlineLevel="0" collapsed="false">
      <c r="A2" s="64" t="s">
        <v>205</v>
      </c>
      <c r="B2" s="64"/>
      <c r="C2" s="64"/>
      <c r="D2" s="64"/>
      <c r="E2" s="64"/>
      <c r="F2" s="64"/>
      <c r="G2" s="64"/>
      <c r="H2" s="64"/>
      <c r="I2" s="64"/>
    </row>
    <row r="3" customFormat="false" ht="15" hidden="false" customHeight="false" outlineLevel="0" collapsed="false">
      <c r="A3" s="65" t="s">
        <v>88</v>
      </c>
      <c r="B3" s="65" t="s">
        <v>206</v>
      </c>
      <c r="C3" s="65" t="s">
        <v>207</v>
      </c>
      <c r="D3" s="65" t="s">
        <v>208</v>
      </c>
      <c r="E3" s="65" t="s">
        <v>209</v>
      </c>
      <c r="F3" s="65" t="s">
        <v>210</v>
      </c>
      <c r="G3" s="65" t="s">
        <v>211</v>
      </c>
      <c r="H3" s="65" t="s">
        <v>212</v>
      </c>
      <c r="I3" s="65" t="s">
        <v>213</v>
      </c>
    </row>
    <row r="4" customFormat="false" ht="15" hidden="false" customHeight="false" outlineLevel="0" collapsed="false">
      <c r="A4" s="87" t="n">
        <v>1</v>
      </c>
      <c r="B4" s="88" t="s">
        <v>214</v>
      </c>
      <c r="C4" s="89"/>
      <c r="D4" s="89"/>
      <c r="E4" s="89"/>
      <c r="F4" s="89"/>
      <c r="G4" s="89"/>
      <c r="H4" s="89"/>
      <c r="I4" s="87" t="s">
        <v>215</v>
      </c>
    </row>
    <row r="5" customFormat="false" ht="15" hidden="false" customHeight="false" outlineLevel="0" collapsed="false">
      <c r="A5" s="4" t="n">
        <v>2</v>
      </c>
      <c r="B5" s="5" t="s">
        <v>216</v>
      </c>
      <c r="C5" s="40"/>
      <c r="D5" s="40"/>
      <c r="E5" s="40"/>
      <c r="F5" s="40"/>
      <c r="G5" s="40"/>
      <c r="H5" s="40"/>
      <c r="I5" s="4" t="s">
        <v>217</v>
      </c>
    </row>
    <row r="6" customFormat="false" ht="15" hidden="false" customHeight="false" outlineLevel="0" collapsed="false">
      <c r="A6" s="8" t="n">
        <v>3</v>
      </c>
      <c r="B6" s="9" t="s">
        <v>218</v>
      </c>
      <c r="C6" s="37"/>
      <c r="D6" s="37"/>
      <c r="E6" s="37"/>
      <c r="F6" s="37"/>
      <c r="G6" s="37"/>
      <c r="H6" s="37"/>
      <c r="I6" s="8" t="s">
        <v>219</v>
      </c>
    </row>
    <row r="7" customFormat="false" ht="15" hidden="false" customHeight="false" outlineLevel="0" collapsed="false">
      <c r="A7" s="4" t="n">
        <v>4</v>
      </c>
      <c r="B7" s="5" t="s">
        <v>220</v>
      </c>
      <c r="C7" s="40"/>
      <c r="D7" s="40"/>
      <c r="E7" s="40"/>
      <c r="F7" s="40"/>
      <c r="G7" s="40"/>
      <c r="H7" s="40"/>
      <c r="I7" s="4" t="s">
        <v>221</v>
      </c>
    </row>
    <row r="8" customFormat="false" ht="15" hidden="false" customHeight="false" outlineLevel="0" collapsed="false">
      <c r="A8" s="8" t="n">
        <v>1</v>
      </c>
      <c r="B8" s="37"/>
      <c r="C8" s="37"/>
      <c r="D8" s="37"/>
      <c r="E8" s="37"/>
      <c r="F8" s="37"/>
      <c r="G8" s="37"/>
      <c r="H8" s="37"/>
      <c r="I8" s="37"/>
    </row>
    <row r="9" customFormat="false" ht="15" hidden="false" customHeight="false" outlineLevel="0" collapsed="false">
      <c r="A9" s="4" t="n">
        <v>2</v>
      </c>
      <c r="B9" s="40"/>
      <c r="C9" s="40"/>
      <c r="D9" s="40"/>
      <c r="E9" s="40"/>
      <c r="F9" s="40"/>
      <c r="G9" s="40"/>
      <c r="H9" s="40"/>
      <c r="I9" s="40"/>
    </row>
    <row r="10" customFormat="false" ht="15" hidden="false" customHeight="false" outlineLevel="0" collapsed="false">
      <c r="A10" s="8" t="n">
        <v>3</v>
      </c>
      <c r="B10" s="37"/>
      <c r="C10" s="37"/>
      <c r="D10" s="37"/>
      <c r="E10" s="37"/>
      <c r="F10" s="37"/>
      <c r="G10" s="37"/>
      <c r="H10" s="37"/>
      <c r="I10" s="37"/>
    </row>
    <row r="11" customFormat="false" ht="15" hidden="false" customHeight="false" outlineLevel="0" collapsed="false">
      <c r="A11" s="4" t="n">
        <v>4</v>
      </c>
      <c r="B11" s="40"/>
      <c r="C11" s="40"/>
      <c r="D11" s="40"/>
      <c r="E11" s="40"/>
      <c r="F11" s="40"/>
      <c r="G11" s="40"/>
      <c r="H11" s="40"/>
      <c r="I11" s="40"/>
    </row>
    <row r="12" customFormat="false" ht="15" hidden="false" customHeight="false" outlineLevel="0" collapsed="false">
      <c r="A12" s="8" t="n">
        <v>5</v>
      </c>
      <c r="B12" s="37"/>
      <c r="C12" s="37"/>
      <c r="D12" s="37"/>
      <c r="E12" s="37"/>
      <c r="F12" s="37"/>
      <c r="G12" s="37"/>
      <c r="H12" s="37"/>
      <c r="I12" s="37"/>
    </row>
    <row r="13" customFormat="false" ht="15" hidden="false" customHeight="false" outlineLevel="0" collapsed="false">
      <c r="A13" s="4" t="n">
        <v>6</v>
      </c>
      <c r="B13" s="40"/>
      <c r="C13" s="40"/>
      <c r="D13" s="40"/>
      <c r="E13" s="40"/>
      <c r="F13" s="40"/>
      <c r="G13" s="40"/>
      <c r="H13" s="40"/>
      <c r="I13" s="40"/>
    </row>
    <row r="14" customFormat="false" ht="15" hidden="false" customHeight="false" outlineLevel="0" collapsed="false">
      <c r="A14" s="8" t="n">
        <v>7</v>
      </c>
      <c r="B14" s="37"/>
      <c r="C14" s="37"/>
      <c r="D14" s="37"/>
      <c r="E14" s="37"/>
      <c r="F14" s="37"/>
      <c r="G14" s="37"/>
      <c r="H14" s="37"/>
      <c r="I14" s="37"/>
    </row>
    <row r="15" customFormat="false" ht="15" hidden="false" customHeight="false" outlineLevel="0" collapsed="false">
      <c r="A15" s="4" t="n">
        <v>8</v>
      </c>
      <c r="B15" s="40"/>
      <c r="C15" s="40"/>
      <c r="D15" s="40"/>
      <c r="E15" s="40"/>
      <c r="F15" s="40"/>
      <c r="G15" s="40"/>
      <c r="H15" s="40"/>
      <c r="I15" s="40"/>
    </row>
    <row r="16" customFormat="false" ht="15" hidden="false" customHeight="false" outlineLevel="0" collapsed="false">
      <c r="A16" s="8" t="n">
        <v>9</v>
      </c>
      <c r="B16" s="37"/>
      <c r="C16" s="37"/>
      <c r="D16" s="37"/>
      <c r="E16" s="37"/>
      <c r="F16" s="37"/>
      <c r="G16" s="37"/>
      <c r="H16" s="37"/>
      <c r="I16" s="37"/>
    </row>
    <row r="17" customFormat="false" ht="15" hidden="false" customHeight="false" outlineLevel="0" collapsed="false">
      <c r="A17" s="4" t="n">
        <v>10</v>
      </c>
      <c r="B17" s="40"/>
      <c r="C17" s="40"/>
      <c r="D17" s="40"/>
      <c r="E17" s="40"/>
      <c r="F17" s="40"/>
      <c r="G17" s="40"/>
      <c r="H17" s="40"/>
      <c r="I17" s="40"/>
    </row>
    <row r="18" customFormat="false" ht="15" hidden="false" customHeight="false" outlineLevel="0" collapsed="false">
      <c r="A18" s="8" t="n">
        <v>11</v>
      </c>
      <c r="B18" s="37"/>
      <c r="C18" s="37"/>
      <c r="D18" s="37"/>
      <c r="E18" s="37"/>
      <c r="F18" s="37"/>
      <c r="G18" s="37"/>
      <c r="H18" s="37"/>
      <c r="I18" s="37"/>
    </row>
    <row r="19" customFormat="false" ht="15" hidden="false" customHeight="false" outlineLevel="0" collapsed="false">
      <c r="A19" s="4" t="n">
        <v>12</v>
      </c>
      <c r="B19" s="40"/>
      <c r="C19" s="40"/>
      <c r="D19" s="40"/>
      <c r="E19" s="40"/>
      <c r="F19" s="40"/>
      <c r="G19" s="40"/>
      <c r="H19" s="40"/>
      <c r="I19" s="40"/>
    </row>
    <row r="20" customFormat="false" ht="15" hidden="false" customHeight="false" outlineLevel="0" collapsed="false">
      <c r="A20" s="8" t="n">
        <v>13</v>
      </c>
      <c r="B20" s="37"/>
      <c r="C20" s="37"/>
      <c r="D20" s="37"/>
      <c r="E20" s="37"/>
      <c r="F20" s="37"/>
      <c r="G20" s="37"/>
      <c r="H20" s="37"/>
      <c r="I20" s="37"/>
    </row>
    <row r="21" customFormat="false" ht="15" hidden="false" customHeight="false" outlineLevel="0" collapsed="false">
      <c r="A21" s="4" t="n">
        <v>14</v>
      </c>
      <c r="B21" s="40"/>
      <c r="C21" s="40"/>
      <c r="D21" s="40"/>
      <c r="E21" s="40"/>
      <c r="F21" s="40"/>
      <c r="G21" s="40"/>
      <c r="H21" s="40"/>
      <c r="I21" s="40"/>
    </row>
    <row r="22" customFormat="false" ht="15" hidden="false" customHeight="false" outlineLevel="0" collapsed="false">
      <c r="A22" s="8" t="n">
        <v>15</v>
      </c>
      <c r="B22" s="37"/>
      <c r="C22" s="37"/>
      <c r="D22" s="37"/>
      <c r="E22" s="37"/>
      <c r="F22" s="37"/>
      <c r="G22" s="37"/>
      <c r="H22" s="37"/>
      <c r="I22" s="37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34" t="s">
        <v>222</v>
      </c>
      <c r="B1" s="34"/>
      <c r="C1" s="34"/>
      <c r="D1" s="34"/>
      <c r="E1" s="34"/>
      <c r="F1" s="34"/>
    </row>
    <row r="2" customFormat="false" ht="25.5" hidden="false" customHeight="true" outlineLevel="0" collapsed="false">
      <c r="A2" s="90" t="s">
        <v>223</v>
      </c>
      <c r="B2" s="90"/>
      <c r="C2" s="90"/>
      <c r="D2" s="90"/>
      <c r="E2" s="90"/>
      <c r="F2" s="90"/>
    </row>
    <row r="3" customFormat="false" ht="15" hidden="false" customHeight="false" outlineLevel="0" collapsed="false">
      <c r="A3" s="36" t="s">
        <v>2</v>
      </c>
      <c r="B3" s="36" t="s">
        <v>224</v>
      </c>
      <c r="C3" s="36" t="s">
        <v>225</v>
      </c>
      <c r="D3" s="36" t="s">
        <v>226</v>
      </c>
      <c r="E3" s="36" t="s">
        <v>227</v>
      </c>
      <c r="F3" s="36" t="s">
        <v>228</v>
      </c>
    </row>
    <row r="4" customFormat="false" ht="31.5" hidden="false" customHeight="true" outlineLevel="0" collapsed="false">
      <c r="A4" s="8" t="n">
        <v>1</v>
      </c>
      <c r="B4" s="9" t="s">
        <v>229</v>
      </c>
      <c r="C4" s="10" t="s">
        <v>230</v>
      </c>
      <c r="D4" s="37"/>
      <c r="E4" s="37"/>
      <c r="F4" s="37"/>
    </row>
    <row r="5" customFormat="false" ht="31.5" hidden="false" customHeight="true" outlineLevel="0" collapsed="false">
      <c r="A5" s="4" t="n">
        <v>2</v>
      </c>
      <c r="B5" s="5" t="s">
        <v>231</v>
      </c>
      <c r="C5" s="6" t="s">
        <v>232</v>
      </c>
      <c r="D5" s="40"/>
      <c r="E5" s="40"/>
      <c r="F5" s="40"/>
    </row>
    <row r="6" customFormat="false" ht="31.5" hidden="false" customHeight="true" outlineLevel="0" collapsed="false">
      <c r="A6" s="8" t="n">
        <v>3</v>
      </c>
      <c r="B6" s="9" t="s">
        <v>233</v>
      </c>
      <c r="C6" s="10" t="s">
        <v>234</v>
      </c>
      <c r="D6" s="37"/>
      <c r="E6" s="37"/>
      <c r="F6" s="37"/>
    </row>
    <row r="7" customFormat="false" ht="31.5" hidden="false" customHeight="true" outlineLevel="0" collapsed="false">
      <c r="A7" s="4" t="n">
        <v>4</v>
      </c>
      <c r="B7" s="5" t="s">
        <v>235</v>
      </c>
      <c r="C7" s="6" t="s">
        <v>236</v>
      </c>
      <c r="D7" s="40"/>
      <c r="E7" s="40"/>
      <c r="F7" s="40"/>
    </row>
    <row r="8" customFormat="false" ht="31.5" hidden="false" customHeight="true" outlineLevel="0" collapsed="false">
      <c r="A8" s="8" t="n">
        <v>5</v>
      </c>
      <c r="B8" s="9" t="s">
        <v>237</v>
      </c>
      <c r="C8" s="10" t="s">
        <v>238</v>
      </c>
      <c r="D8" s="37"/>
      <c r="E8" s="37"/>
      <c r="F8" s="37"/>
    </row>
    <row r="9" customFormat="false" ht="31.5" hidden="false" customHeight="true" outlineLevel="0" collapsed="false">
      <c r="A9" s="4" t="n">
        <v>6</v>
      </c>
      <c r="B9" s="5" t="s">
        <v>239</v>
      </c>
      <c r="C9" s="6" t="s">
        <v>240</v>
      </c>
      <c r="D9" s="40"/>
      <c r="E9" s="40"/>
      <c r="F9" s="40"/>
    </row>
    <row r="10" customFormat="false" ht="31.5" hidden="false" customHeight="true" outlineLevel="0" collapsed="false">
      <c r="A10" s="8" t="n">
        <v>7</v>
      </c>
      <c r="B10" s="9" t="s">
        <v>241</v>
      </c>
      <c r="C10" s="10" t="s">
        <v>242</v>
      </c>
      <c r="D10" s="37"/>
      <c r="E10" s="37"/>
      <c r="F10" s="37"/>
    </row>
    <row r="11" customFormat="false" ht="31.5" hidden="false" customHeight="true" outlineLevel="0" collapsed="false">
      <c r="A11" s="4" t="n">
        <v>8</v>
      </c>
      <c r="B11" s="5" t="s">
        <v>243</v>
      </c>
      <c r="C11" s="6" t="s">
        <v>244</v>
      </c>
      <c r="D11" s="40"/>
      <c r="E11" s="40"/>
      <c r="F11" s="40"/>
    </row>
    <row r="12" customFormat="false" ht="31.5" hidden="false" customHeight="true" outlineLevel="0" collapsed="false">
      <c r="A12" s="8" t="n">
        <v>9</v>
      </c>
      <c r="B12" s="9" t="s">
        <v>245</v>
      </c>
      <c r="C12" s="10" t="s">
        <v>246</v>
      </c>
      <c r="D12" s="37"/>
      <c r="E12" s="37"/>
      <c r="F12" s="37"/>
    </row>
    <row r="13" customFormat="false" ht="31.5" hidden="false" customHeight="true" outlineLevel="0" collapsed="false">
      <c r="A13" s="4" t="n">
        <v>10</v>
      </c>
      <c r="B13" s="5" t="s">
        <v>247</v>
      </c>
      <c r="C13" s="6" t="s">
        <v>248</v>
      </c>
      <c r="D13" s="40"/>
      <c r="E13" s="40"/>
      <c r="F13" s="40"/>
    </row>
    <row r="14" customFormat="false" ht="31.5" hidden="false" customHeight="true" outlineLevel="0" collapsed="false">
      <c r="A14" s="8" t="n">
        <v>11</v>
      </c>
      <c r="B14" s="9" t="s">
        <v>249</v>
      </c>
      <c r="C14" s="10" t="s">
        <v>250</v>
      </c>
      <c r="D14" s="37"/>
      <c r="E14" s="37"/>
      <c r="F14" s="37"/>
    </row>
    <row r="15" customFormat="false" ht="31.5" hidden="false" customHeight="true" outlineLevel="0" collapsed="false">
      <c r="A15" s="4" t="n">
        <v>12</v>
      </c>
      <c r="B15" s="5" t="s">
        <v>251</v>
      </c>
      <c r="C15" s="6" t="s">
        <v>252</v>
      </c>
      <c r="D15" s="40"/>
      <c r="E15" s="40"/>
      <c r="F15" s="40"/>
    </row>
    <row r="16" customFormat="false" ht="31.5" hidden="false" customHeight="true" outlineLevel="0" collapsed="false">
      <c r="A16" s="8" t="n">
        <v>13</v>
      </c>
      <c r="B16" s="9" t="s">
        <v>253</v>
      </c>
      <c r="C16" s="10" t="s">
        <v>254</v>
      </c>
      <c r="D16" s="37"/>
      <c r="E16" s="37"/>
      <c r="F16" s="37"/>
    </row>
    <row r="17" customFormat="false" ht="31.5" hidden="false" customHeight="true" outlineLevel="0" collapsed="false">
      <c r="A17" s="4" t="n">
        <v>14</v>
      </c>
      <c r="B17" s="5" t="s">
        <v>255</v>
      </c>
      <c r="C17" s="6" t="s">
        <v>256</v>
      </c>
      <c r="D17" s="40"/>
      <c r="E17" s="40"/>
      <c r="F17" s="40"/>
    </row>
    <row r="18" customFormat="false" ht="31.5" hidden="false" customHeight="true" outlineLevel="0" collapsed="false">
      <c r="A18" s="8" t="n">
        <v>15</v>
      </c>
      <c r="B18" s="9" t="s">
        <v>257</v>
      </c>
      <c r="C18" s="10" t="s">
        <v>258</v>
      </c>
      <c r="D18" s="37"/>
      <c r="E18" s="37"/>
      <c r="F18" s="37"/>
    </row>
    <row r="19" customFormat="false" ht="31.5" hidden="false" customHeight="true" outlineLevel="0" collapsed="false">
      <c r="A19" s="4" t="n">
        <v>16</v>
      </c>
      <c r="B19" s="5" t="s">
        <v>259</v>
      </c>
      <c r="C19" s="6" t="s">
        <v>260</v>
      </c>
      <c r="D19" s="40"/>
      <c r="E19" s="40"/>
      <c r="F19" s="40"/>
    </row>
    <row r="20" customFormat="false" ht="31.5" hidden="false" customHeight="true" outlineLevel="0" collapsed="false">
      <c r="A20" s="8" t="n">
        <v>17</v>
      </c>
      <c r="B20" s="9" t="s">
        <v>261</v>
      </c>
      <c r="C20" s="10" t="s">
        <v>262</v>
      </c>
      <c r="D20" s="37"/>
      <c r="E20" s="37"/>
      <c r="F20" s="37"/>
    </row>
    <row r="21" customFormat="false" ht="31.5" hidden="false" customHeight="true" outlineLevel="0" collapsed="false">
      <c r="A21" s="4" t="n">
        <v>18</v>
      </c>
      <c r="B21" s="5" t="s">
        <v>263</v>
      </c>
      <c r="C21" s="6" t="s">
        <v>264</v>
      </c>
      <c r="D21" s="40"/>
      <c r="E21" s="40"/>
      <c r="F21" s="40"/>
    </row>
    <row r="22" customFormat="false" ht="31.5" hidden="false" customHeight="true" outlineLevel="0" collapsed="false">
      <c r="A22" s="8" t="n">
        <v>19</v>
      </c>
      <c r="B22" s="9" t="s">
        <v>265</v>
      </c>
      <c r="C22" s="10" t="s">
        <v>266</v>
      </c>
      <c r="D22" s="37"/>
      <c r="E22" s="37"/>
      <c r="F22" s="37"/>
    </row>
    <row r="23" customFormat="false" ht="31.5" hidden="false" customHeight="true" outlineLevel="0" collapsed="false">
      <c r="A23" s="4" t="n">
        <v>20</v>
      </c>
      <c r="B23" s="5" t="s">
        <v>267</v>
      </c>
      <c r="C23" s="6" t="s">
        <v>268</v>
      </c>
      <c r="D23" s="40"/>
      <c r="E23" s="40"/>
      <c r="F23" s="40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2026-05-04T09:55:49Z</dcterms:created>
  <dc:creator>openpyxl</dc:creator>
  <dc:description/>
  <dc:language>en-US</dc:language>
  <cp:lastModifiedBy/>
  <dcterms:modified xsi:type="dcterms:W3CDTF">2026-05-04T09:55:49Z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