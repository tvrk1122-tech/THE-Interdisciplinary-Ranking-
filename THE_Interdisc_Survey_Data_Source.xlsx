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Overview" sheetId="1" state="visible" r:id="rId3"/>
    <sheet name="1. Respondent Profile" sheetId="2" state="visible" r:id="rId4"/>
    <sheet name="2. Research Vote Counts" sheetId="3" state="visible" r:id="rId5"/>
    <sheet name="3. Research Pairwise" sheetId="4" state="visible" r:id="rId6"/>
    <sheet name="4. Teaching Vote Counts" sheetId="5" state="visible" r:id="rId7"/>
    <sheet name="5. Teaching Pairwise" sheetId="6" state="visible" r:id="rId8"/>
    <sheet name="6. Country Diversity" sheetId="7" state="visible" r:id="rId9"/>
    <sheet name="7. Subject Diversity" sheetId="8" state="visible" r:id="rId10"/>
    <sheet name="8. Composite Survey Score" sheetId="9" state="visible" r:id="rId11"/>
    <sheet name="9. Survey Question Bank" sheetId="10" state="visible" r:id="rId12"/>
    <sheet name="10. Benchmarking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<sst xmlns="http://schemas.openxmlformats.org/spreadsheetml/2006/main" count="571" uniqueCount="511">
  <si>
    <t xml:space="preserve">THE Interdisciplinary Rankings — Data Sources: Survey (25%)</t>
  </si>
  <si>
    <t xml:space="preserve">Academic Reputation Survey → Peer Perception of Interdisciplinary Research &amp; Teaching Support</t>
  </si>
  <si>
    <t xml:space="preserve">#</t>
  </si>
  <si>
    <t xml:space="preserve">Survey Component</t>
  </si>
  <si>
    <t xml:space="preserve">Description &amp; Methodology</t>
  </si>
  <si>
    <t xml:space="preserve">Approx. Weight</t>
  </si>
  <si>
    <t xml:space="preserve">Interdisciplinary Research Reputation</t>
  </si>
  <si>
    <t xml:space="preserve">Peer academics are asked to identify universities they perceive as STRONG in interdisciplinary/cross-domain research. Unlike the standard THE WUR reputation survey (which asks about research in a specific discipline), this survey asks specifically about cross-domain scientific integration. Respondents draw from personal knowledge of collaborative research, multi-domain publications, and cross-field citations.</t>
  </si>
  <si>
    <t xml:space="preserve">~12%</t>
  </si>
  <si>
    <t xml:space="preserve">Interdisciplinary Teaching Reputation</t>
  </si>
  <si>
    <t xml:space="preserve">Peer academics evaluate which universities are perceived as excellent in interdisciplinary teaching and curriculum design. Covers: cross-department programme quality, innovative pedagogy, flexibility, graduate preparedness for multi-domain careers. Weighted lower than research (2:1 ratio per THE methodology).</t>
  </si>
  <si>
    <t xml:space="preserve">~6%</t>
  </si>
  <si>
    <t xml:space="preserve">Voter Diversity — Country Dimension</t>
  </si>
  <si>
    <t xml:space="preserve">Entropy-based measure of how broadly an institution's reputation votes are distributed across respondent COUNTRIES/TERRITORIES. Higher diversity = more robust global interdisciplinary reputation (not concentrated in home country/region).</t>
  </si>
  <si>
    <t xml:space="preserve">~3.5%</t>
  </si>
  <si>
    <t xml:space="preserve">Voter Diversity — Subject Dimension</t>
  </si>
  <si>
    <t xml:space="preserve">Entropy-based measure of how broadly votes are distributed across THE's 11 SUBJECT AREAS. Institutions recognized for interdisciplinarity across many fields score higher than those known only in 1–2 areas.</t>
  </si>
  <si>
    <t xml:space="preserve">Survey Design: Standard WUR vs. Interdisciplinary Ranking</t>
  </si>
  <si>
    <t xml:space="preserve">Feature</t>
  </si>
  <si>
    <t xml:space="preserve">Standard THE WUR Reputation Survey</t>
  </si>
  <si>
    <t xml:space="preserve">THE Interdisciplinary Reputation Survey</t>
  </si>
  <si>
    <t xml:space="preserve">Key Difference</t>
  </si>
  <si>
    <t xml:space="preserve">Question Focus</t>
  </si>
  <si>
    <t xml:space="preserve">Best universities for research/teaching IN YOUR FIELD</t>
  </si>
  <si>
    <t xml:space="preserve">Best universities for INTERDISCIPLINARY/CROSS-DOMAIN research and teaching</t>
  </si>
  <si>
    <t xml:space="preserve">Explicitly asks about cross-domain, not single-discipline</t>
  </si>
  <si>
    <t xml:space="preserve">Respondent Pool</t>
  </si>
  <si>
    <t xml:space="preserve">Published academics worldwide (~40,000 invited)</t>
  </si>
  <si>
    <t xml:space="preserve">Same pool but with supplementary questions on interdisciplinarity</t>
  </si>
  <si>
    <t xml:space="preserve">Additional questions; same respondent base</t>
  </si>
  <si>
    <t xml:space="preserve">Vote-Count Method</t>
  </si>
  <si>
    <t xml:space="preserve">Cumulative scoring function (2025+)</t>
  </si>
  <si>
    <t xml:space="preserve">Adapted for interdisc. context — vote counts + pairwise</t>
  </si>
  <si>
    <t xml:space="preserve">Interdisciplinary pairwise comparison added</t>
  </si>
  <si>
    <t xml:space="preserve">Pairwise Comparison</t>
  </si>
  <si>
    <t xml:space="preserve">5 pre-selected universities ranked 1–5</t>
  </si>
  <si>
    <t xml:space="preserve">5 universities ranked for interdisciplinary excellence specifically</t>
  </si>
  <si>
    <t xml:space="preserve">Ranking criterion = cross-domain strength, not discipline-specific</t>
  </si>
  <si>
    <t xml:space="preserve">Voter Diversity</t>
  </si>
  <si>
    <t xml:space="preserve">Country × Subject entropy</t>
  </si>
  <si>
    <t xml:space="preserve">Same entropy approach but on interdisciplinary votes</t>
  </si>
  <si>
    <t xml:space="preserve">Diversity computed on interdisc.-specific vote pool</t>
  </si>
  <si>
    <t xml:space="preserve">Weighting</t>
  </si>
  <si>
    <t xml:space="preserve">Research:Teaching = 2:1</t>
  </si>
  <si>
    <t xml:space="preserve">Same 2:1 ratio maintained for interdisc. survey</t>
  </si>
  <si>
    <t xml:space="preserve">Consistent with WRR methodology</t>
  </si>
  <si>
    <t xml:space="preserve">Self-Vote Dilution</t>
  </si>
  <si>
    <t xml:space="preserve">Applied</t>
  </si>
  <si>
    <t xml:space="preserve">Same safeguard</t>
  </si>
  <si>
    <t xml:space="preserve">VPRI Capping</t>
  </si>
  <si>
    <t xml:space="preserve">Applied where threshold exceeded</t>
  </si>
  <si>
    <t xml:space="preserve">Languages</t>
  </si>
  <si>
    <t xml:space="preserve">13 languages available</t>
  </si>
  <si>
    <t xml:space="preserve">Same 13 languages</t>
  </si>
  <si>
    <t xml:space="preserve">Same accessibility</t>
  </si>
  <si>
    <t xml:space="preserve">Respondent Eligibility</t>
  </si>
  <si>
    <t xml:space="preserve">Published scholars (Scopus-verified)</t>
  </si>
  <si>
    <t xml:space="preserve">Same — published scholars with Scopus profile</t>
  </si>
  <si>
    <t xml:space="preserve">Same quality control on respondent pool</t>
  </si>
  <si>
    <t xml:space="preserve">Key Notes</t>
  </si>
  <si>
    <t xml:space="preserve">• Survey accounts for 25% of total ranking — the second-largest data source after Bibliometrics (40%).</t>
  </si>
  <si>
    <t xml:space="preserve">• Survey respondents are published scholars verified via Scopus author profiles (~40,000 invited globally).</t>
  </si>
  <si>
    <t xml:space="preserve">• The survey SPECIFICALLY asks about interdisciplinary/cross-domain capabilities — not general reputation.</t>
  </si>
  <si>
    <t xml:space="preserve">• Vote-count + pairwise comparison methodology reduces 'super-brand' bias among respondents.</t>
  </si>
  <si>
    <t xml:space="preserve">• Voter diversity (country × subject entropy) rewards institutions recognized across geographies and fields.</t>
  </si>
  <si>
    <t xml:space="preserve">• Self-vote dilution and VPRI capping prevent institutions from inflating their own scores.</t>
  </si>
  <si>
    <t xml:space="preserve">• Survey available in 13 languages to ensure global accessibility and reduce language bias.</t>
  </si>
  <si>
    <t xml:space="preserve">• Research:Teaching = 2:1 weighting reflects higher confidence in peers' ability to judge research vs teaching.</t>
  </si>
  <si>
    <t xml:space="preserve">Survey Respondent Profile — Interdisciplinary Reputation Survey</t>
  </si>
  <si>
    <t xml:space="preserve">Demographic &amp; academic profile of each invited, published scholar | Scopus-verified</t>
  </si>
  <si>
    <t xml:space="preserve">Resp. ID</t>
  </si>
  <si>
    <t xml:space="preserve">Survey Wave</t>
  </si>
  <si>
    <t xml:space="preserve">Invitation Date</t>
  </si>
  <si>
    <t xml:space="preserve">Country / Territory</t>
  </si>
  <si>
    <t xml:space="preserve">Primary Subject Area</t>
  </si>
  <si>
    <t xml:space="preserve">Secondary Subject Area</t>
  </si>
  <si>
    <t xml:space="preserve">Seniority / Role</t>
  </si>
  <si>
    <t xml:space="preserve">Years Experience</t>
  </si>
  <si>
    <t xml:space="preserve">No. of Cross-Domain Publications</t>
  </si>
  <si>
    <t xml:space="preserve">Home Institution</t>
  </si>
  <si>
    <t xml:space="preserve">Response Language</t>
  </si>
  <si>
    <t xml:space="preserve">Completed (Y/N)</t>
  </si>
  <si>
    <t xml:space="preserve">IR-0001</t>
  </si>
  <si>
    <t xml:space="preserve">IR-0002</t>
  </si>
  <si>
    <t xml:space="preserve">IR-0003</t>
  </si>
  <si>
    <t xml:space="preserve">IR-0004</t>
  </si>
  <si>
    <t xml:space="preserve">IR-0005</t>
  </si>
  <si>
    <t xml:space="preserve">IR-0006</t>
  </si>
  <si>
    <t xml:space="preserve">IR-0007</t>
  </si>
  <si>
    <t xml:space="preserve">IR-0008</t>
  </si>
  <si>
    <t xml:space="preserve">IR-0009</t>
  </si>
  <si>
    <t xml:space="preserve">IR-0010</t>
  </si>
  <si>
    <t xml:space="preserve">IR-0011</t>
  </si>
  <si>
    <t xml:space="preserve">IR-0012</t>
  </si>
  <si>
    <t xml:space="preserve">IR-0013</t>
  </si>
  <si>
    <t xml:space="preserve">IR-0014</t>
  </si>
  <si>
    <t xml:space="preserve">IR-0015</t>
  </si>
  <si>
    <t xml:space="preserve">IR-0016</t>
  </si>
  <si>
    <t xml:space="preserve">IR-0017</t>
  </si>
  <si>
    <t xml:space="preserve">IR-0018</t>
  </si>
  <si>
    <t xml:space="preserve">IR-0019</t>
  </si>
  <si>
    <t xml:space="preserve">IR-0020</t>
  </si>
  <si>
    <t xml:space="preserve">IR-0021</t>
  </si>
  <si>
    <t xml:space="preserve">IR-0022</t>
  </si>
  <si>
    <t xml:space="preserve">IR-0023</t>
  </si>
  <si>
    <t xml:space="preserve">IR-0024</t>
  </si>
  <si>
    <t xml:space="preserve">IR-0025</t>
  </si>
  <si>
    <t xml:space="preserve">IR-0026</t>
  </si>
  <si>
    <t xml:space="preserve">IR-0027</t>
  </si>
  <si>
    <t xml:space="preserve">IR-0028</t>
  </si>
  <si>
    <t xml:space="preserve">IR-0029</t>
  </si>
  <si>
    <t xml:space="preserve">IR-0030</t>
  </si>
  <si>
    <t xml:space="preserve">IR-0031</t>
  </si>
  <si>
    <t xml:space="preserve">IR-0032</t>
  </si>
  <si>
    <t xml:space="preserve">IR-0033</t>
  </si>
  <si>
    <t xml:space="preserve">IR-0034</t>
  </si>
  <si>
    <t xml:space="preserve">IR-0035</t>
  </si>
  <si>
    <t xml:space="preserve">IR-0036</t>
  </si>
  <si>
    <t xml:space="preserve">IR-0037</t>
  </si>
  <si>
    <t xml:space="preserve">IR-0038</t>
  </si>
  <si>
    <t xml:space="preserve">IR-0039</t>
  </si>
  <si>
    <t xml:space="preserve">IR-0040</t>
  </si>
  <si>
    <t xml:space="preserve">IR-0041</t>
  </si>
  <si>
    <t xml:space="preserve">IR-0042</t>
  </si>
  <si>
    <t xml:space="preserve">IR-0043</t>
  </si>
  <si>
    <t xml:space="preserve">IR-0044</t>
  </si>
  <si>
    <t xml:space="preserve">IR-0045</t>
  </si>
  <si>
    <t xml:space="preserve">IR-0046</t>
  </si>
  <si>
    <t xml:space="preserve">IR-0047</t>
  </si>
  <si>
    <t xml:space="preserve">IR-0048</t>
  </si>
  <si>
    <t xml:space="preserve">IR-0049</t>
  </si>
  <si>
    <t xml:space="preserve">IR-0050</t>
  </si>
  <si>
    <t xml:space="preserve">Validation Checks</t>
  </si>
  <si>
    <t xml:space="preserve">Total Invited</t>
  </si>
  <si>
    <t xml:space="preserve">Total Completed</t>
  </si>
  <si>
    <t xml:space="preserve">Response Rate (%)</t>
  </si>
  <si>
    <t xml:space="preserve">Unique Countries</t>
  </si>
  <si>
    <t xml:space="preserve">Unique Subject Areas</t>
  </si>
  <si>
    <t xml:space="preserve">Respondents with Cross-Domain Pubs</t>
  </si>
  <si>
    <t xml:space="preserve">Interdisciplinary Research Reputation — Vote Counts</t>
  </si>
  <si>
    <t xml:space="preserve">Respondents nominate up to 15 institutions for interdisciplinary research excellence | Cumulative scoring</t>
  </si>
  <si>
    <t xml:space="preserve">S.No.</t>
  </si>
  <si>
    <t xml:space="preserve">University Name</t>
  </si>
  <si>
    <t xml:space="preserve">Country</t>
  </si>
  <si>
    <t xml:space="preserve">Raw Research Votes</t>
  </si>
  <si>
    <t xml:space="preserve">Self-Vote Dilution Applied (Y/N)</t>
  </si>
  <si>
    <t xml:space="preserve">VPRI Capped (Y/N)</t>
  </si>
  <si>
    <t xml:space="preserve">Adjusted Votes</t>
  </si>
  <si>
    <t xml:space="preserve">Cumulative Score</t>
  </si>
  <si>
    <t xml:space="preserve">Research Vote Score (0–100)</t>
  </si>
  <si>
    <t xml:space="preserve">Interdisciplinary Research — Pairwise Comparison Rankings</t>
  </si>
  <si>
    <t xml:space="preserve">Each respondent ranks 5 pre-selected universities 1–5 for INTERDISCIPLINARY RESEARCH excellence</t>
  </si>
  <si>
    <t xml:space="preserve">Entry ID</t>
  </si>
  <si>
    <t xml:space="preserve">Respondent ID</t>
  </si>
  <si>
    <t xml:space="preserve">Resp. Country</t>
  </si>
  <si>
    <t xml:space="preserve">Resp. Subject</t>
  </si>
  <si>
    <t xml:space="preserve">Bundle ID</t>
  </si>
  <si>
    <t xml:space="preserve">Rank (1–5)</t>
  </si>
  <si>
    <t xml:space="preserve">Inverse Score (6−Rank)</t>
  </si>
  <si>
    <t xml:space="preserve">Justification / Comment</t>
  </si>
  <si>
    <t xml:space="preserve">Response Date</t>
  </si>
  <si>
    <t xml:space="preserve">Excluded (Y/N)</t>
  </si>
  <si>
    <t xml:space="preserve">IPR-00001</t>
  </si>
  <si>
    <t xml:space="preserve">IPR-00002</t>
  </si>
  <si>
    <t xml:space="preserve">IPR-00003</t>
  </si>
  <si>
    <t xml:space="preserve">IPR-00004</t>
  </si>
  <si>
    <t xml:space="preserve">IPR-00005</t>
  </si>
  <si>
    <t xml:space="preserve">IPR-00006</t>
  </si>
  <si>
    <t xml:space="preserve">IPR-00007</t>
  </si>
  <si>
    <t xml:space="preserve">IPR-00008</t>
  </si>
  <si>
    <t xml:space="preserve">IPR-00009</t>
  </si>
  <si>
    <t xml:space="preserve">IPR-00010</t>
  </si>
  <si>
    <t xml:space="preserve">IPR-00011</t>
  </si>
  <si>
    <t xml:space="preserve">IPR-00012</t>
  </si>
  <si>
    <t xml:space="preserve">IPR-00013</t>
  </si>
  <si>
    <t xml:space="preserve">IPR-00014</t>
  </si>
  <si>
    <t xml:space="preserve">IPR-00015</t>
  </si>
  <si>
    <t xml:space="preserve">IPR-00016</t>
  </si>
  <si>
    <t xml:space="preserve">IPR-00017</t>
  </si>
  <si>
    <t xml:space="preserve">IPR-00018</t>
  </si>
  <si>
    <t xml:space="preserve">IPR-00019</t>
  </si>
  <si>
    <t xml:space="preserve">IPR-00020</t>
  </si>
  <si>
    <t xml:space="preserve">IPR-00021</t>
  </si>
  <si>
    <t xml:space="preserve">IPR-00022</t>
  </si>
  <si>
    <t xml:space="preserve">IPR-00023</t>
  </si>
  <si>
    <t xml:space="preserve">IPR-00024</t>
  </si>
  <si>
    <t xml:space="preserve">IPR-00025</t>
  </si>
  <si>
    <t xml:space="preserve">IPR-00026</t>
  </si>
  <si>
    <t xml:space="preserve">IPR-00027</t>
  </si>
  <si>
    <t xml:space="preserve">IPR-00028</t>
  </si>
  <si>
    <t xml:space="preserve">IPR-00029</t>
  </si>
  <si>
    <t xml:space="preserve">IPR-00030</t>
  </si>
  <si>
    <t xml:space="preserve">IPR-00031</t>
  </si>
  <si>
    <t xml:space="preserve">IPR-00032</t>
  </si>
  <si>
    <t xml:space="preserve">IPR-00033</t>
  </si>
  <si>
    <t xml:space="preserve">IPR-00034</t>
  </si>
  <si>
    <t xml:space="preserve">IPR-00035</t>
  </si>
  <si>
    <t xml:space="preserve">IPR-00036</t>
  </si>
  <si>
    <t xml:space="preserve">IPR-00037</t>
  </si>
  <si>
    <t xml:space="preserve">IPR-00038</t>
  </si>
  <si>
    <t xml:space="preserve">IPR-00039</t>
  </si>
  <si>
    <t xml:space="preserve">IPR-00040</t>
  </si>
  <si>
    <t xml:space="preserve">IPR-00041</t>
  </si>
  <si>
    <t xml:space="preserve">IPR-00042</t>
  </si>
  <si>
    <t xml:space="preserve">IPR-00043</t>
  </si>
  <si>
    <t xml:space="preserve">IPR-00044</t>
  </si>
  <si>
    <t xml:space="preserve">IPR-00045</t>
  </si>
  <si>
    <t xml:space="preserve">IPR-00046</t>
  </si>
  <si>
    <t xml:space="preserve">IPR-00047</t>
  </si>
  <si>
    <t xml:space="preserve">IPR-00048</t>
  </si>
  <si>
    <t xml:space="preserve">IPR-00049</t>
  </si>
  <si>
    <t xml:space="preserve">IPR-00050</t>
  </si>
  <si>
    <t xml:space="preserve">IPR-00051</t>
  </si>
  <si>
    <t xml:space="preserve">IPR-00052</t>
  </si>
  <si>
    <t xml:space="preserve">IPR-00053</t>
  </si>
  <si>
    <t xml:space="preserve">IPR-00054</t>
  </si>
  <si>
    <t xml:space="preserve">IPR-00055</t>
  </si>
  <si>
    <t xml:space="preserve">IPR-00056</t>
  </si>
  <si>
    <t xml:space="preserve">IPR-00057</t>
  </si>
  <si>
    <t xml:space="preserve">IPR-00058</t>
  </si>
  <si>
    <t xml:space="preserve">IPR-00059</t>
  </si>
  <si>
    <t xml:space="preserve">IPR-00060</t>
  </si>
  <si>
    <t xml:space="preserve">IPR-00061</t>
  </si>
  <si>
    <t xml:space="preserve">IPR-00062</t>
  </si>
  <si>
    <t xml:space="preserve">IPR-00063</t>
  </si>
  <si>
    <t xml:space="preserve">IPR-00064</t>
  </si>
  <si>
    <t xml:space="preserve">IPR-00065</t>
  </si>
  <si>
    <t xml:space="preserve">IPR-00066</t>
  </si>
  <si>
    <t xml:space="preserve">IPR-00067</t>
  </si>
  <si>
    <t xml:space="preserve">IPR-00068</t>
  </si>
  <si>
    <t xml:space="preserve">IPR-00069</t>
  </si>
  <si>
    <t xml:space="preserve">IPR-00070</t>
  </si>
  <si>
    <t xml:space="preserve">IPR-00071</t>
  </si>
  <si>
    <t xml:space="preserve">IPR-00072</t>
  </si>
  <si>
    <t xml:space="preserve">IPR-00073</t>
  </si>
  <si>
    <t xml:space="preserve">IPR-00074</t>
  </si>
  <si>
    <t xml:space="preserve">IPR-00075</t>
  </si>
  <si>
    <t xml:space="preserve">IPR-00076</t>
  </si>
  <si>
    <t xml:space="preserve">IPR-00077</t>
  </si>
  <si>
    <t xml:space="preserve">IPR-00078</t>
  </si>
  <si>
    <t xml:space="preserve">IPR-00079</t>
  </si>
  <si>
    <t xml:space="preserve">IPR-00080</t>
  </si>
  <si>
    <t xml:space="preserve">IPR-00081</t>
  </si>
  <si>
    <t xml:space="preserve">IPR-00082</t>
  </si>
  <si>
    <t xml:space="preserve">IPR-00083</t>
  </si>
  <si>
    <t xml:space="preserve">IPR-00084</t>
  </si>
  <si>
    <t xml:space="preserve">IPR-00085</t>
  </si>
  <si>
    <t xml:space="preserve">IPR-00086</t>
  </si>
  <si>
    <t xml:space="preserve">IPR-00087</t>
  </si>
  <si>
    <t xml:space="preserve">IPR-00088</t>
  </si>
  <si>
    <t xml:space="preserve">IPR-00089</t>
  </si>
  <si>
    <t xml:space="preserve">IPR-00090</t>
  </si>
  <si>
    <t xml:space="preserve">IPR-00091</t>
  </si>
  <si>
    <t xml:space="preserve">IPR-00092</t>
  </si>
  <si>
    <t xml:space="preserve">IPR-00093</t>
  </si>
  <si>
    <t xml:space="preserve">IPR-00094</t>
  </si>
  <si>
    <t xml:space="preserve">IPR-00095</t>
  </si>
  <si>
    <t xml:space="preserve">IPR-00096</t>
  </si>
  <si>
    <t xml:space="preserve">IPR-00097</t>
  </si>
  <si>
    <t xml:space="preserve">IPR-00098</t>
  </si>
  <si>
    <t xml:space="preserve">IPR-00099</t>
  </si>
  <si>
    <t xml:space="preserve">IPR-00100</t>
  </si>
  <si>
    <t xml:space="preserve">Interdisciplinary Teaching Reputation — Vote Counts</t>
  </si>
  <si>
    <t xml:space="preserve">Respondents nominate up to 15 institutions for interdisciplinary teaching excellence</t>
  </si>
  <si>
    <t xml:space="preserve">Raw Teaching Votes</t>
  </si>
  <si>
    <t xml:space="preserve">Self-Vote Dilution (Y/N)</t>
  </si>
  <si>
    <t xml:space="preserve">Teaching Vote Score (0–100)</t>
  </si>
  <si>
    <t xml:space="preserve">Interdisciplinary Teaching — Pairwise Comparison Rankings</t>
  </si>
  <si>
    <t xml:space="preserve">Each respondent ranks 5 pre-selected universities 1–5 for INTERDISCIPLINARY TEACHING quality</t>
  </si>
  <si>
    <t xml:space="preserve">IPT-00001</t>
  </si>
  <si>
    <t xml:space="preserve">IPT-00002</t>
  </si>
  <si>
    <t xml:space="preserve">IPT-00003</t>
  </si>
  <si>
    <t xml:space="preserve">IPT-00004</t>
  </si>
  <si>
    <t xml:space="preserve">IPT-00005</t>
  </si>
  <si>
    <t xml:space="preserve">IPT-00006</t>
  </si>
  <si>
    <t xml:space="preserve">IPT-00007</t>
  </si>
  <si>
    <t xml:space="preserve">IPT-00008</t>
  </si>
  <si>
    <t xml:space="preserve">IPT-00009</t>
  </si>
  <si>
    <t xml:space="preserve">IPT-00010</t>
  </si>
  <si>
    <t xml:space="preserve">IPT-00011</t>
  </si>
  <si>
    <t xml:space="preserve">IPT-00012</t>
  </si>
  <si>
    <t xml:space="preserve">IPT-00013</t>
  </si>
  <si>
    <t xml:space="preserve">IPT-00014</t>
  </si>
  <si>
    <t xml:space="preserve">IPT-00015</t>
  </si>
  <si>
    <t xml:space="preserve">IPT-00016</t>
  </si>
  <si>
    <t xml:space="preserve">IPT-00017</t>
  </si>
  <si>
    <t xml:space="preserve">IPT-00018</t>
  </si>
  <si>
    <t xml:space="preserve">IPT-00019</t>
  </si>
  <si>
    <t xml:space="preserve">IPT-00020</t>
  </si>
  <si>
    <t xml:space="preserve">IPT-00021</t>
  </si>
  <si>
    <t xml:space="preserve">IPT-00022</t>
  </si>
  <si>
    <t xml:space="preserve">IPT-00023</t>
  </si>
  <si>
    <t xml:space="preserve">IPT-00024</t>
  </si>
  <si>
    <t xml:space="preserve">IPT-00025</t>
  </si>
  <si>
    <t xml:space="preserve">IPT-00026</t>
  </si>
  <si>
    <t xml:space="preserve">IPT-00027</t>
  </si>
  <si>
    <t xml:space="preserve">IPT-00028</t>
  </si>
  <si>
    <t xml:space="preserve">IPT-00029</t>
  </si>
  <si>
    <t xml:space="preserve">IPT-00030</t>
  </si>
  <si>
    <t xml:space="preserve">IPT-00031</t>
  </si>
  <si>
    <t xml:space="preserve">IPT-00032</t>
  </si>
  <si>
    <t xml:space="preserve">IPT-00033</t>
  </si>
  <si>
    <t xml:space="preserve">IPT-00034</t>
  </si>
  <si>
    <t xml:space="preserve">IPT-00035</t>
  </si>
  <si>
    <t xml:space="preserve">IPT-00036</t>
  </si>
  <si>
    <t xml:space="preserve">IPT-00037</t>
  </si>
  <si>
    <t xml:space="preserve">IPT-00038</t>
  </si>
  <si>
    <t xml:space="preserve">IPT-00039</t>
  </si>
  <si>
    <t xml:space="preserve">IPT-00040</t>
  </si>
  <si>
    <t xml:space="preserve">IPT-00041</t>
  </si>
  <si>
    <t xml:space="preserve">IPT-00042</t>
  </si>
  <si>
    <t xml:space="preserve">IPT-00043</t>
  </si>
  <si>
    <t xml:space="preserve">IPT-00044</t>
  </si>
  <si>
    <t xml:space="preserve">IPT-00045</t>
  </si>
  <si>
    <t xml:space="preserve">IPT-00046</t>
  </si>
  <si>
    <t xml:space="preserve">IPT-00047</t>
  </si>
  <si>
    <t xml:space="preserve">IPT-00048</t>
  </si>
  <si>
    <t xml:space="preserve">IPT-00049</t>
  </si>
  <si>
    <t xml:space="preserve">IPT-00050</t>
  </si>
  <si>
    <t xml:space="preserve">IPT-00051</t>
  </si>
  <si>
    <t xml:space="preserve">IPT-00052</t>
  </si>
  <si>
    <t xml:space="preserve">IPT-00053</t>
  </si>
  <si>
    <t xml:space="preserve">IPT-00054</t>
  </si>
  <si>
    <t xml:space="preserve">IPT-00055</t>
  </si>
  <si>
    <t xml:space="preserve">IPT-00056</t>
  </si>
  <si>
    <t xml:space="preserve">IPT-00057</t>
  </si>
  <si>
    <t xml:space="preserve">IPT-00058</t>
  </si>
  <si>
    <t xml:space="preserve">IPT-00059</t>
  </si>
  <si>
    <t xml:space="preserve">IPT-00060</t>
  </si>
  <si>
    <t xml:space="preserve">IPT-00061</t>
  </si>
  <si>
    <t xml:space="preserve">IPT-00062</t>
  </si>
  <si>
    <t xml:space="preserve">IPT-00063</t>
  </si>
  <si>
    <t xml:space="preserve">IPT-00064</t>
  </si>
  <si>
    <t xml:space="preserve">IPT-00065</t>
  </si>
  <si>
    <t xml:space="preserve">IPT-00066</t>
  </si>
  <si>
    <t xml:space="preserve">IPT-00067</t>
  </si>
  <si>
    <t xml:space="preserve">IPT-00068</t>
  </si>
  <si>
    <t xml:space="preserve">IPT-00069</t>
  </si>
  <si>
    <t xml:space="preserve">IPT-00070</t>
  </si>
  <si>
    <t xml:space="preserve">IPT-00071</t>
  </si>
  <si>
    <t xml:space="preserve">IPT-00072</t>
  </si>
  <si>
    <t xml:space="preserve">IPT-00073</t>
  </si>
  <si>
    <t xml:space="preserve">IPT-00074</t>
  </si>
  <si>
    <t xml:space="preserve">IPT-00075</t>
  </si>
  <si>
    <t xml:space="preserve">IPT-00076</t>
  </si>
  <si>
    <t xml:space="preserve">IPT-00077</t>
  </si>
  <si>
    <t xml:space="preserve">IPT-00078</t>
  </si>
  <si>
    <t xml:space="preserve">IPT-00079</t>
  </si>
  <si>
    <t xml:space="preserve">IPT-00080</t>
  </si>
  <si>
    <t xml:space="preserve">IPT-00081</t>
  </si>
  <si>
    <t xml:space="preserve">IPT-00082</t>
  </si>
  <si>
    <t xml:space="preserve">IPT-00083</t>
  </si>
  <si>
    <t xml:space="preserve">IPT-00084</t>
  </si>
  <si>
    <t xml:space="preserve">IPT-00085</t>
  </si>
  <si>
    <t xml:space="preserve">IPT-00086</t>
  </si>
  <si>
    <t xml:space="preserve">IPT-00087</t>
  </si>
  <si>
    <t xml:space="preserve">IPT-00088</t>
  </si>
  <si>
    <t xml:space="preserve">IPT-00089</t>
  </si>
  <si>
    <t xml:space="preserve">IPT-00090</t>
  </si>
  <si>
    <t xml:space="preserve">IPT-00091</t>
  </si>
  <si>
    <t xml:space="preserve">IPT-00092</t>
  </si>
  <si>
    <t xml:space="preserve">IPT-00093</t>
  </si>
  <si>
    <t xml:space="preserve">IPT-00094</t>
  </si>
  <si>
    <t xml:space="preserve">IPT-00095</t>
  </si>
  <si>
    <t xml:space="preserve">IPT-00096</t>
  </si>
  <si>
    <t xml:space="preserve">IPT-00097</t>
  </si>
  <si>
    <t xml:space="preserve">IPT-00098</t>
  </si>
  <si>
    <t xml:space="preserve">IPT-00099</t>
  </si>
  <si>
    <t xml:space="preserve">IPT-00100</t>
  </si>
  <si>
    <t xml:space="preserve">Voter Diversity — Country/Territory Dimension</t>
  </si>
  <si>
    <t xml:space="preserve">Shannon entropy on country distribution of votes | Higher H = more globally recognized interdisciplinary reputation</t>
  </si>
  <si>
    <t xml:space="preserve">Total Votes (Research + Teaching)</t>
  </si>
  <si>
    <t xml:space="preserve">Unique Voter Countries</t>
  </si>
  <si>
    <t xml:space="preserve">Country Entropy H (bits)</t>
  </si>
  <si>
    <t xml:space="preserve">Max Entropy log₂(N)</t>
  </si>
  <si>
    <t xml:space="preserve">Normalized Entropy (H/Hmax)</t>
  </si>
  <si>
    <t xml:space="preserve">Country Diversity Score (0–100)</t>
  </si>
  <si>
    <t xml:space="preserve">Diversity Tier</t>
  </si>
  <si>
    <t xml:space="preserve">Voter Diversity — Subject Area Dimension</t>
  </si>
  <si>
    <t xml:space="preserve">Shannon entropy on subject-area distribution | Max H = log₂(11) ≈ 3.459 bits (11 THE subject groups)</t>
  </si>
  <si>
    <t xml:space="preserve">Unique Voter Subjects (of 11)</t>
  </si>
  <si>
    <t xml:space="preserve">Subject Entropy H (bits)</t>
  </si>
  <si>
    <t xml:space="preserve">Subject Diversity Score (0–100)</t>
  </si>
  <si>
    <t xml:space="preserve">Composite Survey Score (0–100) — 25% of Total Ranking</t>
  </si>
  <si>
    <t xml:space="preserve">Weighted composite: Research Rep (48%) + Teaching Rep (24%) + Country Div (14%) + Subject Div (14%)</t>
  </si>
  <si>
    <t xml:space="preserve">Research Vote Score (A)</t>
  </si>
  <si>
    <t xml:space="preserve">Research Pairwise (B)</t>
  </si>
  <si>
    <t xml:space="preserve">Teaching Vote Score (C)</t>
  </si>
  <si>
    <t xml:space="preserve">Teaching Pairwise (D)</t>
  </si>
  <si>
    <t xml:space="preserve">Country Diversity (E)</t>
  </si>
  <si>
    <t xml:space="preserve">Subject Diversity (F)</t>
  </si>
  <si>
    <t xml:space="preserve">Composite Survey Score (0–100)</t>
  </si>
  <si>
    <t xml:space="preserve">Global Rank</t>
  </si>
  <si>
    <t xml:space="preserve">Weights →</t>
  </si>
  <si>
    <t xml:space="preserve">Interdisciplinary Reputation Survey — Question Bank</t>
  </si>
  <si>
    <t xml:space="preserve">Core survey questions asked to academic respondents | Grouped by section</t>
  </si>
  <si>
    <t xml:space="preserve">Section</t>
  </si>
  <si>
    <t xml:space="preserve">Question Text</t>
  </si>
  <si>
    <t xml:space="preserve">Response Format</t>
  </si>
  <si>
    <t xml:space="preserve">Pillar Fed</t>
  </si>
  <si>
    <t xml:space="preserve">A</t>
  </si>
  <si>
    <t xml:space="preserve">Based on your knowledge, which universities worldwide are the BEST for interdisciplinary or cross-domain RESEARCH? (Nominate up to 15)</t>
  </si>
  <si>
    <t xml:space="preserve">Open nomination (up to 15)</t>
  </si>
  <si>
    <t xml:space="preserve">Research Vote Count</t>
  </si>
  <si>
    <t xml:space="preserve">Of the following 5 universities, rank them 1–5 for interdisciplinary research excellence (1=best)</t>
  </si>
  <si>
    <t xml:space="preserve">Forced ranking 1–5</t>
  </si>
  <si>
    <t xml:space="preserve">Research Pairwise</t>
  </si>
  <si>
    <t xml:space="preserve">In your assessment, how would you rate [University X]'s ability to foster cross-disciplinary research collaboration? (1–5)</t>
  </si>
  <si>
    <t xml:space="preserve">Likert 1–5</t>
  </si>
  <si>
    <t xml:space="preserve">Research Reputation</t>
  </si>
  <si>
    <t xml:space="preserve">B</t>
  </si>
  <si>
    <t xml:space="preserve">Which universities are the BEST for interdisciplinary or cross-domain TEACHING and curriculum design? (Up to 15)</t>
  </si>
  <si>
    <t xml:space="preserve">Teaching Vote Count</t>
  </si>
  <si>
    <t xml:space="preserve">Of the following 5 universities, rank them 1–5 for interdisciplinary teaching quality (1=best)</t>
  </si>
  <si>
    <t xml:space="preserve">Teaching Pairwise</t>
  </si>
  <si>
    <t xml:space="preserve">How would you rate [University X]'s interdisciplinary teaching programmes and graduate preparedness? (1–5)</t>
  </si>
  <si>
    <t xml:space="preserve">Teaching Reputation</t>
  </si>
  <si>
    <t xml:space="preserve">C</t>
  </si>
  <si>
    <t xml:space="preserve">How would you rate [University X]'s institutional support for cross-department research collaboration? (1–5)</t>
  </si>
  <si>
    <t xml:space="preserve">Research Environment</t>
  </si>
  <si>
    <t xml:space="preserve">To what extent does [University X] provide shared infrastructure (labs, HPC, maker spaces) accessible across disciplines? (1–5)</t>
  </si>
  <si>
    <t xml:space="preserve">Physical Facilities</t>
  </si>
  <si>
    <t xml:space="preserve">How effective are [University X]'s governance structures (committees, boards) in supporting interdisciplinary activities? (1–5)</t>
  </si>
  <si>
    <t xml:space="preserve">Admin Support</t>
  </si>
  <si>
    <t xml:space="preserve">D</t>
  </si>
  <si>
    <t xml:space="preserve">In your perception, does [University X]'s promotion &amp; tenure system adequately recognize interdisciplinary contributions? (1–5)</t>
  </si>
  <si>
    <t xml:space="preserve">Promotion &amp; Tenure</t>
  </si>
  <si>
    <t xml:space="preserve">Would you recommend [University X] to a colleague seeking a career in cross-disciplinary research? (1–5)</t>
  </si>
  <si>
    <t xml:space="preserve">Overall Reputation</t>
  </si>
  <si>
    <t xml:space="preserve">E</t>
  </si>
  <si>
    <t xml:space="preserve">How would you rate [University X]'s ability to translate interdisciplinary research into societal/commercial impact? (1–5)</t>
  </si>
  <si>
    <t xml:space="preserve">Innovation &amp; SDG</t>
  </si>
  <si>
    <t xml:space="preserve">In your view, how effectively does [University X] engage with industry on multi-domain R&amp;D problems? (1–5)</t>
  </si>
  <si>
    <t xml:space="preserve">Industry Linkages</t>
  </si>
  <si>
    <t xml:space="preserve">F</t>
  </si>
  <si>
    <t xml:space="preserve">What is your country/territory of institutional affiliation?</t>
  </si>
  <si>
    <t xml:space="preserve">Dropdown (country list)</t>
  </si>
  <si>
    <t xml:space="preserve">What is your primary subject area? (Select from 11 THE subject groups)</t>
  </si>
  <si>
    <t xml:space="preserve">Dropdown (11 areas)</t>
  </si>
  <si>
    <t xml:space="preserve">Subject Diversity</t>
  </si>
  <si>
    <t xml:space="preserve">How many years of academic experience do you have?</t>
  </si>
  <si>
    <t xml:space="preserve">Numeric</t>
  </si>
  <si>
    <t xml:space="preserve">Respondent Profile</t>
  </si>
  <si>
    <t xml:space="preserve">Have you published cross-disciplinary research (spanning 2+ fields) in the past 5 years?</t>
  </si>
  <si>
    <t xml:space="preserve">Yes/No</t>
  </si>
  <si>
    <t xml:space="preserve">Benchmarking &amp; Peer Comparison — Survey Reputation</t>
  </si>
  <si>
    <t xml:space="preserve">Compare against peers, aspirational targets, and global top performers</t>
  </si>
  <si>
    <t xml:space="preserve">University / Benchmark</t>
  </si>
  <si>
    <t xml:space="preserve">Res. Votes</t>
  </si>
  <si>
    <t xml:space="preserve">Res. Pair</t>
  </si>
  <si>
    <t xml:space="preserve">Tch. Votes</t>
  </si>
  <si>
    <t xml:space="preserve">Tch. Pair</t>
  </si>
  <si>
    <t xml:space="preserve">Country Div.</t>
  </si>
  <si>
    <t xml:space="preserve">Subject Div.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</si>
  <si>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</si>
  <si>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</si>
  <si>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</si>
  <si>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</si>
  <si>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</si>
  <si>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</si>
  <si>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</si>
  <si>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</si>
  <si>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</si>
  <si>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</si>
  <si>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Survey Data Source — Data Quality &amp; Audit Checklist</t>
  </si>
  <si>
    <t xml:space="preserve">Validation checks for all survey-derived data (25%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</si>
  <si>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</si>
  <si>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</si>
  <si>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</si>
  <si>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</si>
  <si>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</si>
  <si>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Respondent eligibility verification</t>
  </si>
  <si>
    <t xml:space="preserve">All respondents verified as published scholars with active Scopus author profiles</t>
  </si>
  <si>
    <t xml:space="preserve">Invitation sample balance — country</t>
  </si>
  <si>
    <t xml:space="preserve">Respondent invitations balanced across countries/regions; no single country &gt;15% of total</t>
  </si>
  <si>
    <t xml:space="preserve">Invitation sample balance — subject</t>
  </si>
  <si>
    <t xml:space="preserve">Respondent invitations balanced across 11 THE subject areas; no single area &gt;15%</t>
  </si>
  <si>
    <t xml:space="preserve">Survey language coverage</t>
  </si>
  <si>
    <t xml:space="preserve">Survey available in all 13 languages; translations independently verified</t>
  </si>
  <si>
    <t xml:space="preserve">Response rate adequacy</t>
  </si>
  <si>
    <t xml:space="preserve">Overall response rate documented; minimum threshold (~10–15%) met for statistical reliability</t>
  </si>
  <si>
    <t xml:space="preserve">Self-vote detection &amp; dilution</t>
  </si>
  <si>
    <t xml:space="preserve">Respondents' home institution votes identified and diluted per THE methodology</t>
  </si>
  <si>
    <t xml:space="preserve">VPRI threshold check</t>
  </si>
  <si>
    <t xml:space="preserve">Vote-Per-Respondent-Index capped where any single respondent's influence is disproportionate</t>
  </si>
  <si>
    <t xml:space="preserve">Pairwise bundle randomization</t>
  </si>
  <si>
    <t xml:space="preserve">5-university bundles randomized per respondent based on discipline/region; no systematic bias</t>
  </si>
  <si>
    <t xml:space="preserve">Pairwise completion check</t>
  </si>
  <si>
    <t xml:space="preserve">Respondents completed both vote-count AND pairwise sections (incomplete responses handled per protocol)</t>
  </si>
  <si>
    <t xml:space="preserve">Country entropy calculation</t>
  </si>
  <si>
    <t xml:space="preserve">Shannon entropy on country distribution uses log₂ consistently; proportions sum to 100%</t>
  </si>
  <si>
    <t xml:space="preserve">Subject entropy calculation</t>
  </si>
  <si>
    <t xml:space="preserve">Shannon entropy on subject distribution uses log₂; max H = log₂(11) ≈ 3.459 verified</t>
  </si>
  <si>
    <t xml:space="preserve">Country × subject cross-tabulation</t>
  </si>
  <si>
    <t xml:space="preserve">Voter diversity computed on combined country × subject buckets (not independently)</t>
  </si>
  <si>
    <t xml:space="preserve">Super-brand dilution</t>
  </si>
  <si>
    <t xml:space="preserve">Pairwise methodology verified as forcing consideration of non-top-20 universities</t>
  </si>
  <si>
    <t xml:space="preserve">Question wording review</t>
  </si>
  <si>
    <t xml:space="preserve">Survey questions specifically ask about INTERDISCIPLINARY/CROSS-DOMAIN (not general reputation)</t>
  </si>
  <si>
    <t xml:space="preserve">Cumulative scoring function</t>
  </si>
  <si>
    <t xml:space="preserve">2025+ cumulative scoring function applied (not legacy proportional method)</t>
  </si>
  <si>
    <t xml:space="preserve">Research:Teaching 2:1 weighting</t>
  </si>
  <si>
    <t xml:space="preserve">Final composite correctly weights research reputation at 2× teaching reputation</t>
  </si>
  <si>
    <t xml:space="preserve">Duplicate respondent check</t>
  </si>
  <si>
    <t xml:space="preserve">No respondent submitted multiple surveys; unique Scopus ID per response</t>
  </si>
  <si>
    <t xml:space="preserve">Temporal consistency</t>
  </si>
  <si>
    <t xml:space="preserve">Survey window consistent with ranking cycle; no stale responses from prior years</t>
  </si>
  <si>
    <t xml:space="preserve">Merger/rebranding handling</t>
  </si>
  <si>
    <t xml:space="preserve">Institutional mergers accounted for in vote attribution (cf. 2025 Adelaide/Tokyo/City cases)</t>
  </si>
  <si>
    <t xml:space="preserve">Reproducibility test</t>
  </si>
  <si>
    <t xml:space="preserve">Survey scoring reproducible by independent analyst using raw response data and documented methodology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</si>
</sst>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4A148C"/>
        <bgColor rgb="FF7030A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F00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2E75B6"/>
      </patternFill>
    </fill>
    <fill>
      <patternFill patternType="solid">
        <fgColor rgb="FF3F51B5"/>
        <bgColor rgb="FF666699"/>
      </patternFill>
    </fill>
    <fill>
      <patternFill patternType="solid">
        <fgColor rgb="FFFF8F00"/>
        <bgColor rgb="FFED7D31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0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14</v>
      </c>
    </row>
    <row r="10" customFormat="false" ht="25.5" hidden="false" customHeight="true" outlineLevel="0" collapsed="false">
      <c r="A10" s="12" t="s">
        <v>17</v>
      </c>
      <c r="B10" s="12"/>
      <c r="C10" s="12"/>
      <c r="D10" s="12"/>
    </row>
    <row r="11" customFormat="false" ht="23.85" hidden="false" customHeight="false" outlineLevel="0" collapsed="false">
      <c r="A11" s="13" t="s">
        <v>18</v>
      </c>
      <c r="B11" s="13" t="s">
        <v>19</v>
      </c>
      <c r="C11" s="13" t="s">
        <v>20</v>
      </c>
      <c r="D11" s="13" t="s">
        <v>21</v>
      </c>
    </row>
    <row r="12" customFormat="false" ht="36" hidden="false" customHeight="true" outlineLevel="0" collapsed="false">
      <c r="A12" s="14" t="s">
        <v>22</v>
      </c>
      <c r="B12" s="15" t="s">
        <v>23</v>
      </c>
      <c r="C12" s="15" t="s">
        <v>24</v>
      </c>
      <c r="D12" s="15" t="s">
        <v>25</v>
      </c>
    </row>
    <row r="13" customFormat="false" ht="36" hidden="false" customHeight="true" outlineLevel="0" collapsed="false">
      <c r="A13" s="5" t="s">
        <v>26</v>
      </c>
      <c r="B13" s="6" t="s">
        <v>27</v>
      </c>
      <c r="C13" s="6" t="s">
        <v>28</v>
      </c>
      <c r="D13" s="6" t="s">
        <v>29</v>
      </c>
    </row>
    <row r="14" customFormat="false" ht="36" hidden="false" customHeight="true" outlineLevel="0" collapsed="false">
      <c r="A14" s="14" t="s">
        <v>30</v>
      </c>
      <c r="B14" s="15" t="s">
        <v>31</v>
      </c>
      <c r="C14" s="15" t="s">
        <v>32</v>
      </c>
      <c r="D14" s="15" t="s">
        <v>33</v>
      </c>
    </row>
    <row r="15" customFormat="false" ht="36" hidden="false" customHeight="true" outlineLevel="0" collapsed="false">
      <c r="A15" s="5" t="s">
        <v>34</v>
      </c>
      <c r="B15" s="6" t="s">
        <v>35</v>
      </c>
      <c r="C15" s="6" t="s">
        <v>36</v>
      </c>
      <c r="D15" s="6" t="s">
        <v>37</v>
      </c>
    </row>
    <row r="16" customFormat="false" ht="36" hidden="false" customHeight="true" outlineLevel="0" collapsed="false">
      <c r="A16" s="14" t="s">
        <v>38</v>
      </c>
      <c r="B16" s="15" t="s">
        <v>39</v>
      </c>
      <c r="C16" s="15" t="s">
        <v>40</v>
      </c>
      <c r="D16" s="15" t="s">
        <v>41</v>
      </c>
    </row>
    <row r="17" customFormat="false" ht="36" hidden="false" customHeight="true" outlineLevel="0" collapsed="false">
      <c r="A17" s="5" t="s">
        <v>42</v>
      </c>
      <c r="B17" s="6" t="s">
        <v>43</v>
      </c>
      <c r="C17" s="6" t="s">
        <v>44</v>
      </c>
      <c r="D17" s="6" t="s">
        <v>45</v>
      </c>
    </row>
    <row r="18" customFormat="false" ht="36" hidden="false" customHeight="true" outlineLevel="0" collapsed="false">
      <c r="A18" s="14" t="s">
        <v>46</v>
      </c>
      <c r="B18" s="15" t="s">
        <v>47</v>
      </c>
      <c r="C18" s="15" t="s">
        <v>47</v>
      </c>
      <c r="D18" s="15" t="s">
        <v>48</v>
      </c>
    </row>
    <row r="19" customFormat="false" ht="36" hidden="false" customHeight="true" outlineLevel="0" collapsed="false">
      <c r="A19" s="5" t="s">
        <v>49</v>
      </c>
      <c r="B19" s="6" t="s">
        <v>50</v>
      </c>
      <c r="C19" s="6" t="s">
        <v>47</v>
      </c>
      <c r="D19" s="6" t="s">
        <v>48</v>
      </c>
    </row>
    <row r="20" customFormat="false" ht="36" hidden="false" customHeight="true" outlineLevel="0" collapsed="false">
      <c r="A20" s="14" t="s">
        <v>51</v>
      </c>
      <c r="B20" s="15" t="s">
        <v>52</v>
      </c>
      <c r="C20" s="15" t="s">
        <v>53</v>
      </c>
      <c r="D20" s="15" t="s">
        <v>54</v>
      </c>
    </row>
    <row r="21" customFormat="false" ht="36" hidden="false" customHeight="true" outlineLevel="0" collapsed="false">
      <c r="A21" s="5" t="s">
        <v>55</v>
      </c>
      <c r="B21" s="6" t="s">
        <v>56</v>
      </c>
      <c r="C21" s="6" t="s">
        <v>57</v>
      </c>
      <c r="D21" s="6" t="s">
        <v>58</v>
      </c>
    </row>
    <row r="23" customFormat="false" ht="25.5" hidden="false" customHeight="true" outlineLevel="0" collapsed="false">
      <c r="A23" s="16" t="s">
        <v>59</v>
      </c>
      <c r="B23" s="16"/>
      <c r="C23" s="16"/>
      <c r="D23" s="16"/>
    </row>
    <row r="24" customFormat="false" ht="15" hidden="false" customHeight="true" outlineLevel="0" collapsed="false">
      <c r="A24" s="17" t="s">
        <v>60</v>
      </c>
      <c r="B24" s="17"/>
      <c r="C24" s="17"/>
      <c r="D24" s="17"/>
    </row>
    <row r="25" customFormat="false" ht="15" hidden="false" customHeight="true" outlineLevel="0" collapsed="false">
      <c r="A25" s="17" t="s">
        <v>61</v>
      </c>
      <c r="B25" s="17"/>
      <c r="C25" s="17"/>
      <c r="D25" s="17"/>
    </row>
    <row r="26" customFormat="false" ht="15" hidden="false" customHeight="true" outlineLevel="0" collapsed="false">
      <c r="A26" s="17" t="s">
        <v>62</v>
      </c>
      <c r="B26" s="17"/>
      <c r="C26" s="17"/>
      <c r="D26" s="17"/>
    </row>
    <row r="27" customFormat="false" ht="15" hidden="false" customHeight="true" outlineLevel="0" collapsed="false">
      <c r="A27" s="17" t="s">
        <v>63</v>
      </c>
      <c r="B27" s="17"/>
      <c r="C27" s="17"/>
      <c r="D27" s="17"/>
    </row>
    <row r="28" customFormat="false" ht="15" hidden="false" customHeight="true" outlineLevel="0" collapsed="false">
      <c r="A28" s="17" t="s">
        <v>64</v>
      </c>
      <c r="B28" s="17"/>
      <c r="C28" s="17"/>
      <c r="D28" s="17"/>
    </row>
    <row r="29" customFormat="false" ht="15" hidden="false" customHeight="true" outlineLevel="0" collapsed="false">
      <c r="A29" s="17" t="s">
        <v>65</v>
      </c>
      <c r="B29" s="17"/>
      <c r="C29" s="17"/>
      <c r="D29" s="17"/>
    </row>
    <row r="30" customFormat="false" ht="15" hidden="false" customHeight="true" outlineLevel="0" collapsed="false">
      <c r="A30" s="17" t="s">
        <v>66</v>
      </c>
      <c r="B30" s="17"/>
      <c r="C30" s="17"/>
      <c r="D30" s="17"/>
    </row>
    <row r="31" customFormat="false" ht="15" hidden="false" customHeight="true" outlineLevel="0" collapsed="false">
      <c r="A31" s="17" t="s">
        <v>67</v>
      </c>
      <c r="B31" s="17"/>
      <c r="C31" s="17"/>
      <c r="D31" s="17"/>
    </row>
  </sheetData>
  <mergeCells count="12">
    <mergeCell ref="A1:D1"/>
    <mergeCell ref="A2:D2"/>
    <mergeCell ref="A10:D10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18" t="s">
        <v>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25.5" hidden="false" customHeight="true" outlineLevel="0" collapsed="false">
      <c r="A2" s="16" t="s">
        <v>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5.05" hidden="false" customHeight="false" outlineLevel="0" collapsed="false">
      <c r="A3" s="19" t="s">
        <v>70</v>
      </c>
      <c r="B3" s="19" t="s">
        <v>71</v>
      </c>
      <c r="C3" s="19" t="s">
        <v>72</v>
      </c>
      <c r="D3" s="19" t="s">
        <v>73</v>
      </c>
      <c r="E3" s="19" t="s">
        <v>74</v>
      </c>
      <c r="F3" s="19" t="s">
        <v>75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80</v>
      </c>
      <c r="L3" s="19" t="s">
        <v>81</v>
      </c>
    </row>
    <row r="4" customFormat="false" ht="15" hidden="false" customHeight="false" outlineLevel="0" collapsed="false">
      <c r="A4" s="8" t="s">
        <v>82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customFormat="false" ht="15" hidden="false" customHeight="false" outlineLevel="0" collapsed="false">
      <c r="A5" s="4" t="s">
        <v>83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customFormat="false" ht="15" hidden="false" customHeight="false" outlineLevel="0" collapsed="false">
      <c r="A6" s="8" t="s">
        <v>84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15" hidden="false" customHeight="false" outlineLevel="0" collapsed="false">
      <c r="A7" s="4" t="s">
        <v>85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customFormat="false" ht="15" hidden="false" customHeight="false" outlineLevel="0" collapsed="false">
      <c r="A8" s="8" t="s">
        <v>86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customFormat="false" ht="15" hidden="false" customHeight="false" outlineLevel="0" collapsed="false">
      <c r="A9" s="4" t="s">
        <v>87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customFormat="false" ht="15" hidden="false" customHeight="false" outlineLevel="0" collapsed="false">
      <c r="A10" s="8" t="s">
        <v>88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customFormat="false" ht="15" hidden="false" customHeight="false" outlineLevel="0" collapsed="false">
      <c r="A11" s="4" t="s">
        <v>89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customFormat="false" ht="15" hidden="false" customHeight="false" outlineLevel="0" collapsed="false">
      <c r="A12" s="8" t="s">
        <v>90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customFormat="false" ht="15" hidden="false" customHeight="false" outlineLevel="0" collapsed="false">
      <c r="A13" s="4" t="s">
        <v>91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customFormat="false" ht="15" hidden="false" customHeight="false" outlineLevel="0" collapsed="false">
      <c r="A14" s="8" t="s">
        <v>92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customFormat="false" ht="15" hidden="false" customHeight="false" outlineLevel="0" collapsed="false">
      <c r="A15" s="4" t="s">
        <v>93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customFormat="false" ht="15" hidden="false" customHeight="false" outlineLevel="0" collapsed="false">
      <c r="A16" s="8" t="s">
        <v>94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customFormat="false" ht="15" hidden="false" customHeight="false" outlineLevel="0" collapsed="false">
      <c r="A17" s="4" t="s">
        <v>95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customFormat="false" ht="15" hidden="false" customHeight="false" outlineLevel="0" collapsed="false">
      <c r="A18" s="8" t="s">
        <v>96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customFormat="false" ht="15" hidden="false" customHeight="false" outlineLevel="0" collapsed="false">
      <c r="A19" s="4" t="s">
        <v>97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customFormat="false" ht="15" hidden="false" customHeight="false" outlineLevel="0" collapsed="false">
      <c r="A20" s="8" t="s">
        <v>98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5" hidden="false" customHeight="false" outlineLevel="0" collapsed="false">
      <c r="A21" s="4" t="s">
        <v>99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customFormat="false" ht="15" hidden="false" customHeight="false" outlineLevel="0" collapsed="false">
      <c r="A22" s="8" t="s">
        <v>100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5" hidden="false" customHeight="false" outlineLevel="0" collapsed="false">
      <c r="A23" s="4" t="s">
        <v>101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customFormat="false" ht="15" hidden="false" customHeight="false" outlineLevel="0" collapsed="false">
      <c r="A24" s="8" t="s">
        <v>102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5" hidden="false" customHeight="false" outlineLevel="0" collapsed="false">
      <c r="A25" s="4" t="s">
        <v>103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customFormat="false" ht="15" hidden="false" customHeight="false" outlineLevel="0" collapsed="false">
      <c r="A26" s="8" t="s">
        <v>104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" hidden="false" customHeight="false" outlineLevel="0" collapsed="false">
      <c r="A27" s="4" t="s">
        <v>105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customFormat="false" ht="15" hidden="false" customHeight="false" outlineLevel="0" collapsed="false">
      <c r="A28" s="8" t="s">
        <v>106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false" outlineLevel="0" collapsed="false">
      <c r="A29" s="4" t="s">
        <v>107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15" hidden="false" customHeight="false" outlineLevel="0" collapsed="false">
      <c r="A30" s="8" t="s">
        <v>108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false" outlineLevel="0" collapsed="false">
      <c r="A31" s="4" t="s">
        <v>109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customFormat="false" ht="15" hidden="false" customHeight="false" outlineLevel="0" collapsed="false">
      <c r="A32" s="8" t="s">
        <v>110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customFormat="false" ht="15" hidden="false" customHeight="false" outlineLevel="0" collapsed="false">
      <c r="A33" s="4" t="s">
        <v>111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customFormat="false" ht="15" hidden="false" customHeight="false" outlineLevel="0" collapsed="false">
      <c r="A34" s="8" t="s">
        <v>112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" hidden="false" customHeight="false" outlineLevel="0" collapsed="false">
      <c r="A35" s="4" t="s">
        <v>113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customFormat="false" ht="15" hidden="false" customHeight="false" outlineLevel="0" collapsed="false">
      <c r="A36" s="8" t="s">
        <v>114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5" hidden="false" customHeight="false" outlineLevel="0" collapsed="false">
      <c r="A37" s="4" t="s">
        <v>115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customFormat="false" ht="15" hidden="false" customHeight="false" outlineLevel="0" collapsed="false">
      <c r="A38" s="8" t="s">
        <v>116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15" hidden="false" customHeight="false" outlineLevel="0" collapsed="false">
      <c r="A39" s="4" t="s">
        <v>117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customFormat="false" ht="15" hidden="false" customHeight="false" outlineLevel="0" collapsed="false">
      <c r="A40" s="8" t="s">
        <v>118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5" hidden="false" customHeight="false" outlineLevel="0" collapsed="false">
      <c r="A41" s="4" t="s">
        <v>119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customFormat="false" ht="15" hidden="false" customHeight="false" outlineLevel="0" collapsed="false">
      <c r="A42" s="8" t="s">
        <v>120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5" hidden="false" customHeight="false" outlineLevel="0" collapsed="false">
      <c r="A43" s="4" t="s">
        <v>121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customFormat="false" ht="15" hidden="false" customHeight="false" outlineLevel="0" collapsed="false">
      <c r="A44" s="8" t="s">
        <v>122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5" hidden="false" customHeight="false" outlineLevel="0" collapsed="false">
      <c r="A45" s="4" t="s">
        <v>123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customFormat="false" ht="15" hidden="false" customHeight="false" outlineLevel="0" collapsed="false">
      <c r="A46" s="8" t="s">
        <v>124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customFormat="false" ht="15" hidden="false" customHeight="false" outlineLevel="0" collapsed="false">
      <c r="A47" s="4" t="s">
        <v>125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customFormat="false" ht="15" hidden="false" customHeight="false" outlineLevel="0" collapsed="false">
      <c r="A48" s="8" t="s">
        <v>126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customFormat="false" ht="15" hidden="false" customHeight="false" outlineLevel="0" collapsed="false">
      <c r="A49" s="4" t="s">
        <v>127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customFormat="false" ht="15" hidden="false" customHeight="false" outlineLevel="0" collapsed="false">
      <c r="A50" s="8" t="s">
        <v>128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customFormat="false" ht="15" hidden="false" customHeight="false" outlineLevel="0" collapsed="false">
      <c r="A51" s="4" t="s">
        <v>129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customFormat="false" ht="15" hidden="false" customHeight="false" outlineLevel="0" collapsed="false">
      <c r="A52" s="8" t="s">
        <v>130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5" hidden="false" customHeight="false" outlineLevel="0" collapsed="false">
      <c r="A53" s="4" t="s">
        <v>131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5" customFormat="false" ht="25.5" hidden="false" customHeight="true" outlineLevel="0" collapsed="false">
      <c r="A55" s="22" t="s">
        <v>132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customFormat="false" ht="15" hidden="false" customHeight="true" outlineLevel="0" collapsed="false">
      <c r="A56" s="23" t="s">
        <v>133</v>
      </c>
      <c r="B56" s="23"/>
      <c r="C56" s="23"/>
      <c r="D56" s="23"/>
      <c r="E56" s="23"/>
      <c r="F56" s="23"/>
      <c r="G56" s="24" t="n">
        <f aca="false">COUNTA(A4:A53)</f>
        <v>50</v>
      </c>
      <c r="H56" s="25"/>
      <c r="I56" s="25"/>
      <c r="J56" s="25"/>
      <c r="K56" s="25"/>
      <c r="L56" s="25"/>
    </row>
    <row r="57" customFormat="false" ht="15" hidden="false" customHeight="true" outlineLevel="0" collapsed="false">
      <c r="A57" s="23" t="s">
        <v>134</v>
      </c>
      <c r="B57" s="23"/>
      <c r="C57" s="23"/>
      <c r="D57" s="23"/>
      <c r="E57" s="23"/>
      <c r="F57" s="23"/>
      <c r="G57" s="24" t="n">
        <f aca="false">COUNTIF(L4:L53,"Y")</f>
        <v>0</v>
      </c>
      <c r="H57" s="25"/>
      <c r="I57" s="25"/>
      <c r="J57" s="25"/>
      <c r="K57" s="25"/>
      <c r="L57" s="25"/>
    </row>
    <row r="58" customFormat="false" ht="15" hidden="false" customHeight="true" outlineLevel="0" collapsed="false">
      <c r="A58" s="23" t="s">
        <v>135</v>
      </c>
      <c r="B58" s="23"/>
      <c r="C58" s="23"/>
      <c r="D58" s="23"/>
      <c r="E58" s="23"/>
      <c r="F58" s="23"/>
      <c r="G58" s="24" t="n">
        <f aca="false">IF(COUNTA(A4:A53)&gt;0,COUNTIF(L4:L53,"Y")/COUNTA(A4:A53)*100,0)</f>
        <v>0</v>
      </c>
      <c r="H58" s="25"/>
      <c r="I58" s="25"/>
      <c r="J58" s="25"/>
      <c r="K58" s="25"/>
      <c r="L58" s="25"/>
    </row>
    <row r="59" customFormat="false" ht="15" hidden="false" customHeight="true" outlineLevel="0" collapsed="false">
      <c r="A59" s="23" t="s">
        <v>136</v>
      </c>
      <c r="B59" s="23"/>
      <c r="C59" s="23"/>
      <c r="D59" s="23"/>
      <c r="E59" s="23"/>
      <c r="F59" s="23"/>
      <c r="G59" s="24" t="n">
        <f aca="false">SUMPRODUCT((D4:D53&lt;&gt;"")/COUNTIF(D4:D53,D4:D53&amp;""))</f>
        <v>0</v>
      </c>
      <c r="H59" s="25"/>
      <c r="I59" s="25"/>
      <c r="J59" s="25"/>
      <c r="K59" s="25"/>
      <c r="L59" s="25"/>
    </row>
    <row r="60" customFormat="false" ht="15" hidden="false" customHeight="true" outlineLevel="0" collapsed="false">
      <c r="A60" s="23" t="s">
        <v>137</v>
      </c>
      <c r="B60" s="23"/>
      <c r="C60" s="23"/>
      <c r="D60" s="23"/>
      <c r="E60" s="23"/>
      <c r="F60" s="23"/>
      <c r="G60" s="24" t="n">
        <f aca="false">SUMPRODUCT((E4:E53&lt;&gt;"")/COUNTIF(E4:E53,E4:E53&amp;""))</f>
        <v>0</v>
      </c>
      <c r="H60" s="25"/>
      <c r="I60" s="25"/>
      <c r="J60" s="25"/>
      <c r="K60" s="25"/>
      <c r="L60" s="25"/>
    </row>
    <row r="61" customFormat="false" ht="15" hidden="false" customHeight="true" outlineLevel="0" collapsed="false">
      <c r="A61" s="23" t="s">
        <v>138</v>
      </c>
      <c r="B61" s="23"/>
      <c r="C61" s="23"/>
      <c r="D61" s="23"/>
      <c r="E61" s="23"/>
      <c r="F61" s="23"/>
      <c r="G61" s="24" t="n">
        <f aca="false">COUNTIF(I4:I53,"&gt;0")</f>
        <v>0</v>
      </c>
      <c r="H61" s="25"/>
      <c r="I61" s="25"/>
      <c r="J61" s="25"/>
      <c r="K61" s="25"/>
      <c r="L61" s="25"/>
    </row>
  </sheetData>
  <mergeCells count="9">
    <mergeCell ref="A1:L1"/>
    <mergeCell ref="A2:L2"/>
    <mergeCell ref="A55:L55"/>
    <mergeCell ref="A56:F56"/>
    <mergeCell ref="A57:F57"/>
    <mergeCell ref="A58:F58"/>
    <mergeCell ref="A59:F59"/>
    <mergeCell ref="A60:F60"/>
    <mergeCell ref="A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">
        <v>139</v>
      </c>
      <c r="B1" s="26"/>
      <c r="C1" s="26"/>
      <c r="D1" s="26"/>
      <c r="E1" s="26"/>
      <c r="F1" s="26"/>
      <c r="G1" s="26"/>
      <c r="H1" s="26"/>
      <c r="I1" s="26"/>
    </row>
    <row r="2" customFormat="false" ht="25.5" hidden="false" customHeight="true" outlineLevel="0" collapsed="false">
      <c r="A2" s="27" t="s">
        <v>140</v>
      </c>
      <c r="B2" s="27"/>
      <c r="C2" s="27"/>
      <c r="D2" s="27"/>
      <c r="E2" s="27"/>
      <c r="F2" s="27"/>
      <c r="G2" s="27"/>
      <c r="H2" s="27"/>
      <c r="I2" s="27"/>
    </row>
    <row r="3" customFormat="false" ht="23.85" hidden="false" customHeight="false" outlineLevel="0" collapsed="false">
      <c r="A3" s="28" t="s">
        <v>141</v>
      </c>
      <c r="B3" s="28" t="s">
        <v>142</v>
      </c>
      <c r="C3" s="28" t="s">
        <v>143</v>
      </c>
      <c r="D3" s="28" t="s">
        <v>144</v>
      </c>
      <c r="E3" s="28" t="s">
        <v>145</v>
      </c>
      <c r="F3" s="28" t="s">
        <v>146</v>
      </c>
      <c r="G3" s="28" t="s">
        <v>147</v>
      </c>
      <c r="H3" s="28" t="s">
        <v>148</v>
      </c>
      <c r="I3" s="28" t="s">
        <v>149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20"/>
      <c r="H4" s="20"/>
      <c r="I4" s="29" t="n">
        <f aca="false">IFERROR(IF(MAX($G$4:$G$33)&gt;0,G4/MAX($G$4:$G$33)*100,0),0)</f>
        <v>0</v>
      </c>
    </row>
    <row r="5" customFormat="false" ht="15" hidden="false" customHeight="false" outlineLevel="0" collapsed="false">
      <c r="A5" s="4" t="n">
        <v>2</v>
      </c>
      <c r="B5" s="21"/>
      <c r="C5" s="21"/>
      <c r="D5" s="21"/>
      <c r="E5" s="21"/>
      <c r="F5" s="21"/>
      <c r="G5" s="21"/>
      <c r="H5" s="21"/>
      <c r="I5" s="30" t="n">
        <f aca="false">IFERROR(IF(MAX($G$4:$G$33)&gt;0,G5/MAX($G$4:$G$33)*100,0),0)</f>
        <v>0</v>
      </c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20"/>
      <c r="H6" s="20"/>
      <c r="I6" s="29" t="n">
        <f aca="false">IFERROR(IF(MAX($G$4:$G$33)&gt;0,G6/MAX($G$4:$G$33)*100,0),0)</f>
        <v>0</v>
      </c>
    </row>
    <row r="7" customFormat="false" ht="15" hidden="false" customHeight="false" outlineLevel="0" collapsed="false">
      <c r="A7" s="4" t="n">
        <v>4</v>
      </c>
      <c r="B7" s="21"/>
      <c r="C7" s="21"/>
      <c r="D7" s="21"/>
      <c r="E7" s="21"/>
      <c r="F7" s="21"/>
      <c r="G7" s="21"/>
      <c r="H7" s="21"/>
      <c r="I7" s="30" t="n">
        <f aca="false">IFERROR(IF(MAX($G$4:$G$33)&gt;0,G7/MAX($G$4:$G$33)*100,0),0)</f>
        <v>0</v>
      </c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20"/>
      <c r="H8" s="20"/>
      <c r="I8" s="29" t="n">
        <f aca="false">IFERROR(IF(MAX($G$4:$G$33)&gt;0,G8/MAX($G$4:$G$33)*100,0),0)</f>
        <v>0</v>
      </c>
    </row>
    <row r="9" customFormat="false" ht="15" hidden="false" customHeight="false" outlineLevel="0" collapsed="false">
      <c r="A9" s="4" t="n">
        <v>6</v>
      </c>
      <c r="B9" s="21"/>
      <c r="C9" s="21"/>
      <c r="D9" s="21"/>
      <c r="E9" s="21"/>
      <c r="F9" s="21"/>
      <c r="G9" s="21"/>
      <c r="H9" s="21"/>
      <c r="I9" s="30" t="n">
        <f aca="false">IFERROR(IF(MAX($G$4:$G$33)&gt;0,G9/MAX($G$4:$G$33)*100,0),0)</f>
        <v>0</v>
      </c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20"/>
      <c r="H10" s="20"/>
      <c r="I10" s="29" t="n">
        <f aca="false">IFERROR(IF(MAX($G$4:$G$33)&gt;0,G10/MAX($G$4:$G$33)*100,0),0)</f>
        <v>0</v>
      </c>
    </row>
    <row r="11" customFormat="false" ht="15" hidden="false" customHeight="false" outlineLevel="0" collapsed="false">
      <c r="A11" s="4" t="n">
        <v>8</v>
      </c>
      <c r="B11" s="21"/>
      <c r="C11" s="21"/>
      <c r="D11" s="21"/>
      <c r="E11" s="21"/>
      <c r="F11" s="21"/>
      <c r="G11" s="21"/>
      <c r="H11" s="21"/>
      <c r="I11" s="30" t="n">
        <f aca="false">IFERROR(IF(MAX($G$4:$G$33)&gt;0,G11/MAX($G$4:$G$33)*100,0),0)</f>
        <v>0</v>
      </c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20"/>
      <c r="H12" s="20"/>
      <c r="I12" s="29" t="n">
        <f aca="false">IFERROR(IF(MAX($G$4:$G$33)&gt;0,G12/MAX($G$4:$G$33)*100,0),0)</f>
        <v>0</v>
      </c>
    </row>
    <row r="13" customFormat="false" ht="15" hidden="false" customHeight="false" outlineLevel="0" collapsed="false">
      <c r="A13" s="4" t="n">
        <v>10</v>
      </c>
      <c r="B13" s="21"/>
      <c r="C13" s="21"/>
      <c r="D13" s="21"/>
      <c r="E13" s="21"/>
      <c r="F13" s="21"/>
      <c r="G13" s="21"/>
      <c r="H13" s="21"/>
      <c r="I13" s="30" t="n">
        <f aca="false">IFERROR(IF(MAX($G$4:$G$33)&gt;0,G13/MAX($G$4:$G$33)*100,0),0)</f>
        <v>0</v>
      </c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20"/>
      <c r="H14" s="20"/>
      <c r="I14" s="29" t="n">
        <f aca="false">IFERROR(IF(MAX($G$4:$G$33)&gt;0,G14/MAX($G$4:$G$33)*100,0),0)</f>
        <v>0</v>
      </c>
    </row>
    <row r="15" customFormat="false" ht="15" hidden="false" customHeight="false" outlineLevel="0" collapsed="false">
      <c r="A15" s="4" t="n">
        <v>12</v>
      </c>
      <c r="B15" s="21"/>
      <c r="C15" s="21"/>
      <c r="D15" s="21"/>
      <c r="E15" s="21"/>
      <c r="F15" s="21"/>
      <c r="G15" s="21"/>
      <c r="H15" s="21"/>
      <c r="I15" s="30" t="n">
        <f aca="false">IFERROR(IF(MAX($G$4:$G$33)&gt;0,G15/MAX($G$4:$G$33)*100,0),0)</f>
        <v>0</v>
      </c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20"/>
      <c r="H16" s="20"/>
      <c r="I16" s="29" t="n">
        <f aca="false">IFERROR(IF(MAX($G$4:$G$33)&gt;0,G16/MAX($G$4:$G$33)*100,0),0)</f>
        <v>0</v>
      </c>
    </row>
    <row r="17" customFormat="false" ht="15" hidden="false" customHeight="false" outlineLevel="0" collapsed="false">
      <c r="A17" s="4" t="n">
        <v>14</v>
      </c>
      <c r="B17" s="21"/>
      <c r="C17" s="21"/>
      <c r="D17" s="21"/>
      <c r="E17" s="21"/>
      <c r="F17" s="21"/>
      <c r="G17" s="21"/>
      <c r="H17" s="21"/>
      <c r="I17" s="30" t="n">
        <f aca="false">IFERROR(IF(MAX($G$4:$G$33)&gt;0,G17/MAX($G$4:$G$33)*100,0),0)</f>
        <v>0</v>
      </c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20"/>
      <c r="H18" s="20"/>
      <c r="I18" s="29" t="n">
        <f aca="false">IFERROR(IF(MAX($G$4:$G$33)&gt;0,G18/MAX($G$4:$G$33)*100,0),0)</f>
        <v>0</v>
      </c>
    </row>
    <row r="19" customFormat="false" ht="15" hidden="false" customHeight="false" outlineLevel="0" collapsed="false">
      <c r="A19" s="4" t="n">
        <v>16</v>
      </c>
      <c r="B19" s="21"/>
      <c r="C19" s="21"/>
      <c r="D19" s="21"/>
      <c r="E19" s="21"/>
      <c r="F19" s="21"/>
      <c r="G19" s="21"/>
      <c r="H19" s="21"/>
      <c r="I19" s="30" t="n">
        <f aca="false">IFERROR(IF(MAX($G$4:$G$33)&gt;0,G19/MAX($G$4:$G$33)*100,0),0)</f>
        <v>0</v>
      </c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20"/>
      <c r="H20" s="20"/>
      <c r="I20" s="29" t="n">
        <f aca="false">IFERROR(IF(MAX($G$4:$G$33)&gt;0,G20/MAX($G$4:$G$33)*100,0),0)</f>
        <v>0</v>
      </c>
    </row>
    <row r="21" customFormat="false" ht="15" hidden="false" customHeight="false" outlineLevel="0" collapsed="false">
      <c r="A21" s="4" t="n">
        <v>18</v>
      </c>
      <c r="B21" s="21"/>
      <c r="C21" s="21"/>
      <c r="D21" s="21"/>
      <c r="E21" s="21"/>
      <c r="F21" s="21"/>
      <c r="G21" s="21"/>
      <c r="H21" s="21"/>
      <c r="I21" s="30" t="n">
        <f aca="false">IFERROR(IF(MAX($G$4:$G$33)&gt;0,G21/MAX($G$4:$G$33)*100,0),0)</f>
        <v>0</v>
      </c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20"/>
      <c r="H22" s="20"/>
      <c r="I22" s="29" t="n">
        <f aca="false">IFERROR(IF(MAX($G$4:$G$33)&gt;0,G22/MAX($G$4:$G$33)*100,0),0)</f>
        <v>0</v>
      </c>
    </row>
    <row r="23" customFormat="false" ht="15" hidden="false" customHeight="false" outlineLevel="0" collapsed="false">
      <c r="A23" s="4" t="n">
        <v>20</v>
      </c>
      <c r="B23" s="21"/>
      <c r="C23" s="21"/>
      <c r="D23" s="21"/>
      <c r="E23" s="21"/>
      <c r="F23" s="21"/>
      <c r="G23" s="21"/>
      <c r="H23" s="21"/>
      <c r="I23" s="30" t="n">
        <f aca="false">IFERROR(IF(MAX($G$4:$G$33)&gt;0,G23/MAX($G$4:$G$33)*100,0),0)</f>
        <v>0</v>
      </c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20"/>
      <c r="H24" s="20"/>
      <c r="I24" s="29" t="n">
        <f aca="false">IFERROR(IF(MAX($G$4:$G$33)&gt;0,G24/MAX($G$4:$G$33)*100,0),0)</f>
        <v>0</v>
      </c>
    </row>
    <row r="25" customFormat="false" ht="15" hidden="false" customHeight="false" outlineLevel="0" collapsed="false">
      <c r="A25" s="4" t="n">
        <v>22</v>
      </c>
      <c r="B25" s="21"/>
      <c r="C25" s="21"/>
      <c r="D25" s="21"/>
      <c r="E25" s="21"/>
      <c r="F25" s="21"/>
      <c r="G25" s="21"/>
      <c r="H25" s="21"/>
      <c r="I25" s="30" t="n">
        <f aca="false">IFERROR(IF(MAX($G$4:$G$33)&gt;0,G25/MAX($G$4:$G$33)*100,0),0)</f>
        <v>0</v>
      </c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20"/>
      <c r="H26" s="20"/>
      <c r="I26" s="29" t="n">
        <f aca="false">IFERROR(IF(MAX($G$4:$G$33)&gt;0,G26/MAX($G$4:$G$33)*100,0),0)</f>
        <v>0</v>
      </c>
    </row>
    <row r="27" customFormat="false" ht="15" hidden="false" customHeight="false" outlineLevel="0" collapsed="false">
      <c r="A27" s="4" t="n">
        <v>24</v>
      </c>
      <c r="B27" s="21"/>
      <c r="C27" s="21"/>
      <c r="D27" s="21"/>
      <c r="E27" s="21"/>
      <c r="F27" s="21"/>
      <c r="G27" s="21"/>
      <c r="H27" s="21"/>
      <c r="I27" s="30" t="n">
        <f aca="false">IFERROR(IF(MAX($G$4:$G$33)&gt;0,G27/MAX($G$4:$G$33)*100,0),0)</f>
        <v>0</v>
      </c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20"/>
      <c r="H28" s="20"/>
      <c r="I28" s="29" t="n">
        <f aca="false">IFERROR(IF(MAX($G$4:$G$33)&gt;0,G28/MAX($G$4:$G$33)*100,0),0)</f>
        <v>0</v>
      </c>
    </row>
    <row r="29" customFormat="false" ht="15" hidden="false" customHeight="false" outlineLevel="0" collapsed="false">
      <c r="A29" s="4" t="n">
        <v>26</v>
      </c>
      <c r="B29" s="21"/>
      <c r="C29" s="21"/>
      <c r="D29" s="21"/>
      <c r="E29" s="21"/>
      <c r="F29" s="21"/>
      <c r="G29" s="21"/>
      <c r="H29" s="21"/>
      <c r="I29" s="30" t="n">
        <f aca="false">IFERROR(IF(MAX($G$4:$G$33)&gt;0,G29/MAX($G$4:$G$33)*100,0),0)</f>
        <v>0</v>
      </c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20"/>
      <c r="H30" s="20"/>
      <c r="I30" s="29" t="n">
        <f aca="false">IFERROR(IF(MAX($G$4:$G$33)&gt;0,G30/MAX($G$4:$G$33)*100,0),0)</f>
        <v>0</v>
      </c>
    </row>
    <row r="31" customFormat="false" ht="15" hidden="false" customHeight="false" outlineLevel="0" collapsed="false">
      <c r="A31" s="4" t="n">
        <v>28</v>
      </c>
      <c r="B31" s="21"/>
      <c r="C31" s="21"/>
      <c r="D31" s="21"/>
      <c r="E31" s="21"/>
      <c r="F31" s="21"/>
      <c r="G31" s="21"/>
      <c r="H31" s="21"/>
      <c r="I31" s="30" t="n">
        <f aca="false">IFERROR(IF(MAX($G$4:$G$33)&gt;0,G31/MAX($G$4:$G$33)*100,0),0)</f>
        <v>0</v>
      </c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20"/>
      <c r="H32" s="20"/>
      <c r="I32" s="29" t="n">
        <f aca="false">IFERROR(IF(MAX($G$4:$G$33)&gt;0,G32/MAX($G$4:$G$33)*100,0),0)</f>
        <v>0</v>
      </c>
    </row>
    <row r="33" customFormat="false" ht="15" hidden="false" customHeight="false" outlineLevel="0" collapsed="false">
      <c r="A33" s="4" t="n">
        <v>30</v>
      </c>
      <c r="B33" s="21"/>
      <c r="C33" s="21"/>
      <c r="D33" s="21"/>
      <c r="E33" s="21"/>
      <c r="F33" s="21"/>
      <c r="G33" s="21"/>
      <c r="H33" s="21"/>
      <c r="I33" s="30" t="n">
        <f aca="false">IFERROR(IF(MAX($G$4:$G$33)&gt;0,G33/MAX($G$4:$G$33)*100,0),0)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1" t="s">
        <v>150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5.5" hidden="false" customHeight="true" outlineLevel="0" collapsed="false">
      <c r="A2" s="32" t="s">
        <v>151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customFormat="false" ht="35.05" hidden="false" customHeight="false" outlineLevel="0" collapsed="false">
      <c r="A3" s="33" t="s">
        <v>152</v>
      </c>
      <c r="B3" s="33" t="s">
        <v>142</v>
      </c>
      <c r="C3" s="33" t="s">
        <v>153</v>
      </c>
      <c r="D3" s="33" t="s">
        <v>154</v>
      </c>
      <c r="E3" s="33" t="s">
        <v>155</v>
      </c>
      <c r="F3" s="33" t="s">
        <v>156</v>
      </c>
      <c r="G3" s="33" t="s">
        <v>157</v>
      </c>
      <c r="H3" s="33" t="s">
        <v>158</v>
      </c>
      <c r="I3" s="33" t="s">
        <v>159</v>
      </c>
      <c r="J3" s="33" t="s">
        <v>160</v>
      </c>
      <c r="K3" s="33" t="s">
        <v>161</v>
      </c>
    </row>
    <row r="4" customFormat="false" ht="23.85" hidden="false" customHeight="false" outlineLevel="0" collapsed="false">
      <c r="A4" s="8" t="s">
        <v>162</v>
      </c>
      <c r="B4" s="20"/>
      <c r="C4" s="20"/>
      <c r="D4" s="20"/>
      <c r="E4" s="20"/>
      <c r="F4" s="20"/>
      <c r="G4" s="20"/>
      <c r="H4" s="8" t="n">
        <f aca="false">IFERROR(6-G4,"")</f>
        <v>6</v>
      </c>
      <c r="I4" s="20"/>
      <c r="J4" s="20"/>
      <c r="K4" s="20"/>
    </row>
    <row r="5" customFormat="false" ht="23.85" hidden="false" customHeight="false" outlineLevel="0" collapsed="false">
      <c r="A5" s="4" t="s">
        <v>163</v>
      </c>
      <c r="B5" s="21"/>
      <c r="C5" s="21"/>
      <c r="D5" s="21"/>
      <c r="E5" s="21"/>
      <c r="F5" s="21"/>
      <c r="G5" s="21"/>
      <c r="H5" s="4" t="n">
        <f aca="false">IFERROR(6-G5,"")</f>
        <v>6</v>
      </c>
      <c r="I5" s="21"/>
      <c r="J5" s="21"/>
      <c r="K5" s="21"/>
    </row>
    <row r="6" customFormat="false" ht="23.85" hidden="false" customHeight="false" outlineLevel="0" collapsed="false">
      <c r="A6" s="8" t="s">
        <v>164</v>
      </c>
      <c r="B6" s="20"/>
      <c r="C6" s="20"/>
      <c r="D6" s="20"/>
      <c r="E6" s="20"/>
      <c r="F6" s="20"/>
      <c r="G6" s="20"/>
      <c r="H6" s="8" t="n">
        <f aca="false">IFERROR(6-G6,"")</f>
        <v>6</v>
      </c>
      <c r="I6" s="20"/>
      <c r="J6" s="20"/>
      <c r="K6" s="20"/>
    </row>
    <row r="7" customFormat="false" ht="23.85" hidden="false" customHeight="false" outlineLevel="0" collapsed="false">
      <c r="A7" s="4" t="s">
        <v>165</v>
      </c>
      <c r="B7" s="21"/>
      <c r="C7" s="21"/>
      <c r="D7" s="21"/>
      <c r="E7" s="21"/>
      <c r="F7" s="21"/>
      <c r="G7" s="21"/>
      <c r="H7" s="4" t="n">
        <f aca="false">IFERROR(6-G7,"")</f>
        <v>6</v>
      </c>
      <c r="I7" s="21"/>
      <c r="J7" s="21"/>
      <c r="K7" s="21"/>
    </row>
    <row r="8" customFormat="false" ht="23.85" hidden="false" customHeight="false" outlineLevel="0" collapsed="false">
      <c r="A8" s="8" t="s">
        <v>166</v>
      </c>
      <c r="B8" s="20"/>
      <c r="C8" s="20"/>
      <c r="D8" s="20"/>
      <c r="E8" s="20"/>
      <c r="F8" s="20"/>
      <c r="G8" s="20"/>
      <c r="H8" s="8" t="n">
        <f aca="false">IFERROR(6-G8,"")</f>
        <v>6</v>
      </c>
      <c r="I8" s="20"/>
      <c r="J8" s="20"/>
      <c r="K8" s="20"/>
    </row>
    <row r="9" customFormat="false" ht="23.85" hidden="false" customHeight="false" outlineLevel="0" collapsed="false">
      <c r="A9" s="4" t="s">
        <v>167</v>
      </c>
      <c r="B9" s="21"/>
      <c r="C9" s="21"/>
      <c r="D9" s="21"/>
      <c r="E9" s="21"/>
      <c r="F9" s="21"/>
      <c r="G9" s="21"/>
      <c r="H9" s="4" t="n">
        <f aca="false">IFERROR(6-G9,"")</f>
        <v>6</v>
      </c>
      <c r="I9" s="21"/>
      <c r="J9" s="21"/>
      <c r="K9" s="21"/>
    </row>
    <row r="10" customFormat="false" ht="23.85" hidden="false" customHeight="false" outlineLevel="0" collapsed="false">
      <c r="A10" s="8" t="s">
        <v>168</v>
      </c>
      <c r="B10" s="20"/>
      <c r="C10" s="20"/>
      <c r="D10" s="20"/>
      <c r="E10" s="20"/>
      <c r="F10" s="20"/>
      <c r="G10" s="20"/>
      <c r="H10" s="8" t="n">
        <f aca="false">IFERROR(6-G10,"")</f>
        <v>6</v>
      </c>
      <c r="I10" s="20"/>
      <c r="J10" s="20"/>
      <c r="K10" s="20"/>
    </row>
    <row r="11" customFormat="false" ht="23.85" hidden="false" customHeight="false" outlineLevel="0" collapsed="false">
      <c r="A11" s="4" t="s">
        <v>169</v>
      </c>
      <c r="B11" s="21"/>
      <c r="C11" s="21"/>
      <c r="D11" s="21"/>
      <c r="E11" s="21"/>
      <c r="F11" s="21"/>
      <c r="G11" s="21"/>
      <c r="H11" s="4" t="n">
        <f aca="false">IFERROR(6-G11,"")</f>
        <v>6</v>
      </c>
      <c r="I11" s="21"/>
      <c r="J11" s="21"/>
      <c r="K11" s="21"/>
    </row>
    <row r="12" customFormat="false" ht="23.85" hidden="false" customHeight="false" outlineLevel="0" collapsed="false">
      <c r="A12" s="8" t="s">
        <v>170</v>
      </c>
      <c r="B12" s="20"/>
      <c r="C12" s="20"/>
      <c r="D12" s="20"/>
      <c r="E12" s="20"/>
      <c r="F12" s="20"/>
      <c r="G12" s="20"/>
      <c r="H12" s="8" t="n">
        <f aca="false">IFERROR(6-G12,"")</f>
        <v>6</v>
      </c>
      <c r="I12" s="20"/>
      <c r="J12" s="20"/>
      <c r="K12" s="20"/>
    </row>
    <row r="13" customFormat="false" ht="23.85" hidden="false" customHeight="false" outlineLevel="0" collapsed="false">
      <c r="A13" s="4" t="s">
        <v>171</v>
      </c>
      <c r="B13" s="21"/>
      <c r="C13" s="21"/>
      <c r="D13" s="21"/>
      <c r="E13" s="21"/>
      <c r="F13" s="21"/>
      <c r="G13" s="21"/>
      <c r="H13" s="4" t="n">
        <f aca="false">IFERROR(6-G13,"")</f>
        <v>6</v>
      </c>
      <c r="I13" s="21"/>
      <c r="J13" s="21"/>
      <c r="K13" s="21"/>
    </row>
    <row r="14" customFormat="false" ht="23.85" hidden="false" customHeight="false" outlineLevel="0" collapsed="false">
      <c r="A14" s="8" t="s">
        <v>172</v>
      </c>
      <c r="B14" s="20"/>
      <c r="C14" s="20"/>
      <c r="D14" s="20"/>
      <c r="E14" s="20"/>
      <c r="F14" s="20"/>
      <c r="G14" s="20"/>
      <c r="H14" s="8" t="n">
        <f aca="false">IFERROR(6-G14,"")</f>
        <v>6</v>
      </c>
      <c r="I14" s="20"/>
      <c r="J14" s="20"/>
      <c r="K14" s="20"/>
    </row>
    <row r="15" customFormat="false" ht="23.85" hidden="false" customHeight="false" outlineLevel="0" collapsed="false">
      <c r="A15" s="4" t="s">
        <v>173</v>
      </c>
      <c r="B15" s="21"/>
      <c r="C15" s="21"/>
      <c r="D15" s="21"/>
      <c r="E15" s="21"/>
      <c r="F15" s="21"/>
      <c r="G15" s="21"/>
      <c r="H15" s="4" t="n">
        <f aca="false">IFERROR(6-G15,"")</f>
        <v>6</v>
      </c>
      <c r="I15" s="21"/>
      <c r="J15" s="21"/>
      <c r="K15" s="21"/>
    </row>
    <row r="16" customFormat="false" ht="23.85" hidden="false" customHeight="false" outlineLevel="0" collapsed="false">
      <c r="A16" s="8" t="s">
        <v>174</v>
      </c>
      <c r="B16" s="20"/>
      <c r="C16" s="20"/>
      <c r="D16" s="20"/>
      <c r="E16" s="20"/>
      <c r="F16" s="20"/>
      <c r="G16" s="20"/>
      <c r="H16" s="8" t="n">
        <f aca="false">IFERROR(6-G16,"")</f>
        <v>6</v>
      </c>
      <c r="I16" s="20"/>
      <c r="J16" s="20"/>
      <c r="K16" s="20"/>
    </row>
    <row r="17" customFormat="false" ht="23.85" hidden="false" customHeight="false" outlineLevel="0" collapsed="false">
      <c r="A17" s="4" t="s">
        <v>175</v>
      </c>
      <c r="B17" s="21"/>
      <c r="C17" s="21"/>
      <c r="D17" s="21"/>
      <c r="E17" s="21"/>
      <c r="F17" s="21"/>
      <c r="G17" s="21"/>
      <c r="H17" s="4" t="n">
        <f aca="false">IFERROR(6-G17,"")</f>
        <v>6</v>
      </c>
      <c r="I17" s="21"/>
      <c r="J17" s="21"/>
      <c r="K17" s="21"/>
    </row>
    <row r="18" customFormat="false" ht="23.85" hidden="false" customHeight="false" outlineLevel="0" collapsed="false">
      <c r="A18" s="8" t="s">
        <v>176</v>
      </c>
      <c r="B18" s="20"/>
      <c r="C18" s="20"/>
      <c r="D18" s="20"/>
      <c r="E18" s="20"/>
      <c r="F18" s="20"/>
      <c r="G18" s="20"/>
      <c r="H18" s="8" t="n">
        <f aca="false">IFERROR(6-G18,"")</f>
        <v>6</v>
      </c>
      <c r="I18" s="20"/>
      <c r="J18" s="20"/>
      <c r="K18" s="20"/>
    </row>
    <row r="19" customFormat="false" ht="23.85" hidden="false" customHeight="false" outlineLevel="0" collapsed="false">
      <c r="A19" s="4" t="s">
        <v>177</v>
      </c>
      <c r="B19" s="21"/>
      <c r="C19" s="21"/>
      <c r="D19" s="21"/>
      <c r="E19" s="21"/>
      <c r="F19" s="21"/>
      <c r="G19" s="21"/>
      <c r="H19" s="4" t="n">
        <f aca="false">IFERROR(6-G19,"")</f>
        <v>6</v>
      </c>
      <c r="I19" s="21"/>
      <c r="J19" s="21"/>
      <c r="K19" s="21"/>
    </row>
    <row r="20" customFormat="false" ht="23.85" hidden="false" customHeight="false" outlineLevel="0" collapsed="false">
      <c r="A20" s="8" t="s">
        <v>178</v>
      </c>
      <c r="B20" s="20"/>
      <c r="C20" s="20"/>
      <c r="D20" s="20"/>
      <c r="E20" s="20"/>
      <c r="F20" s="20"/>
      <c r="G20" s="20"/>
      <c r="H20" s="8" t="n">
        <f aca="false">IFERROR(6-G20,"")</f>
        <v>6</v>
      </c>
      <c r="I20" s="20"/>
      <c r="J20" s="20"/>
      <c r="K20" s="20"/>
    </row>
    <row r="21" customFormat="false" ht="23.85" hidden="false" customHeight="false" outlineLevel="0" collapsed="false">
      <c r="A21" s="4" t="s">
        <v>179</v>
      </c>
      <c r="B21" s="21"/>
      <c r="C21" s="21"/>
      <c r="D21" s="21"/>
      <c r="E21" s="21"/>
      <c r="F21" s="21"/>
      <c r="G21" s="21"/>
      <c r="H21" s="4" t="n">
        <f aca="false">IFERROR(6-G21,"")</f>
        <v>6</v>
      </c>
      <c r="I21" s="21"/>
      <c r="J21" s="21"/>
      <c r="K21" s="21"/>
    </row>
    <row r="22" customFormat="false" ht="23.85" hidden="false" customHeight="false" outlineLevel="0" collapsed="false">
      <c r="A22" s="8" t="s">
        <v>180</v>
      </c>
      <c r="B22" s="20"/>
      <c r="C22" s="20"/>
      <c r="D22" s="20"/>
      <c r="E22" s="20"/>
      <c r="F22" s="20"/>
      <c r="G22" s="20"/>
      <c r="H22" s="8" t="n">
        <f aca="false">IFERROR(6-G22,"")</f>
        <v>6</v>
      </c>
      <c r="I22" s="20"/>
      <c r="J22" s="20"/>
      <c r="K22" s="20"/>
    </row>
    <row r="23" customFormat="false" ht="23.85" hidden="false" customHeight="false" outlineLevel="0" collapsed="false">
      <c r="A23" s="4" t="s">
        <v>181</v>
      </c>
      <c r="B23" s="21"/>
      <c r="C23" s="21"/>
      <c r="D23" s="21"/>
      <c r="E23" s="21"/>
      <c r="F23" s="21"/>
      <c r="G23" s="21"/>
      <c r="H23" s="4" t="n">
        <f aca="false">IFERROR(6-G23,"")</f>
        <v>6</v>
      </c>
      <c r="I23" s="21"/>
      <c r="J23" s="21"/>
      <c r="K23" s="21"/>
    </row>
    <row r="24" customFormat="false" ht="23.85" hidden="false" customHeight="false" outlineLevel="0" collapsed="false">
      <c r="A24" s="8" t="s">
        <v>182</v>
      </c>
      <c r="B24" s="20"/>
      <c r="C24" s="20"/>
      <c r="D24" s="20"/>
      <c r="E24" s="20"/>
      <c r="F24" s="20"/>
      <c r="G24" s="20"/>
      <c r="H24" s="8" t="n">
        <f aca="false">IFERROR(6-G24,"")</f>
        <v>6</v>
      </c>
      <c r="I24" s="20"/>
      <c r="J24" s="20"/>
      <c r="K24" s="20"/>
    </row>
    <row r="25" customFormat="false" ht="23.85" hidden="false" customHeight="false" outlineLevel="0" collapsed="false">
      <c r="A25" s="4" t="s">
        <v>183</v>
      </c>
      <c r="B25" s="21"/>
      <c r="C25" s="21"/>
      <c r="D25" s="21"/>
      <c r="E25" s="21"/>
      <c r="F25" s="21"/>
      <c r="G25" s="21"/>
      <c r="H25" s="4" t="n">
        <f aca="false">IFERROR(6-G25,"")</f>
        <v>6</v>
      </c>
      <c r="I25" s="21"/>
      <c r="J25" s="21"/>
      <c r="K25" s="21"/>
    </row>
    <row r="26" customFormat="false" ht="23.85" hidden="false" customHeight="false" outlineLevel="0" collapsed="false">
      <c r="A26" s="8" t="s">
        <v>184</v>
      </c>
      <c r="B26" s="20"/>
      <c r="C26" s="20"/>
      <c r="D26" s="20"/>
      <c r="E26" s="20"/>
      <c r="F26" s="20"/>
      <c r="G26" s="20"/>
      <c r="H26" s="8" t="n">
        <f aca="false">IFERROR(6-G26,"")</f>
        <v>6</v>
      </c>
      <c r="I26" s="20"/>
      <c r="J26" s="20"/>
      <c r="K26" s="20"/>
    </row>
    <row r="27" customFormat="false" ht="23.85" hidden="false" customHeight="false" outlineLevel="0" collapsed="false">
      <c r="A27" s="4" t="s">
        <v>185</v>
      </c>
      <c r="B27" s="21"/>
      <c r="C27" s="21"/>
      <c r="D27" s="21"/>
      <c r="E27" s="21"/>
      <c r="F27" s="21"/>
      <c r="G27" s="21"/>
      <c r="H27" s="4" t="n">
        <f aca="false">IFERROR(6-G27,"")</f>
        <v>6</v>
      </c>
      <c r="I27" s="21"/>
      <c r="J27" s="21"/>
      <c r="K27" s="21"/>
    </row>
    <row r="28" customFormat="false" ht="23.85" hidden="false" customHeight="false" outlineLevel="0" collapsed="false">
      <c r="A28" s="8" t="s">
        <v>186</v>
      </c>
      <c r="B28" s="20"/>
      <c r="C28" s="20"/>
      <c r="D28" s="20"/>
      <c r="E28" s="20"/>
      <c r="F28" s="20"/>
      <c r="G28" s="20"/>
      <c r="H28" s="8" t="n">
        <f aca="false">IFERROR(6-G28,"")</f>
        <v>6</v>
      </c>
      <c r="I28" s="20"/>
      <c r="J28" s="20"/>
      <c r="K28" s="20"/>
    </row>
    <row r="29" customFormat="false" ht="23.85" hidden="false" customHeight="false" outlineLevel="0" collapsed="false">
      <c r="A29" s="4" t="s">
        <v>187</v>
      </c>
      <c r="B29" s="21"/>
      <c r="C29" s="21"/>
      <c r="D29" s="21"/>
      <c r="E29" s="21"/>
      <c r="F29" s="21"/>
      <c r="G29" s="21"/>
      <c r="H29" s="4" t="n">
        <f aca="false">IFERROR(6-G29,"")</f>
        <v>6</v>
      </c>
      <c r="I29" s="21"/>
      <c r="J29" s="21"/>
      <c r="K29" s="21"/>
    </row>
    <row r="30" customFormat="false" ht="23.85" hidden="false" customHeight="false" outlineLevel="0" collapsed="false">
      <c r="A30" s="8" t="s">
        <v>188</v>
      </c>
      <c r="B30" s="20"/>
      <c r="C30" s="20"/>
      <c r="D30" s="20"/>
      <c r="E30" s="20"/>
      <c r="F30" s="20"/>
      <c r="G30" s="20"/>
      <c r="H30" s="8" t="n">
        <f aca="false">IFERROR(6-G30,"")</f>
        <v>6</v>
      </c>
      <c r="I30" s="20"/>
      <c r="J30" s="20"/>
      <c r="K30" s="20"/>
    </row>
    <row r="31" customFormat="false" ht="23.85" hidden="false" customHeight="false" outlineLevel="0" collapsed="false">
      <c r="A31" s="4" t="s">
        <v>189</v>
      </c>
      <c r="B31" s="21"/>
      <c r="C31" s="21"/>
      <c r="D31" s="21"/>
      <c r="E31" s="21"/>
      <c r="F31" s="21"/>
      <c r="G31" s="21"/>
      <c r="H31" s="4" t="n">
        <f aca="false">IFERROR(6-G31,"")</f>
        <v>6</v>
      </c>
      <c r="I31" s="21"/>
      <c r="J31" s="21"/>
      <c r="K31" s="21"/>
    </row>
    <row r="32" customFormat="false" ht="23.85" hidden="false" customHeight="false" outlineLevel="0" collapsed="false">
      <c r="A32" s="8" t="s">
        <v>190</v>
      </c>
      <c r="B32" s="20"/>
      <c r="C32" s="20"/>
      <c r="D32" s="20"/>
      <c r="E32" s="20"/>
      <c r="F32" s="20"/>
      <c r="G32" s="20"/>
      <c r="H32" s="8" t="n">
        <f aca="false">IFERROR(6-G32,"")</f>
        <v>6</v>
      </c>
      <c r="I32" s="20"/>
      <c r="J32" s="20"/>
      <c r="K32" s="20"/>
    </row>
    <row r="33" customFormat="false" ht="23.85" hidden="false" customHeight="false" outlineLevel="0" collapsed="false">
      <c r="A33" s="4" t="s">
        <v>191</v>
      </c>
      <c r="B33" s="21"/>
      <c r="C33" s="21"/>
      <c r="D33" s="21"/>
      <c r="E33" s="21"/>
      <c r="F33" s="21"/>
      <c r="G33" s="21"/>
      <c r="H33" s="4" t="n">
        <f aca="false">IFERROR(6-G33,"")</f>
        <v>6</v>
      </c>
      <c r="I33" s="21"/>
      <c r="J33" s="21"/>
      <c r="K33" s="21"/>
    </row>
    <row r="34" customFormat="false" ht="23.85" hidden="false" customHeight="false" outlineLevel="0" collapsed="false">
      <c r="A34" s="8" t="s">
        <v>192</v>
      </c>
      <c r="B34" s="20"/>
      <c r="C34" s="20"/>
      <c r="D34" s="20"/>
      <c r="E34" s="20"/>
      <c r="F34" s="20"/>
      <c r="G34" s="20"/>
      <c r="H34" s="8" t="n">
        <f aca="false">IFERROR(6-G34,"")</f>
        <v>6</v>
      </c>
      <c r="I34" s="20"/>
      <c r="J34" s="20"/>
      <c r="K34" s="20"/>
    </row>
    <row r="35" customFormat="false" ht="23.85" hidden="false" customHeight="false" outlineLevel="0" collapsed="false">
      <c r="A35" s="4" t="s">
        <v>193</v>
      </c>
      <c r="B35" s="21"/>
      <c r="C35" s="21"/>
      <c r="D35" s="21"/>
      <c r="E35" s="21"/>
      <c r="F35" s="21"/>
      <c r="G35" s="21"/>
      <c r="H35" s="4" t="n">
        <f aca="false">IFERROR(6-G35,"")</f>
        <v>6</v>
      </c>
      <c r="I35" s="21"/>
      <c r="J35" s="21"/>
      <c r="K35" s="21"/>
    </row>
    <row r="36" customFormat="false" ht="23.85" hidden="false" customHeight="false" outlineLevel="0" collapsed="false">
      <c r="A36" s="8" t="s">
        <v>194</v>
      </c>
      <c r="B36" s="20"/>
      <c r="C36" s="20"/>
      <c r="D36" s="20"/>
      <c r="E36" s="20"/>
      <c r="F36" s="20"/>
      <c r="G36" s="20"/>
      <c r="H36" s="8" t="n">
        <f aca="false">IFERROR(6-G36,"")</f>
        <v>6</v>
      </c>
      <c r="I36" s="20"/>
      <c r="J36" s="20"/>
      <c r="K36" s="20"/>
    </row>
    <row r="37" customFormat="false" ht="23.85" hidden="false" customHeight="false" outlineLevel="0" collapsed="false">
      <c r="A37" s="4" t="s">
        <v>195</v>
      </c>
      <c r="B37" s="21"/>
      <c r="C37" s="21"/>
      <c r="D37" s="21"/>
      <c r="E37" s="21"/>
      <c r="F37" s="21"/>
      <c r="G37" s="21"/>
      <c r="H37" s="4" t="n">
        <f aca="false">IFERROR(6-G37,"")</f>
        <v>6</v>
      </c>
      <c r="I37" s="21"/>
      <c r="J37" s="21"/>
      <c r="K37" s="21"/>
    </row>
    <row r="38" customFormat="false" ht="23.85" hidden="false" customHeight="false" outlineLevel="0" collapsed="false">
      <c r="A38" s="8" t="s">
        <v>196</v>
      </c>
      <c r="B38" s="20"/>
      <c r="C38" s="20"/>
      <c r="D38" s="20"/>
      <c r="E38" s="20"/>
      <c r="F38" s="20"/>
      <c r="G38" s="20"/>
      <c r="H38" s="8" t="n">
        <f aca="false">IFERROR(6-G38,"")</f>
        <v>6</v>
      </c>
      <c r="I38" s="20"/>
      <c r="J38" s="20"/>
      <c r="K38" s="20"/>
    </row>
    <row r="39" customFormat="false" ht="23.85" hidden="false" customHeight="false" outlineLevel="0" collapsed="false">
      <c r="A39" s="4" t="s">
        <v>197</v>
      </c>
      <c r="B39" s="21"/>
      <c r="C39" s="21"/>
      <c r="D39" s="21"/>
      <c r="E39" s="21"/>
      <c r="F39" s="21"/>
      <c r="G39" s="21"/>
      <c r="H39" s="4" t="n">
        <f aca="false">IFERROR(6-G39,"")</f>
        <v>6</v>
      </c>
      <c r="I39" s="21"/>
      <c r="J39" s="21"/>
      <c r="K39" s="21"/>
    </row>
    <row r="40" customFormat="false" ht="23.85" hidden="false" customHeight="false" outlineLevel="0" collapsed="false">
      <c r="A40" s="8" t="s">
        <v>198</v>
      </c>
      <c r="B40" s="20"/>
      <c r="C40" s="20"/>
      <c r="D40" s="20"/>
      <c r="E40" s="20"/>
      <c r="F40" s="20"/>
      <c r="G40" s="20"/>
      <c r="H40" s="8" t="n">
        <f aca="false">IFERROR(6-G40,"")</f>
        <v>6</v>
      </c>
      <c r="I40" s="20"/>
      <c r="J40" s="20"/>
      <c r="K40" s="20"/>
    </row>
    <row r="41" customFormat="false" ht="23.85" hidden="false" customHeight="false" outlineLevel="0" collapsed="false">
      <c r="A41" s="4" t="s">
        <v>199</v>
      </c>
      <c r="B41" s="21"/>
      <c r="C41" s="21"/>
      <c r="D41" s="21"/>
      <c r="E41" s="21"/>
      <c r="F41" s="21"/>
      <c r="G41" s="21"/>
      <c r="H41" s="4" t="n">
        <f aca="false">IFERROR(6-G41,"")</f>
        <v>6</v>
      </c>
      <c r="I41" s="21"/>
      <c r="J41" s="21"/>
      <c r="K41" s="21"/>
    </row>
    <row r="42" customFormat="false" ht="23.85" hidden="false" customHeight="false" outlineLevel="0" collapsed="false">
      <c r="A42" s="8" t="s">
        <v>200</v>
      </c>
      <c r="B42" s="20"/>
      <c r="C42" s="20"/>
      <c r="D42" s="20"/>
      <c r="E42" s="20"/>
      <c r="F42" s="20"/>
      <c r="G42" s="20"/>
      <c r="H42" s="8" t="n">
        <f aca="false">IFERROR(6-G42,"")</f>
        <v>6</v>
      </c>
      <c r="I42" s="20"/>
      <c r="J42" s="20"/>
      <c r="K42" s="20"/>
    </row>
    <row r="43" customFormat="false" ht="23.85" hidden="false" customHeight="false" outlineLevel="0" collapsed="false">
      <c r="A43" s="4" t="s">
        <v>201</v>
      </c>
      <c r="B43" s="21"/>
      <c r="C43" s="21"/>
      <c r="D43" s="21"/>
      <c r="E43" s="21"/>
      <c r="F43" s="21"/>
      <c r="G43" s="21"/>
      <c r="H43" s="4" t="n">
        <f aca="false">IFERROR(6-G43,"")</f>
        <v>6</v>
      </c>
      <c r="I43" s="21"/>
      <c r="J43" s="21"/>
      <c r="K43" s="21"/>
    </row>
    <row r="44" customFormat="false" ht="23.85" hidden="false" customHeight="false" outlineLevel="0" collapsed="false">
      <c r="A44" s="8" t="s">
        <v>202</v>
      </c>
      <c r="B44" s="20"/>
      <c r="C44" s="20"/>
      <c r="D44" s="20"/>
      <c r="E44" s="20"/>
      <c r="F44" s="20"/>
      <c r="G44" s="20"/>
      <c r="H44" s="8" t="n">
        <f aca="false">IFERROR(6-G44,"")</f>
        <v>6</v>
      </c>
      <c r="I44" s="20"/>
      <c r="J44" s="20"/>
      <c r="K44" s="20"/>
    </row>
    <row r="45" customFormat="false" ht="23.85" hidden="false" customHeight="false" outlineLevel="0" collapsed="false">
      <c r="A45" s="4" t="s">
        <v>203</v>
      </c>
      <c r="B45" s="21"/>
      <c r="C45" s="21"/>
      <c r="D45" s="21"/>
      <c r="E45" s="21"/>
      <c r="F45" s="21"/>
      <c r="G45" s="21"/>
      <c r="H45" s="4" t="n">
        <f aca="false">IFERROR(6-G45,"")</f>
        <v>6</v>
      </c>
      <c r="I45" s="21"/>
      <c r="J45" s="21"/>
      <c r="K45" s="21"/>
    </row>
    <row r="46" customFormat="false" ht="23.85" hidden="false" customHeight="false" outlineLevel="0" collapsed="false">
      <c r="A46" s="8" t="s">
        <v>204</v>
      </c>
      <c r="B46" s="20"/>
      <c r="C46" s="20"/>
      <c r="D46" s="20"/>
      <c r="E46" s="20"/>
      <c r="F46" s="20"/>
      <c r="G46" s="20"/>
      <c r="H46" s="8" t="n">
        <f aca="false">IFERROR(6-G46,"")</f>
        <v>6</v>
      </c>
      <c r="I46" s="20"/>
      <c r="J46" s="20"/>
      <c r="K46" s="20"/>
    </row>
    <row r="47" customFormat="false" ht="23.85" hidden="false" customHeight="false" outlineLevel="0" collapsed="false">
      <c r="A47" s="4" t="s">
        <v>205</v>
      </c>
      <c r="B47" s="21"/>
      <c r="C47" s="21"/>
      <c r="D47" s="21"/>
      <c r="E47" s="21"/>
      <c r="F47" s="21"/>
      <c r="G47" s="21"/>
      <c r="H47" s="4" t="n">
        <f aca="false">IFERROR(6-G47,"")</f>
        <v>6</v>
      </c>
      <c r="I47" s="21"/>
      <c r="J47" s="21"/>
      <c r="K47" s="21"/>
    </row>
    <row r="48" customFormat="false" ht="23.85" hidden="false" customHeight="false" outlineLevel="0" collapsed="false">
      <c r="A48" s="8" t="s">
        <v>206</v>
      </c>
      <c r="B48" s="20"/>
      <c r="C48" s="20"/>
      <c r="D48" s="20"/>
      <c r="E48" s="20"/>
      <c r="F48" s="20"/>
      <c r="G48" s="20"/>
      <c r="H48" s="8" t="n">
        <f aca="false">IFERROR(6-G48,"")</f>
        <v>6</v>
      </c>
      <c r="I48" s="20"/>
      <c r="J48" s="20"/>
      <c r="K48" s="20"/>
    </row>
    <row r="49" customFormat="false" ht="23.85" hidden="false" customHeight="false" outlineLevel="0" collapsed="false">
      <c r="A49" s="4" t="s">
        <v>207</v>
      </c>
      <c r="B49" s="21"/>
      <c r="C49" s="21"/>
      <c r="D49" s="21"/>
      <c r="E49" s="21"/>
      <c r="F49" s="21"/>
      <c r="G49" s="21"/>
      <c r="H49" s="4" t="n">
        <f aca="false">IFERROR(6-G49,"")</f>
        <v>6</v>
      </c>
      <c r="I49" s="21"/>
      <c r="J49" s="21"/>
      <c r="K49" s="21"/>
    </row>
    <row r="50" customFormat="false" ht="23.85" hidden="false" customHeight="false" outlineLevel="0" collapsed="false">
      <c r="A50" s="8" t="s">
        <v>208</v>
      </c>
      <c r="B50" s="20"/>
      <c r="C50" s="20"/>
      <c r="D50" s="20"/>
      <c r="E50" s="20"/>
      <c r="F50" s="20"/>
      <c r="G50" s="20"/>
      <c r="H50" s="8" t="n">
        <f aca="false">IFERROR(6-G50,"")</f>
        <v>6</v>
      </c>
      <c r="I50" s="20"/>
      <c r="J50" s="20"/>
      <c r="K50" s="20"/>
    </row>
    <row r="51" customFormat="false" ht="23.85" hidden="false" customHeight="false" outlineLevel="0" collapsed="false">
      <c r="A51" s="4" t="s">
        <v>209</v>
      </c>
      <c r="B51" s="21"/>
      <c r="C51" s="21"/>
      <c r="D51" s="21"/>
      <c r="E51" s="21"/>
      <c r="F51" s="21"/>
      <c r="G51" s="21"/>
      <c r="H51" s="4" t="n">
        <f aca="false">IFERROR(6-G51,"")</f>
        <v>6</v>
      </c>
      <c r="I51" s="21"/>
      <c r="J51" s="21"/>
      <c r="K51" s="21"/>
    </row>
    <row r="52" customFormat="false" ht="23.85" hidden="false" customHeight="false" outlineLevel="0" collapsed="false">
      <c r="A52" s="8" t="s">
        <v>210</v>
      </c>
      <c r="B52" s="20"/>
      <c r="C52" s="20"/>
      <c r="D52" s="20"/>
      <c r="E52" s="20"/>
      <c r="F52" s="20"/>
      <c r="G52" s="20"/>
      <c r="H52" s="8" t="n">
        <f aca="false">IFERROR(6-G52,"")</f>
        <v>6</v>
      </c>
      <c r="I52" s="20"/>
      <c r="J52" s="20"/>
      <c r="K52" s="20"/>
    </row>
    <row r="53" customFormat="false" ht="23.85" hidden="false" customHeight="false" outlineLevel="0" collapsed="false">
      <c r="A53" s="4" t="s">
        <v>211</v>
      </c>
      <c r="B53" s="21"/>
      <c r="C53" s="21"/>
      <c r="D53" s="21"/>
      <c r="E53" s="21"/>
      <c r="F53" s="21"/>
      <c r="G53" s="21"/>
      <c r="H53" s="4" t="n">
        <f aca="false">IFERROR(6-G53,"")</f>
        <v>6</v>
      </c>
      <c r="I53" s="21"/>
      <c r="J53" s="21"/>
      <c r="K53" s="21"/>
    </row>
    <row r="54" customFormat="false" ht="23.85" hidden="false" customHeight="false" outlineLevel="0" collapsed="false">
      <c r="A54" s="8" t="s">
        <v>212</v>
      </c>
      <c r="B54" s="20"/>
      <c r="C54" s="20"/>
      <c r="D54" s="20"/>
      <c r="E54" s="20"/>
      <c r="F54" s="20"/>
      <c r="G54" s="20"/>
      <c r="H54" s="8" t="n">
        <f aca="false">IFERROR(6-G54,"")</f>
        <v>6</v>
      </c>
      <c r="I54" s="20"/>
      <c r="J54" s="20"/>
      <c r="K54" s="20"/>
    </row>
    <row r="55" customFormat="false" ht="23.85" hidden="false" customHeight="false" outlineLevel="0" collapsed="false">
      <c r="A55" s="4" t="s">
        <v>213</v>
      </c>
      <c r="B55" s="21"/>
      <c r="C55" s="21"/>
      <c r="D55" s="21"/>
      <c r="E55" s="21"/>
      <c r="F55" s="21"/>
      <c r="G55" s="21"/>
      <c r="H55" s="4" t="n">
        <f aca="false">IFERROR(6-G55,"")</f>
        <v>6</v>
      </c>
      <c r="I55" s="21"/>
      <c r="J55" s="21"/>
      <c r="K55" s="21"/>
    </row>
    <row r="56" customFormat="false" ht="23.85" hidden="false" customHeight="false" outlineLevel="0" collapsed="false">
      <c r="A56" s="8" t="s">
        <v>214</v>
      </c>
      <c r="B56" s="20"/>
      <c r="C56" s="20"/>
      <c r="D56" s="20"/>
      <c r="E56" s="20"/>
      <c r="F56" s="20"/>
      <c r="G56" s="20"/>
      <c r="H56" s="8" t="n">
        <f aca="false">IFERROR(6-G56,"")</f>
        <v>6</v>
      </c>
      <c r="I56" s="20"/>
      <c r="J56" s="20"/>
      <c r="K56" s="20"/>
    </row>
    <row r="57" customFormat="false" ht="23.85" hidden="false" customHeight="false" outlineLevel="0" collapsed="false">
      <c r="A57" s="4" t="s">
        <v>215</v>
      </c>
      <c r="B57" s="21"/>
      <c r="C57" s="21"/>
      <c r="D57" s="21"/>
      <c r="E57" s="21"/>
      <c r="F57" s="21"/>
      <c r="G57" s="21"/>
      <c r="H57" s="4" t="n">
        <f aca="false">IFERROR(6-G57,"")</f>
        <v>6</v>
      </c>
      <c r="I57" s="21"/>
      <c r="J57" s="21"/>
      <c r="K57" s="21"/>
    </row>
    <row r="58" customFormat="false" ht="23.85" hidden="false" customHeight="false" outlineLevel="0" collapsed="false">
      <c r="A58" s="8" t="s">
        <v>216</v>
      </c>
      <c r="B58" s="20"/>
      <c r="C58" s="20"/>
      <c r="D58" s="20"/>
      <c r="E58" s="20"/>
      <c r="F58" s="20"/>
      <c r="G58" s="20"/>
      <c r="H58" s="8" t="n">
        <f aca="false">IFERROR(6-G58,"")</f>
        <v>6</v>
      </c>
      <c r="I58" s="20"/>
      <c r="J58" s="20"/>
      <c r="K58" s="20"/>
    </row>
    <row r="59" customFormat="false" ht="23.85" hidden="false" customHeight="false" outlineLevel="0" collapsed="false">
      <c r="A59" s="4" t="s">
        <v>217</v>
      </c>
      <c r="B59" s="21"/>
      <c r="C59" s="21"/>
      <c r="D59" s="21"/>
      <c r="E59" s="21"/>
      <c r="F59" s="21"/>
      <c r="G59" s="21"/>
      <c r="H59" s="4" t="n">
        <f aca="false">IFERROR(6-G59,"")</f>
        <v>6</v>
      </c>
      <c r="I59" s="21"/>
      <c r="J59" s="21"/>
      <c r="K59" s="21"/>
    </row>
    <row r="60" customFormat="false" ht="23.85" hidden="false" customHeight="false" outlineLevel="0" collapsed="false">
      <c r="A60" s="8" t="s">
        <v>218</v>
      </c>
      <c r="B60" s="20"/>
      <c r="C60" s="20"/>
      <c r="D60" s="20"/>
      <c r="E60" s="20"/>
      <c r="F60" s="20"/>
      <c r="G60" s="20"/>
      <c r="H60" s="8" t="n">
        <f aca="false">IFERROR(6-G60,"")</f>
        <v>6</v>
      </c>
      <c r="I60" s="20"/>
      <c r="J60" s="20"/>
      <c r="K60" s="20"/>
    </row>
    <row r="61" customFormat="false" ht="23.85" hidden="false" customHeight="false" outlineLevel="0" collapsed="false">
      <c r="A61" s="4" t="s">
        <v>219</v>
      </c>
      <c r="B61" s="21"/>
      <c r="C61" s="21"/>
      <c r="D61" s="21"/>
      <c r="E61" s="21"/>
      <c r="F61" s="21"/>
      <c r="G61" s="21"/>
      <c r="H61" s="4" t="n">
        <f aca="false">IFERROR(6-G61,"")</f>
        <v>6</v>
      </c>
      <c r="I61" s="21"/>
      <c r="J61" s="21"/>
      <c r="K61" s="21"/>
    </row>
    <row r="62" customFormat="false" ht="23.85" hidden="false" customHeight="false" outlineLevel="0" collapsed="false">
      <c r="A62" s="8" t="s">
        <v>220</v>
      </c>
      <c r="B62" s="20"/>
      <c r="C62" s="20"/>
      <c r="D62" s="20"/>
      <c r="E62" s="20"/>
      <c r="F62" s="20"/>
      <c r="G62" s="20"/>
      <c r="H62" s="8" t="n">
        <f aca="false">IFERROR(6-G62,"")</f>
        <v>6</v>
      </c>
      <c r="I62" s="20"/>
      <c r="J62" s="20"/>
      <c r="K62" s="20"/>
    </row>
    <row r="63" customFormat="false" ht="23.85" hidden="false" customHeight="false" outlineLevel="0" collapsed="false">
      <c r="A63" s="4" t="s">
        <v>221</v>
      </c>
      <c r="B63" s="21"/>
      <c r="C63" s="21"/>
      <c r="D63" s="21"/>
      <c r="E63" s="21"/>
      <c r="F63" s="21"/>
      <c r="G63" s="21"/>
      <c r="H63" s="4" t="n">
        <f aca="false">IFERROR(6-G63,"")</f>
        <v>6</v>
      </c>
      <c r="I63" s="21"/>
      <c r="J63" s="21"/>
      <c r="K63" s="21"/>
    </row>
    <row r="64" customFormat="false" ht="23.85" hidden="false" customHeight="false" outlineLevel="0" collapsed="false">
      <c r="A64" s="8" t="s">
        <v>222</v>
      </c>
      <c r="B64" s="20"/>
      <c r="C64" s="20"/>
      <c r="D64" s="20"/>
      <c r="E64" s="20"/>
      <c r="F64" s="20"/>
      <c r="G64" s="20"/>
      <c r="H64" s="8" t="n">
        <f aca="false">IFERROR(6-G64,"")</f>
        <v>6</v>
      </c>
      <c r="I64" s="20"/>
      <c r="J64" s="20"/>
      <c r="K64" s="20"/>
    </row>
    <row r="65" customFormat="false" ht="23.85" hidden="false" customHeight="false" outlineLevel="0" collapsed="false">
      <c r="A65" s="4" t="s">
        <v>223</v>
      </c>
      <c r="B65" s="21"/>
      <c r="C65" s="21"/>
      <c r="D65" s="21"/>
      <c r="E65" s="21"/>
      <c r="F65" s="21"/>
      <c r="G65" s="21"/>
      <c r="H65" s="4" t="n">
        <f aca="false">IFERROR(6-G65,"")</f>
        <v>6</v>
      </c>
      <c r="I65" s="21"/>
      <c r="J65" s="21"/>
      <c r="K65" s="21"/>
    </row>
    <row r="66" customFormat="false" ht="23.85" hidden="false" customHeight="false" outlineLevel="0" collapsed="false">
      <c r="A66" s="8" t="s">
        <v>224</v>
      </c>
      <c r="B66" s="20"/>
      <c r="C66" s="20"/>
      <c r="D66" s="20"/>
      <c r="E66" s="20"/>
      <c r="F66" s="20"/>
      <c r="G66" s="20"/>
      <c r="H66" s="8" t="n">
        <f aca="false">IFERROR(6-G66,"")</f>
        <v>6</v>
      </c>
      <c r="I66" s="20"/>
      <c r="J66" s="20"/>
      <c r="K66" s="20"/>
    </row>
    <row r="67" customFormat="false" ht="23.85" hidden="false" customHeight="false" outlineLevel="0" collapsed="false">
      <c r="A67" s="4" t="s">
        <v>225</v>
      </c>
      <c r="B67" s="21"/>
      <c r="C67" s="21"/>
      <c r="D67" s="21"/>
      <c r="E67" s="21"/>
      <c r="F67" s="21"/>
      <c r="G67" s="21"/>
      <c r="H67" s="4" t="n">
        <f aca="false">IFERROR(6-G67,"")</f>
        <v>6</v>
      </c>
      <c r="I67" s="21"/>
      <c r="J67" s="21"/>
      <c r="K67" s="21"/>
    </row>
    <row r="68" customFormat="false" ht="23.85" hidden="false" customHeight="false" outlineLevel="0" collapsed="false">
      <c r="A68" s="8" t="s">
        <v>226</v>
      </c>
      <c r="B68" s="20"/>
      <c r="C68" s="20"/>
      <c r="D68" s="20"/>
      <c r="E68" s="20"/>
      <c r="F68" s="20"/>
      <c r="G68" s="20"/>
      <c r="H68" s="8" t="n">
        <f aca="false">IFERROR(6-G68,"")</f>
        <v>6</v>
      </c>
      <c r="I68" s="20"/>
      <c r="J68" s="20"/>
      <c r="K68" s="20"/>
    </row>
    <row r="69" customFormat="false" ht="23.85" hidden="false" customHeight="false" outlineLevel="0" collapsed="false">
      <c r="A69" s="4" t="s">
        <v>227</v>
      </c>
      <c r="B69" s="21"/>
      <c r="C69" s="21"/>
      <c r="D69" s="21"/>
      <c r="E69" s="21"/>
      <c r="F69" s="21"/>
      <c r="G69" s="21"/>
      <c r="H69" s="4" t="n">
        <f aca="false">IFERROR(6-G69,"")</f>
        <v>6</v>
      </c>
      <c r="I69" s="21"/>
      <c r="J69" s="21"/>
      <c r="K69" s="21"/>
    </row>
    <row r="70" customFormat="false" ht="23.85" hidden="false" customHeight="false" outlineLevel="0" collapsed="false">
      <c r="A70" s="8" t="s">
        <v>228</v>
      </c>
      <c r="B70" s="20"/>
      <c r="C70" s="20"/>
      <c r="D70" s="20"/>
      <c r="E70" s="20"/>
      <c r="F70" s="20"/>
      <c r="G70" s="20"/>
      <c r="H70" s="8" t="n">
        <f aca="false">IFERROR(6-G70,"")</f>
        <v>6</v>
      </c>
      <c r="I70" s="20"/>
      <c r="J70" s="20"/>
      <c r="K70" s="20"/>
    </row>
    <row r="71" customFormat="false" ht="23.85" hidden="false" customHeight="false" outlineLevel="0" collapsed="false">
      <c r="A71" s="4" t="s">
        <v>229</v>
      </c>
      <c r="B71" s="21"/>
      <c r="C71" s="21"/>
      <c r="D71" s="21"/>
      <c r="E71" s="21"/>
      <c r="F71" s="21"/>
      <c r="G71" s="21"/>
      <c r="H71" s="4" t="n">
        <f aca="false">IFERROR(6-G71,"")</f>
        <v>6</v>
      </c>
      <c r="I71" s="21"/>
      <c r="J71" s="21"/>
      <c r="K71" s="21"/>
    </row>
    <row r="72" customFormat="false" ht="23.85" hidden="false" customHeight="false" outlineLevel="0" collapsed="false">
      <c r="A72" s="8" t="s">
        <v>230</v>
      </c>
      <c r="B72" s="20"/>
      <c r="C72" s="20"/>
      <c r="D72" s="20"/>
      <c r="E72" s="20"/>
      <c r="F72" s="20"/>
      <c r="G72" s="20"/>
      <c r="H72" s="8" t="n">
        <f aca="false">IFERROR(6-G72,"")</f>
        <v>6</v>
      </c>
      <c r="I72" s="20"/>
      <c r="J72" s="20"/>
      <c r="K72" s="20"/>
    </row>
    <row r="73" customFormat="false" ht="23.85" hidden="false" customHeight="false" outlineLevel="0" collapsed="false">
      <c r="A73" s="4" t="s">
        <v>231</v>
      </c>
      <c r="B73" s="21"/>
      <c r="C73" s="21"/>
      <c r="D73" s="21"/>
      <c r="E73" s="21"/>
      <c r="F73" s="21"/>
      <c r="G73" s="21"/>
      <c r="H73" s="4" t="n">
        <f aca="false">IFERROR(6-G73,"")</f>
        <v>6</v>
      </c>
      <c r="I73" s="21"/>
      <c r="J73" s="21"/>
      <c r="K73" s="21"/>
    </row>
    <row r="74" customFormat="false" ht="23.85" hidden="false" customHeight="false" outlineLevel="0" collapsed="false">
      <c r="A74" s="8" t="s">
        <v>232</v>
      </c>
      <c r="B74" s="20"/>
      <c r="C74" s="20"/>
      <c r="D74" s="20"/>
      <c r="E74" s="20"/>
      <c r="F74" s="20"/>
      <c r="G74" s="20"/>
      <c r="H74" s="8" t="n">
        <f aca="false">IFERROR(6-G74,"")</f>
        <v>6</v>
      </c>
      <c r="I74" s="20"/>
      <c r="J74" s="20"/>
      <c r="K74" s="20"/>
    </row>
    <row r="75" customFormat="false" ht="23.85" hidden="false" customHeight="false" outlineLevel="0" collapsed="false">
      <c r="A75" s="4" t="s">
        <v>233</v>
      </c>
      <c r="B75" s="21"/>
      <c r="C75" s="21"/>
      <c r="D75" s="21"/>
      <c r="E75" s="21"/>
      <c r="F75" s="21"/>
      <c r="G75" s="21"/>
      <c r="H75" s="4" t="n">
        <f aca="false">IFERROR(6-G75,"")</f>
        <v>6</v>
      </c>
      <c r="I75" s="21"/>
      <c r="J75" s="21"/>
      <c r="K75" s="21"/>
    </row>
    <row r="76" customFormat="false" ht="23.85" hidden="false" customHeight="false" outlineLevel="0" collapsed="false">
      <c r="A76" s="8" t="s">
        <v>234</v>
      </c>
      <c r="B76" s="20"/>
      <c r="C76" s="20"/>
      <c r="D76" s="20"/>
      <c r="E76" s="20"/>
      <c r="F76" s="20"/>
      <c r="G76" s="20"/>
      <c r="H76" s="8" t="n">
        <f aca="false">IFERROR(6-G76,"")</f>
        <v>6</v>
      </c>
      <c r="I76" s="20"/>
      <c r="J76" s="20"/>
      <c r="K76" s="20"/>
    </row>
    <row r="77" customFormat="false" ht="23.85" hidden="false" customHeight="false" outlineLevel="0" collapsed="false">
      <c r="A77" s="4" t="s">
        <v>235</v>
      </c>
      <c r="B77" s="21"/>
      <c r="C77" s="21"/>
      <c r="D77" s="21"/>
      <c r="E77" s="21"/>
      <c r="F77" s="21"/>
      <c r="G77" s="21"/>
      <c r="H77" s="4" t="n">
        <f aca="false">IFERROR(6-G77,"")</f>
        <v>6</v>
      </c>
      <c r="I77" s="21"/>
      <c r="J77" s="21"/>
      <c r="K77" s="21"/>
    </row>
    <row r="78" customFormat="false" ht="23.85" hidden="false" customHeight="false" outlineLevel="0" collapsed="false">
      <c r="A78" s="8" t="s">
        <v>236</v>
      </c>
      <c r="B78" s="20"/>
      <c r="C78" s="20"/>
      <c r="D78" s="20"/>
      <c r="E78" s="20"/>
      <c r="F78" s="20"/>
      <c r="G78" s="20"/>
      <c r="H78" s="8" t="n">
        <f aca="false">IFERROR(6-G78,"")</f>
        <v>6</v>
      </c>
      <c r="I78" s="20"/>
      <c r="J78" s="20"/>
      <c r="K78" s="20"/>
    </row>
    <row r="79" customFormat="false" ht="23.85" hidden="false" customHeight="false" outlineLevel="0" collapsed="false">
      <c r="A79" s="4" t="s">
        <v>237</v>
      </c>
      <c r="B79" s="21"/>
      <c r="C79" s="21"/>
      <c r="D79" s="21"/>
      <c r="E79" s="21"/>
      <c r="F79" s="21"/>
      <c r="G79" s="21"/>
      <c r="H79" s="4" t="n">
        <f aca="false">IFERROR(6-G79,"")</f>
        <v>6</v>
      </c>
      <c r="I79" s="21"/>
      <c r="J79" s="21"/>
      <c r="K79" s="21"/>
    </row>
    <row r="80" customFormat="false" ht="23.85" hidden="false" customHeight="false" outlineLevel="0" collapsed="false">
      <c r="A80" s="8" t="s">
        <v>238</v>
      </c>
      <c r="B80" s="20"/>
      <c r="C80" s="20"/>
      <c r="D80" s="20"/>
      <c r="E80" s="20"/>
      <c r="F80" s="20"/>
      <c r="G80" s="20"/>
      <c r="H80" s="8" t="n">
        <f aca="false">IFERROR(6-G80,"")</f>
        <v>6</v>
      </c>
      <c r="I80" s="20"/>
      <c r="J80" s="20"/>
      <c r="K80" s="20"/>
    </row>
    <row r="81" customFormat="false" ht="23.85" hidden="false" customHeight="false" outlineLevel="0" collapsed="false">
      <c r="A81" s="4" t="s">
        <v>239</v>
      </c>
      <c r="B81" s="21"/>
      <c r="C81" s="21"/>
      <c r="D81" s="21"/>
      <c r="E81" s="21"/>
      <c r="F81" s="21"/>
      <c r="G81" s="21"/>
      <c r="H81" s="4" t="n">
        <f aca="false">IFERROR(6-G81,"")</f>
        <v>6</v>
      </c>
      <c r="I81" s="21"/>
      <c r="J81" s="21"/>
      <c r="K81" s="21"/>
    </row>
    <row r="82" customFormat="false" ht="23.85" hidden="false" customHeight="false" outlineLevel="0" collapsed="false">
      <c r="A82" s="8" t="s">
        <v>240</v>
      </c>
      <c r="B82" s="20"/>
      <c r="C82" s="20"/>
      <c r="D82" s="20"/>
      <c r="E82" s="20"/>
      <c r="F82" s="20"/>
      <c r="G82" s="20"/>
      <c r="H82" s="8" t="n">
        <f aca="false">IFERROR(6-G82,"")</f>
        <v>6</v>
      </c>
      <c r="I82" s="20"/>
      <c r="J82" s="20"/>
      <c r="K82" s="20"/>
    </row>
    <row r="83" customFormat="false" ht="23.85" hidden="false" customHeight="false" outlineLevel="0" collapsed="false">
      <c r="A83" s="4" t="s">
        <v>241</v>
      </c>
      <c r="B83" s="21"/>
      <c r="C83" s="21"/>
      <c r="D83" s="21"/>
      <c r="E83" s="21"/>
      <c r="F83" s="21"/>
      <c r="G83" s="21"/>
      <c r="H83" s="4" t="n">
        <f aca="false">IFERROR(6-G83,"")</f>
        <v>6</v>
      </c>
      <c r="I83" s="21"/>
      <c r="J83" s="21"/>
      <c r="K83" s="21"/>
    </row>
    <row r="84" customFormat="false" ht="23.85" hidden="false" customHeight="false" outlineLevel="0" collapsed="false">
      <c r="A84" s="8" t="s">
        <v>242</v>
      </c>
      <c r="B84" s="20"/>
      <c r="C84" s="20"/>
      <c r="D84" s="20"/>
      <c r="E84" s="20"/>
      <c r="F84" s="20"/>
      <c r="G84" s="20"/>
      <c r="H84" s="8" t="n">
        <f aca="false">IFERROR(6-G84,"")</f>
        <v>6</v>
      </c>
      <c r="I84" s="20"/>
      <c r="J84" s="20"/>
      <c r="K84" s="20"/>
    </row>
    <row r="85" customFormat="false" ht="23.85" hidden="false" customHeight="false" outlineLevel="0" collapsed="false">
      <c r="A85" s="4" t="s">
        <v>243</v>
      </c>
      <c r="B85" s="21"/>
      <c r="C85" s="21"/>
      <c r="D85" s="21"/>
      <c r="E85" s="21"/>
      <c r="F85" s="21"/>
      <c r="G85" s="21"/>
      <c r="H85" s="4" t="n">
        <f aca="false">IFERROR(6-G85,"")</f>
        <v>6</v>
      </c>
      <c r="I85" s="21"/>
      <c r="J85" s="21"/>
      <c r="K85" s="21"/>
    </row>
    <row r="86" customFormat="false" ht="23.85" hidden="false" customHeight="false" outlineLevel="0" collapsed="false">
      <c r="A86" s="8" t="s">
        <v>244</v>
      </c>
      <c r="B86" s="20"/>
      <c r="C86" s="20"/>
      <c r="D86" s="20"/>
      <c r="E86" s="20"/>
      <c r="F86" s="20"/>
      <c r="G86" s="20"/>
      <c r="H86" s="8" t="n">
        <f aca="false">IFERROR(6-G86,"")</f>
        <v>6</v>
      </c>
      <c r="I86" s="20"/>
      <c r="J86" s="20"/>
      <c r="K86" s="20"/>
    </row>
    <row r="87" customFormat="false" ht="23.85" hidden="false" customHeight="false" outlineLevel="0" collapsed="false">
      <c r="A87" s="4" t="s">
        <v>245</v>
      </c>
      <c r="B87" s="21"/>
      <c r="C87" s="21"/>
      <c r="D87" s="21"/>
      <c r="E87" s="21"/>
      <c r="F87" s="21"/>
      <c r="G87" s="21"/>
      <c r="H87" s="4" t="n">
        <f aca="false">IFERROR(6-G87,"")</f>
        <v>6</v>
      </c>
      <c r="I87" s="21"/>
      <c r="J87" s="21"/>
      <c r="K87" s="21"/>
    </row>
    <row r="88" customFormat="false" ht="23.85" hidden="false" customHeight="false" outlineLevel="0" collapsed="false">
      <c r="A88" s="8" t="s">
        <v>246</v>
      </c>
      <c r="B88" s="20"/>
      <c r="C88" s="20"/>
      <c r="D88" s="20"/>
      <c r="E88" s="20"/>
      <c r="F88" s="20"/>
      <c r="G88" s="20"/>
      <c r="H88" s="8" t="n">
        <f aca="false">IFERROR(6-G88,"")</f>
        <v>6</v>
      </c>
      <c r="I88" s="20"/>
      <c r="J88" s="20"/>
      <c r="K88" s="20"/>
    </row>
    <row r="89" customFormat="false" ht="23.85" hidden="false" customHeight="false" outlineLevel="0" collapsed="false">
      <c r="A89" s="4" t="s">
        <v>247</v>
      </c>
      <c r="B89" s="21"/>
      <c r="C89" s="21"/>
      <c r="D89" s="21"/>
      <c r="E89" s="21"/>
      <c r="F89" s="21"/>
      <c r="G89" s="21"/>
      <c r="H89" s="4" t="n">
        <f aca="false">IFERROR(6-G89,"")</f>
        <v>6</v>
      </c>
      <c r="I89" s="21"/>
      <c r="J89" s="21"/>
      <c r="K89" s="21"/>
    </row>
    <row r="90" customFormat="false" ht="23.85" hidden="false" customHeight="false" outlineLevel="0" collapsed="false">
      <c r="A90" s="8" t="s">
        <v>248</v>
      </c>
      <c r="B90" s="20"/>
      <c r="C90" s="20"/>
      <c r="D90" s="20"/>
      <c r="E90" s="20"/>
      <c r="F90" s="20"/>
      <c r="G90" s="20"/>
      <c r="H90" s="8" t="n">
        <f aca="false">IFERROR(6-G90,"")</f>
        <v>6</v>
      </c>
      <c r="I90" s="20"/>
      <c r="J90" s="20"/>
      <c r="K90" s="20"/>
    </row>
    <row r="91" customFormat="false" ht="23.85" hidden="false" customHeight="false" outlineLevel="0" collapsed="false">
      <c r="A91" s="4" t="s">
        <v>249</v>
      </c>
      <c r="B91" s="21"/>
      <c r="C91" s="21"/>
      <c r="D91" s="21"/>
      <c r="E91" s="21"/>
      <c r="F91" s="21"/>
      <c r="G91" s="21"/>
      <c r="H91" s="4" t="n">
        <f aca="false">IFERROR(6-G91,"")</f>
        <v>6</v>
      </c>
      <c r="I91" s="21"/>
      <c r="J91" s="21"/>
      <c r="K91" s="21"/>
    </row>
    <row r="92" customFormat="false" ht="23.85" hidden="false" customHeight="false" outlineLevel="0" collapsed="false">
      <c r="A92" s="8" t="s">
        <v>250</v>
      </c>
      <c r="B92" s="20"/>
      <c r="C92" s="20"/>
      <c r="D92" s="20"/>
      <c r="E92" s="20"/>
      <c r="F92" s="20"/>
      <c r="G92" s="20"/>
      <c r="H92" s="8" t="n">
        <f aca="false">IFERROR(6-G92,"")</f>
        <v>6</v>
      </c>
      <c r="I92" s="20"/>
      <c r="J92" s="20"/>
      <c r="K92" s="20"/>
    </row>
    <row r="93" customFormat="false" ht="23.85" hidden="false" customHeight="false" outlineLevel="0" collapsed="false">
      <c r="A93" s="4" t="s">
        <v>251</v>
      </c>
      <c r="B93" s="21"/>
      <c r="C93" s="21"/>
      <c r="D93" s="21"/>
      <c r="E93" s="21"/>
      <c r="F93" s="21"/>
      <c r="G93" s="21"/>
      <c r="H93" s="4" t="n">
        <f aca="false">IFERROR(6-G93,"")</f>
        <v>6</v>
      </c>
      <c r="I93" s="21"/>
      <c r="J93" s="21"/>
      <c r="K93" s="21"/>
    </row>
    <row r="94" customFormat="false" ht="23.85" hidden="false" customHeight="false" outlineLevel="0" collapsed="false">
      <c r="A94" s="8" t="s">
        <v>252</v>
      </c>
      <c r="B94" s="20"/>
      <c r="C94" s="20"/>
      <c r="D94" s="20"/>
      <c r="E94" s="20"/>
      <c r="F94" s="20"/>
      <c r="G94" s="20"/>
      <c r="H94" s="8" t="n">
        <f aca="false">IFERROR(6-G94,"")</f>
        <v>6</v>
      </c>
      <c r="I94" s="20"/>
      <c r="J94" s="20"/>
      <c r="K94" s="20"/>
    </row>
    <row r="95" customFormat="false" ht="23.85" hidden="false" customHeight="false" outlineLevel="0" collapsed="false">
      <c r="A95" s="4" t="s">
        <v>253</v>
      </c>
      <c r="B95" s="21"/>
      <c r="C95" s="21"/>
      <c r="D95" s="21"/>
      <c r="E95" s="21"/>
      <c r="F95" s="21"/>
      <c r="G95" s="21"/>
      <c r="H95" s="4" t="n">
        <f aca="false">IFERROR(6-G95,"")</f>
        <v>6</v>
      </c>
      <c r="I95" s="21"/>
      <c r="J95" s="21"/>
      <c r="K95" s="21"/>
    </row>
    <row r="96" customFormat="false" ht="23.85" hidden="false" customHeight="false" outlineLevel="0" collapsed="false">
      <c r="A96" s="8" t="s">
        <v>254</v>
      </c>
      <c r="B96" s="20"/>
      <c r="C96" s="20"/>
      <c r="D96" s="20"/>
      <c r="E96" s="20"/>
      <c r="F96" s="20"/>
      <c r="G96" s="20"/>
      <c r="H96" s="8" t="n">
        <f aca="false">IFERROR(6-G96,"")</f>
        <v>6</v>
      </c>
      <c r="I96" s="20"/>
      <c r="J96" s="20"/>
      <c r="K96" s="20"/>
    </row>
    <row r="97" customFormat="false" ht="23.85" hidden="false" customHeight="false" outlineLevel="0" collapsed="false">
      <c r="A97" s="4" t="s">
        <v>255</v>
      </c>
      <c r="B97" s="21"/>
      <c r="C97" s="21"/>
      <c r="D97" s="21"/>
      <c r="E97" s="21"/>
      <c r="F97" s="21"/>
      <c r="G97" s="21"/>
      <c r="H97" s="4" t="n">
        <f aca="false">IFERROR(6-G97,"")</f>
        <v>6</v>
      </c>
      <c r="I97" s="21"/>
      <c r="J97" s="21"/>
      <c r="K97" s="21"/>
    </row>
    <row r="98" customFormat="false" ht="23.85" hidden="false" customHeight="false" outlineLevel="0" collapsed="false">
      <c r="A98" s="8" t="s">
        <v>256</v>
      </c>
      <c r="B98" s="20"/>
      <c r="C98" s="20"/>
      <c r="D98" s="20"/>
      <c r="E98" s="20"/>
      <c r="F98" s="20"/>
      <c r="G98" s="20"/>
      <c r="H98" s="8" t="n">
        <f aca="false">IFERROR(6-G98,"")</f>
        <v>6</v>
      </c>
      <c r="I98" s="20"/>
      <c r="J98" s="20"/>
      <c r="K98" s="20"/>
    </row>
    <row r="99" customFormat="false" ht="23.85" hidden="false" customHeight="false" outlineLevel="0" collapsed="false">
      <c r="A99" s="4" t="s">
        <v>257</v>
      </c>
      <c r="B99" s="21"/>
      <c r="C99" s="21"/>
      <c r="D99" s="21"/>
      <c r="E99" s="21"/>
      <c r="F99" s="21"/>
      <c r="G99" s="21"/>
      <c r="H99" s="4" t="n">
        <f aca="false">IFERROR(6-G99,"")</f>
        <v>6</v>
      </c>
      <c r="I99" s="21"/>
      <c r="J99" s="21"/>
      <c r="K99" s="21"/>
    </row>
    <row r="100" customFormat="false" ht="23.85" hidden="false" customHeight="false" outlineLevel="0" collapsed="false">
      <c r="A100" s="8" t="s">
        <v>258</v>
      </c>
      <c r="B100" s="20"/>
      <c r="C100" s="20"/>
      <c r="D100" s="20"/>
      <c r="E100" s="20"/>
      <c r="F100" s="20"/>
      <c r="G100" s="20"/>
      <c r="H100" s="8" t="n">
        <f aca="false">IFERROR(6-G100,"")</f>
        <v>6</v>
      </c>
      <c r="I100" s="20"/>
      <c r="J100" s="20"/>
      <c r="K100" s="20"/>
    </row>
    <row r="101" customFormat="false" ht="23.85" hidden="false" customHeight="false" outlineLevel="0" collapsed="false">
      <c r="A101" s="4" t="s">
        <v>259</v>
      </c>
      <c r="B101" s="21"/>
      <c r="C101" s="21"/>
      <c r="D101" s="21"/>
      <c r="E101" s="21"/>
      <c r="F101" s="21"/>
      <c r="G101" s="21"/>
      <c r="H101" s="4" t="n">
        <f aca="false">IFERROR(6-G101,"")</f>
        <v>6</v>
      </c>
      <c r="I101" s="21"/>
      <c r="J101" s="21"/>
      <c r="K101" s="21"/>
    </row>
    <row r="102" customFormat="false" ht="23.85" hidden="false" customHeight="false" outlineLevel="0" collapsed="false">
      <c r="A102" s="8" t="s">
        <v>260</v>
      </c>
      <c r="B102" s="20"/>
      <c r="C102" s="20"/>
      <c r="D102" s="20"/>
      <c r="E102" s="20"/>
      <c r="F102" s="20"/>
      <c r="G102" s="20"/>
      <c r="H102" s="8" t="n">
        <f aca="false">IFERROR(6-G102,"")</f>
        <v>6</v>
      </c>
      <c r="I102" s="20"/>
      <c r="J102" s="20"/>
      <c r="K102" s="20"/>
    </row>
    <row r="103" customFormat="false" ht="23.85" hidden="false" customHeight="false" outlineLevel="0" collapsed="false">
      <c r="A103" s="4" t="s">
        <v>261</v>
      </c>
      <c r="B103" s="21"/>
      <c r="C103" s="21"/>
      <c r="D103" s="21"/>
      <c r="E103" s="21"/>
      <c r="F103" s="21"/>
      <c r="G103" s="21"/>
      <c r="H103" s="4" t="n">
        <f aca="false">IFERROR(6-G103,"")</f>
        <v>6</v>
      </c>
      <c r="I103" s="21"/>
      <c r="J103" s="21"/>
      <c r="K103" s="21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4" t="s">
        <v>262</v>
      </c>
      <c r="B1" s="34"/>
      <c r="C1" s="34"/>
      <c r="D1" s="34"/>
      <c r="E1" s="34"/>
      <c r="F1" s="34"/>
      <c r="G1" s="34"/>
      <c r="H1" s="34"/>
      <c r="I1" s="34"/>
    </row>
    <row r="2" customFormat="false" ht="25.5" hidden="false" customHeight="true" outlineLevel="0" collapsed="false">
      <c r="A2" s="35" t="s">
        <v>263</v>
      </c>
      <c r="B2" s="35"/>
      <c r="C2" s="35"/>
      <c r="D2" s="35"/>
      <c r="E2" s="35"/>
      <c r="F2" s="35"/>
      <c r="G2" s="35"/>
      <c r="H2" s="35"/>
      <c r="I2" s="35"/>
    </row>
    <row r="3" customFormat="false" ht="23.85" hidden="false" customHeight="false" outlineLevel="0" collapsed="false">
      <c r="A3" s="36" t="s">
        <v>141</v>
      </c>
      <c r="B3" s="36" t="s">
        <v>142</v>
      </c>
      <c r="C3" s="36" t="s">
        <v>143</v>
      </c>
      <c r="D3" s="36" t="s">
        <v>264</v>
      </c>
      <c r="E3" s="36" t="s">
        <v>265</v>
      </c>
      <c r="F3" s="36" t="s">
        <v>146</v>
      </c>
      <c r="G3" s="36" t="s">
        <v>147</v>
      </c>
      <c r="H3" s="36" t="s">
        <v>148</v>
      </c>
      <c r="I3" s="36" t="s">
        <v>266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20"/>
      <c r="H4" s="20"/>
      <c r="I4" s="29" t="n">
        <f aca="false">IFERROR(IF(MAX($G$4:$G$33)&gt;0,G4/MAX($G$4:$G$33)*100,0),0)</f>
        <v>0</v>
      </c>
    </row>
    <row r="5" customFormat="false" ht="15" hidden="false" customHeight="false" outlineLevel="0" collapsed="false">
      <c r="A5" s="4" t="n">
        <v>2</v>
      </c>
      <c r="B5" s="21"/>
      <c r="C5" s="21"/>
      <c r="D5" s="21"/>
      <c r="E5" s="21"/>
      <c r="F5" s="21"/>
      <c r="G5" s="21"/>
      <c r="H5" s="21"/>
      <c r="I5" s="30" t="n">
        <f aca="false">IFERROR(IF(MAX($G$4:$G$33)&gt;0,G5/MAX($G$4:$G$33)*100,0),0)</f>
        <v>0</v>
      </c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20"/>
      <c r="H6" s="20"/>
      <c r="I6" s="29" t="n">
        <f aca="false">IFERROR(IF(MAX($G$4:$G$33)&gt;0,G6/MAX($G$4:$G$33)*100,0),0)</f>
        <v>0</v>
      </c>
    </row>
    <row r="7" customFormat="false" ht="15" hidden="false" customHeight="false" outlineLevel="0" collapsed="false">
      <c r="A7" s="4" t="n">
        <v>4</v>
      </c>
      <c r="B7" s="21"/>
      <c r="C7" s="21"/>
      <c r="D7" s="21"/>
      <c r="E7" s="21"/>
      <c r="F7" s="21"/>
      <c r="G7" s="21"/>
      <c r="H7" s="21"/>
      <c r="I7" s="30" t="n">
        <f aca="false">IFERROR(IF(MAX($G$4:$G$33)&gt;0,G7/MAX($G$4:$G$33)*100,0),0)</f>
        <v>0</v>
      </c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20"/>
      <c r="H8" s="20"/>
      <c r="I8" s="29" t="n">
        <f aca="false">IFERROR(IF(MAX($G$4:$G$33)&gt;0,G8/MAX($G$4:$G$33)*100,0),0)</f>
        <v>0</v>
      </c>
    </row>
    <row r="9" customFormat="false" ht="15" hidden="false" customHeight="false" outlineLevel="0" collapsed="false">
      <c r="A9" s="4" t="n">
        <v>6</v>
      </c>
      <c r="B9" s="21"/>
      <c r="C9" s="21"/>
      <c r="D9" s="21"/>
      <c r="E9" s="21"/>
      <c r="F9" s="21"/>
      <c r="G9" s="21"/>
      <c r="H9" s="21"/>
      <c r="I9" s="30" t="n">
        <f aca="false">IFERROR(IF(MAX($G$4:$G$33)&gt;0,G9/MAX($G$4:$G$33)*100,0),0)</f>
        <v>0</v>
      </c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20"/>
      <c r="H10" s="20"/>
      <c r="I10" s="29" t="n">
        <f aca="false">IFERROR(IF(MAX($G$4:$G$33)&gt;0,G10/MAX($G$4:$G$33)*100,0),0)</f>
        <v>0</v>
      </c>
    </row>
    <row r="11" customFormat="false" ht="15" hidden="false" customHeight="false" outlineLevel="0" collapsed="false">
      <c r="A11" s="4" t="n">
        <v>8</v>
      </c>
      <c r="B11" s="21"/>
      <c r="C11" s="21"/>
      <c r="D11" s="21"/>
      <c r="E11" s="21"/>
      <c r="F11" s="21"/>
      <c r="G11" s="21"/>
      <c r="H11" s="21"/>
      <c r="I11" s="30" t="n">
        <f aca="false">IFERROR(IF(MAX($G$4:$G$33)&gt;0,G11/MAX($G$4:$G$33)*100,0),0)</f>
        <v>0</v>
      </c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20"/>
      <c r="H12" s="20"/>
      <c r="I12" s="29" t="n">
        <f aca="false">IFERROR(IF(MAX($G$4:$G$33)&gt;0,G12/MAX($G$4:$G$33)*100,0),0)</f>
        <v>0</v>
      </c>
    </row>
    <row r="13" customFormat="false" ht="15" hidden="false" customHeight="false" outlineLevel="0" collapsed="false">
      <c r="A13" s="4" t="n">
        <v>10</v>
      </c>
      <c r="B13" s="21"/>
      <c r="C13" s="21"/>
      <c r="D13" s="21"/>
      <c r="E13" s="21"/>
      <c r="F13" s="21"/>
      <c r="G13" s="21"/>
      <c r="H13" s="21"/>
      <c r="I13" s="30" t="n">
        <f aca="false">IFERROR(IF(MAX($G$4:$G$33)&gt;0,G13/MAX($G$4:$G$33)*100,0),0)</f>
        <v>0</v>
      </c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20"/>
      <c r="H14" s="20"/>
      <c r="I14" s="29" t="n">
        <f aca="false">IFERROR(IF(MAX($G$4:$G$33)&gt;0,G14/MAX($G$4:$G$33)*100,0),0)</f>
        <v>0</v>
      </c>
    </row>
    <row r="15" customFormat="false" ht="15" hidden="false" customHeight="false" outlineLevel="0" collapsed="false">
      <c r="A15" s="4" t="n">
        <v>12</v>
      </c>
      <c r="B15" s="21"/>
      <c r="C15" s="21"/>
      <c r="D15" s="21"/>
      <c r="E15" s="21"/>
      <c r="F15" s="21"/>
      <c r="G15" s="21"/>
      <c r="H15" s="21"/>
      <c r="I15" s="30" t="n">
        <f aca="false">IFERROR(IF(MAX($G$4:$G$33)&gt;0,G15/MAX($G$4:$G$33)*100,0),0)</f>
        <v>0</v>
      </c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20"/>
      <c r="H16" s="20"/>
      <c r="I16" s="29" t="n">
        <f aca="false">IFERROR(IF(MAX($G$4:$G$33)&gt;0,G16/MAX($G$4:$G$33)*100,0),0)</f>
        <v>0</v>
      </c>
    </row>
    <row r="17" customFormat="false" ht="15" hidden="false" customHeight="false" outlineLevel="0" collapsed="false">
      <c r="A17" s="4" t="n">
        <v>14</v>
      </c>
      <c r="B17" s="21"/>
      <c r="C17" s="21"/>
      <c r="D17" s="21"/>
      <c r="E17" s="21"/>
      <c r="F17" s="21"/>
      <c r="G17" s="21"/>
      <c r="H17" s="21"/>
      <c r="I17" s="30" t="n">
        <f aca="false">IFERROR(IF(MAX($G$4:$G$33)&gt;0,G17/MAX($G$4:$G$33)*100,0),0)</f>
        <v>0</v>
      </c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20"/>
      <c r="H18" s="20"/>
      <c r="I18" s="29" t="n">
        <f aca="false">IFERROR(IF(MAX($G$4:$G$33)&gt;0,G18/MAX($G$4:$G$33)*100,0),0)</f>
        <v>0</v>
      </c>
    </row>
    <row r="19" customFormat="false" ht="15" hidden="false" customHeight="false" outlineLevel="0" collapsed="false">
      <c r="A19" s="4" t="n">
        <v>16</v>
      </c>
      <c r="B19" s="21"/>
      <c r="C19" s="21"/>
      <c r="D19" s="21"/>
      <c r="E19" s="21"/>
      <c r="F19" s="21"/>
      <c r="G19" s="21"/>
      <c r="H19" s="21"/>
      <c r="I19" s="30" t="n">
        <f aca="false">IFERROR(IF(MAX($G$4:$G$33)&gt;0,G19/MAX($G$4:$G$33)*100,0),0)</f>
        <v>0</v>
      </c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20"/>
      <c r="H20" s="20"/>
      <c r="I20" s="29" t="n">
        <f aca="false">IFERROR(IF(MAX($G$4:$G$33)&gt;0,G20/MAX($G$4:$G$33)*100,0),0)</f>
        <v>0</v>
      </c>
    </row>
    <row r="21" customFormat="false" ht="15" hidden="false" customHeight="false" outlineLevel="0" collapsed="false">
      <c r="A21" s="4" t="n">
        <v>18</v>
      </c>
      <c r="B21" s="21"/>
      <c r="C21" s="21"/>
      <c r="D21" s="21"/>
      <c r="E21" s="21"/>
      <c r="F21" s="21"/>
      <c r="G21" s="21"/>
      <c r="H21" s="21"/>
      <c r="I21" s="30" t="n">
        <f aca="false">IFERROR(IF(MAX($G$4:$G$33)&gt;0,G21/MAX($G$4:$G$33)*100,0),0)</f>
        <v>0</v>
      </c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20"/>
      <c r="H22" s="20"/>
      <c r="I22" s="29" t="n">
        <f aca="false">IFERROR(IF(MAX($G$4:$G$33)&gt;0,G22/MAX($G$4:$G$33)*100,0),0)</f>
        <v>0</v>
      </c>
    </row>
    <row r="23" customFormat="false" ht="15" hidden="false" customHeight="false" outlineLevel="0" collapsed="false">
      <c r="A23" s="4" t="n">
        <v>20</v>
      </c>
      <c r="B23" s="21"/>
      <c r="C23" s="21"/>
      <c r="D23" s="21"/>
      <c r="E23" s="21"/>
      <c r="F23" s="21"/>
      <c r="G23" s="21"/>
      <c r="H23" s="21"/>
      <c r="I23" s="30" t="n">
        <f aca="false">IFERROR(IF(MAX($G$4:$G$33)&gt;0,G23/MAX($G$4:$G$33)*100,0),0)</f>
        <v>0</v>
      </c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20"/>
      <c r="H24" s="20"/>
      <c r="I24" s="29" t="n">
        <f aca="false">IFERROR(IF(MAX($G$4:$G$33)&gt;0,G24/MAX($G$4:$G$33)*100,0),0)</f>
        <v>0</v>
      </c>
    </row>
    <row r="25" customFormat="false" ht="15" hidden="false" customHeight="false" outlineLevel="0" collapsed="false">
      <c r="A25" s="4" t="n">
        <v>22</v>
      </c>
      <c r="B25" s="21"/>
      <c r="C25" s="21"/>
      <c r="D25" s="21"/>
      <c r="E25" s="21"/>
      <c r="F25" s="21"/>
      <c r="G25" s="21"/>
      <c r="H25" s="21"/>
      <c r="I25" s="30" t="n">
        <f aca="false">IFERROR(IF(MAX($G$4:$G$33)&gt;0,G25/MAX($G$4:$G$33)*100,0),0)</f>
        <v>0</v>
      </c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20"/>
      <c r="H26" s="20"/>
      <c r="I26" s="29" t="n">
        <f aca="false">IFERROR(IF(MAX($G$4:$G$33)&gt;0,G26/MAX($G$4:$G$33)*100,0),0)</f>
        <v>0</v>
      </c>
    </row>
    <row r="27" customFormat="false" ht="15" hidden="false" customHeight="false" outlineLevel="0" collapsed="false">
      <c r="A27" s="4" t="n">
        <v>24</v>
      </c>
      <c r="B27" s="21"/>
      <c r="C27" s="21"/>
      <c r="D27" s="21"/>
      <c r="E27" s="21"/>
      <c r="F27" s="21"/>
      <c r="G27" s="21"/>
      <c r="H27" s="21"/>
      <c r="I27" s="30" t="n">
        <f aca="false">IFERROR(IF(MAX($G$4:$G$33)&gt;0,G27/MAX($G$4:$G$33)*100,0),0)</f>
        <v>0</v>
      </c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20"/>
      <c r="H28" s="20"/>
      <c r="I28" s="29" t="n">
        <f aca="false">IFERROR(IF(MAX($G$4:$G$33)&gt;0,G28/MAX($G$4:$G$33)*100,0),0)</f>
        <v>0</v>
      </c>
    </row>
    <row r="29" customFormat="false" ht="15" hidden="false" customHeight="false" outlineLevel="0" collapsed="false">
      <c r="A29" s="4" t="n">
        <v>26</v>
      </c>
      <c r="B29" s="21"/>
      <c r="C29" s="21"/>
      <c r="D29" s="21"/>
      <c r="E29" s="21"/>
      <c r="F29" s="21"/>
      <c r="G29" s="21"/>
      <c r="H29" s="21"/>
      <c r="I29" s="30" t="n">
        <f aca="false">IFERROR(IF(MAX($G$4:$G$33)&gt;0,G29/MAX($G$4:$G$33)*100,0),0)</f>
        <v>0</v>
      </c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20"/>
      <c r="H30" s="20"/>
      <c r="I30" s="29" t="n">
        <f aca="false">IFERROR(IF(MAX($G$4:$G$33)&gt;0,G30/MAX($G$4:$G$33)*100,0),0)</f>
        <v>0</v>
      </c>
    </row>
    <row r="31" customFormat="false" ht="15" hidden="false" customHeight="false" outlineLevel="0" collapsed="false">
      <c r="A31" s="4" t="n">
        <v>28</v>
      </c>
      <c r="B31" s="21"/>
      <c r="C31" s="21"/>
      <c r="D31" s="21"/>
      <c r="E31" s="21"/>
      <c r="F31" s="21"/>
      <c r="G31" s="21"/>
      <c r="H31" s="21"/>
      <c r="I31" s="30" t="n">
        <f aca="false">IFERROR(IF(MAX($G$4:$G$33)&gt;0,G31/MAX($G$4:$G$33)*100,0),0)</f>
        <v>0</v>
      </c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20"/>
      <c r="H32" s="20"/>
      <c r="I32" s="29" t="n">
        <f aca="false">IFERROR(IF(MAX($G$4:$G$33)&gt;0,G32/MAX($G$4:$G$33)*100,0),0)</f>
        <v>0</v>
      </c>
    </row>
    <row r="33" customFormat="false" ht="15" hidden="false" customHeight="false" outlineLevel="0" collapsed="false">
      <c r="A33" s="4" t="n">
        <v>30</v>
      </c>
      <c r="B33" s="21"/>
      <c r="C33" s="21"/>
      <c r="D33" s="21"/>
      <c r="E33" s="21"/>
      <c r="F33" s="21"/>
      <c r="G33" s="21"/>
      <c r="H33" s="21"/>
      <c r="I33" s="30" t="n">
        <f aca="false">IFERROR(IF(MAX($G$4:$G$33)&gt;0,G33/MAX($G$4:$G$33)*100,0),0)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7" t="s">
        <v>267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25.5" hidden="false" customHeight="true" outlineLevel="0" collapsed="false">
      <c r="A2" s="38" t="s">
        <v>268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customFormat="false" ht="35.05" hidden="false" customHeight="false" outlineLevel="0" collapsed="false">
      <c r="A3" s="39" t="s">
        <v>152</v>
      </c>
      <c r="B3" s="39" t="s">
        <v>142</v>
      </c>
      <c r="C3" s="39" t="s">
        <v>153</v>
      </c>
      <c r="D3" s="39" t="s">
        <v>154</v>
      </c>
      <c r="E3" s="39" t="s">
        <v>155</v>
      </c>
      <c r="F3" s="39" t="s">
        <v>156</v>
      </c>
      <c r="G3" s="39" t="s">
        <v>157</v>
      </c>
      <c r="H3" s="39" t="s">
        <v>158</v>
      </c>
      <c r="I3" s="39" t="s">
        <v>159</v>
      </c>
      <c r="J3" s="39" t="s">
        <v>160</v>
      </c>
      <c r="K3" s="39" t="s">
        <v>161</v>
      </c>
    </row>
    <row r="4" customFormat="false" ht="23.85" hidden="false" customHeight="false" outlineLevel="0" collapsed="false">
      <c r="A4" s="8" t="s">
        <v>269</v>
      </c>
      <c r="B4" s="20"/>
      <c r="C4" s="20"/>
      <c r="D4" s="20"/>
      <c r="E4" s="20"/>
      <c r="F4" s="20"/>
      <c r="G4" s="20"/>
      <c r="H4" s="8" t="n">
        <f aca="false">IFERROR(6-G4,"")</f>
        <v>6</v>
      </c>
      <c r="I4" s="20"/>
      <c r="J4" s="20"/>
      <c r="K4" s="20"/>
    </row>
    <row r="5" customFormat="false" ht="23.85" hidden="false" customHeight="false" outlineLevel="0" collapsed="false">
      <c r="A5" s="4" t="s">
        <v>270</v>
      </c>
      <c r="B5" s="21"/>
      <c r="C5" s="21"/>
      <c r="D5" s="21"/>
      <c r="E5" s="21"/>
      <c r="F5" s="21"/>
      <c r="G5" s="21"/>
      <c r="H5" s="4" t="n">
        <f aca="false">IFERROR(6-G5,"")</f>
        <v>6</v>
      </c>
      <c r="I5" s="21"/>
      <c r="J5" s="21"/>
      <c r="K5" s="21"/>
    </row>
    <row r="6" customFormat="false" ht="23.85" hidden="false" customHeight="false" outlineLevel="0" collapsed="false">
      <c r="A6" s="8" t="s">
        <v>271</v>
      </c>
      <c r="B6" s="20"/>
      <c r="C6" s="20"/>
      <c r="D6" s="20"/>
      <c r="E6" s="20"/>
      <c r="F6" s="20"/>
      <c r="G6" s="20"/>
      <c r="H6" s="8" t="n">
        <f aca="false">IFERROR(6-G6,"")</f>
        <v>6</v>
      </c>
      <c r="I6" s="20"/>
      <c r="J6" s="20"/>
      <c r="K6" s="20"/>
    </row>
    <row r="7" customFormat="false" ht="23.85" hidden="false" customHeight="false" outlineLevel="0" collapsed="false">
      <c r="A7" s="4" t="s">
        <v>272</v>
      </c>
      <c r="B7" s="21"/>
      <c r="C7" s="21"/>
      <c r="D7" s="21"/>
      <c r="E7" s="21"/>
      <c r="F7" s="21"/>
      <c r="G7" s="21"/>
      <c r="H7" s="4" t="n">
        <f aca="false">IFERROR(6-G7,"")</f>
        <v>6</v>
      </c>
      <c r="I7" s="21"/>
      <c r="J7" s="21"/>
      <c r="K7" s="21"/>
    </row>
    <row r="8" customFormat="false" ht="23.85" hidden="false" customHeight="false" outlineLevel="0" collapsed="false">
      <c r="A8" s="8" t="s">
        <v>273</v>
      </c>
      <c r="B8" s="20"/>
      <c r="C8" s="20"/>
      <c r="D8" s="20"/>
      <c r="E8" s="20"/>
      <c r="F8" s="20"/>
      <c r="G8" s="20"/>
      <c r="H8" s="8" t="n">
        <f aca="false">IFERROR(6-G8,"")</f>
        <v>6</v>
      </c>
      <c r="I8" s="20"/>
      <c r="J8" s="20"/>
      <c r="K8" s="20"/>
    </row>
    <row r="9" customFormat="false" ht="23.85" hidden="false" customHeight="false" outlineLevel="0" collapsed="false">
      <c r="A9" s="4" t="s">
        <v>274</v>
      </c>
      <c r="B9" s="21"/>
      <c r="C9" s="21"/>
      <c r="D9" s="21"/>
      <c r="E9" s="21"/>
      <c r="F9" s="21"/>
      <c r="G9" s="21"/>
      <c r="H9" s="4" t="n">
        <f aca="false">IFERROR(6-G9,"")</f>
        <v>6</v>
      </c>
      <c r="I9" s="21"/>
      <c r="J9" s="21"/>
      <c r="K9" s="21"/>
    </row>
    <row r="10" customFormat="false" ht="23.85" hidden="false" customHeight="false" outlineLevel="0" collapsed="false">
      <c r="A10" s="8" t="s">
        <v>275</v>
      </c>
      <c r="B10" s="20"/>
      <c r="C10" s="20"/>
      <c r="D10" s="20"/>
      <c r="E10" s="20"/>
      <c r="F10" s="20"/>
      <c r="G10" s="20"/>
      <c r="H10" s="8" t="n">
        <f aca="false">IFERROR(6-G10,"")</f>
        <v>6</v>
      </c>
      <c r="I10" s="20"/>
      <c r="J10" s="20"/>
      <c r="K10" s="20"/>
    </row>
    <row r="11" customFormat="false" ht="23.85" hidden="false" customHeight="false" outlineLevel="0" collapsed="false">
      <c r="A11" s="4" t="s">
        <v>276</v>
      </c>
      <c r="B11" s="21"/>
      <c r="C11" s="21"/>
      <c r="D11" s="21"/>
      <c r="E11" s="21"/>
      <c r="F11" s="21"/>
      <c r="G11" s="21"/>
      <c r="H11" s="4" t="n">
        <f aca="false">IFERROR(6-G11,"")</f>
        <v>6</v>
      </c>
      <c r="I11" s="21"/>
      <c r="J11" s="21"/>
      <c r="K11" s="21"/>
    </row>
    <row r="12" customFormat="false" ht="23.85" hidden="false" customHeight="false" outlineLevel="0" collapsed="false">
      <c r="A12" s="8" t="s">
        <v>277</v>
      </c>
      <c r="B12" s="20"/>
      <c r="C12" s="20"/>
      <c r="D12" s="20"/>
      <c r="E12" s="20"/>
      <c r="F12" s="20"/>
      <c r="G12" s="20"/>
      <c r="H12" s="8" t="n">
        <f aca="false">IFERROR(6-G12,"")</f>
        <v>6</v>
      </c>
      <c r="I12" s="20"/>
      <c r="J12" s="20"/>
      <c r="K12" s="20"/>
    </row>
    <row r="13" customFormat="false" ht="23.85" hidden="false" customHeight="false" outlineLevel="0" collapsed="false">
      <c r="A13" s="4" t="s">
        <v>278</v>
      </c>
      <c r="B13" s="21"/>
      <c r="C13" s="21"/>
      <c r="D13" s="21"/>
      <c r="E13" s="21"/>
      <c r="F13" s="21"/>
      <c r="G13" s="21"/>
      <c r="H13" s="4" t="n">
        <f aca="false">IFERROR(6-G13,"")</f>
        <v>6</v>
      </c>
      <c r="I13" s="21"/>
      <c r="J13" s="21"/>
      <c r="K13" s="21"/>
    </row>
    <row r="14" customFormat="false" ht="23.85" hidden="false" customHeight="false" outlineLevel="0" collapsed="false">
      <c r="A14" s="8" t="s">
        <v>279</v>
      </c>
      <c r="B14" s="20"/>
      <c r="C14" s="20"/>
      <c r="D14" s="20"/>
      <c r="E14" s="20"/>
      <c r="F14" s="20"/>
      <c r="G14" s="20"/>
      <c r="H14" s="8" t="n">
        <f aca="false">IFERROR(6-G14,"")</f>
        <v>6</v>
      </c>
      <c r="I14" s="20"/>
      <c r="J14" s="20"/>
      <c r="K14" s="20"/>
    </row>
    <row r="15" customFormat="false" ht="23.85" hidden="false" customHeight="false" outlineLevel="0" collapsed="false">
      <c r="A15" s="4" t="s">
        <v>280</v>
      </c>
      <c r="B15" s="21"/>
      <c r="C15" s="21"/>
      <c r="D15" s="21"/>
      <c r="E15" s="21"/>
      <c r="F15" s="21"/>
      <c r="G15" s="21"/>
      <c r="H15" s="4" t="n">
        <f aca="false">IFERROR(6-G15,"")</f>
        <v>6</v>
      </c>
      <c r="I15" s="21"/>
      <c r="J15" s="21"/>
      <c r="K15" s="21"/>
    </row>
    <row r="16" customFormat="false" ht="23.85" hidden="false" customHeight="false" outlineLevel="0" collapsed="false">
      <c r="A16" s="8" t="s">
        <v>281</v>
      </c>
      <c r="B16" s="20"/>
      <c r="C16" s="20"/>
      <c r="D16" s="20"/>
      <c r="E16" s="20"/>
      <c r="F16" s="20"/>
      <c r="G16" s="20"/>
      <c r="H16" s="8" t="n">
        <f aca="false">IFERROR(6-G16,"")</f>
        <v>6</v>
      </c>
      <c r="I16" s="20"/>
      <c r="J16" s="20"/>
      <c r="K16" s="20"/>
    </row>
    <row r="17" customFormat="false" ht="23.85" hidden="false" customHeight="false" outlineLevel="0" collapsed="false">
      <c r="A17" s="4" t="s">
        <v>282</v>
      </c>
      <c r="B17" s="21"/>
      <c r="C17" s="21"/>
      <c r="D17" s="21"/>
      <c r="E17" s="21"/>
      <c r="F17" s="21"/>
      <c r="G17" s="21"/>
      <c r="H17" s="4" t="n">
        <f aca="false">IFERROR(6-G17,"")</f>
        <v>6</v>
      </c>
      <c r="I17" s="21"/>
      <c r="J17" s="21"/>
      <c r="K17" s="21"/>
    </row>
    <row r="18" customFormat="false" ht="23.85" hidden="false" customHeight="false" outlineLevel="0" collapsed="false">
      <c r="A18" s="8" t="s">
        <v>283</v>
      </c>
      <c r="B18" s="20"/>
      <c r="C18" s="20"/>
      <c r="D18" s="20"/>
      <c r="E18" s="20"/>
      <c r="F18" s="20"/>
      <c r="G18" s="20"/>
      <c r="H18" s="8" t="n">
        <f aca="false">IFERROR(6-G18,"")</f>
        <v>6</v>
      </c>
      <c r="I18" s="20"/>
      <c r="J18" s="20"/>
      <c r="K18" s="20"/>
    </row>
    <row r="19" customFormat="false" ht="23.85" hidden="false" customHeight="false" outlineLevel="0" collapsed="false">
      <c r="A19" s="4" t="s">
        <v>284</v>
      </c>
      <c r="B19" s="21"/>
      <c r="C19" s="21"/>
      <c r="D19" s="21"/>
      <c r="E19" s="21"/>
      <c r="F19" s="21"/>
      <c r="G19" s="21"/>
      <c r="H19" s="4" t="n">
        <f aca="false">IFERROR(6-G19,"")</f>
        <v>6</v>
      </c>
      <c r="I19" s="21"/>
      <c r="J19" s="21"/>
      <c r="K19" s="21"/>
    </row>
    <row r="20" customFormat="false" ht="23.85" hidden="false" customHeight="false" outlineLevel="0" collapsed="false">
      <c r="A20" s="8" t="s">
        <v>285</v>
      </c>
      <c r="B20" s="20"/>
      <c r="C20" s="20"/>
      <c r="D20" s="20"/>
      <c r="E20" s="20"/>
      <c r="F20" s="20"/>
      <c r="G20" s="20"/>
      <c r="H20" s="8" t="n">
        <f aca="false">IFERROR(6-G20,"")</f>
        <v>6</v>
      </c>
      <c r="I20" s="20"/>
      <c r="J20" s="20"/>
      <c r="K20" s="20"/>
    </row>
    <row r="21" customFormat="false" ht="23.85" hidden="false" customHeight="false" outlineLevel="0" collapsed="false">
      <c r="A21" s="4" t="s">
        <v>286</v>
      </c>
      <c r="B21" s="21"/>
      <c r="C21" s="21"/>
      <c r="D21" s="21"/>
      <c r="E21" s="21"/>
      <c r="F21" s="21"/>
      <c r="G21" s="21"/>
      <c r="H21" s="4" t="n">
        <f aca="false">IFERROR(6-G21,"")</f>
        <v>6</v>
      </c>
      <c r="I21" s="21"/>
      <c r="J21" s="21"/>
      <c r="K21" s="21"/>
    </row>
    <row r="22" customFormat="false" ht="23.85" hidden="false" customHeight="false" outlineLevel="0" collapsed="false">
      <c r="A22" s="8" t="s">
        <v>287</v>
      </c>
      <c r="B22" s="20"/>
      <c r="C22" s="20"/>
      <c r="D22" s="20"/>
      <c r="E22" s="20"/>
      <c r="F22" s="20"/>
      <c r="G22" s="20"/>
      <c r="H22" s="8" t="n">
        <f aca="false">IFERROR(6-G22,"")</f>
        <v>6</v>
      </c>
      <c r="I22" s="20"/>
      <c r="J22" s="20"/>
      <c r="K22" s="20"/>
    </row>
    <row r="23" customFormat="false" ht="23.85" hidden="false" customHeight="false" outlineLevel="0" collapsed="false">
      <c r="A23" s="4" t="s">
        <v>288</v>
      </c>
      <c r="B23" s="21"/>
      <c r="C23" s="21"/>
      <c r="D23" s="21"/>
      <c r="E23" s="21"/>
      <c r="F23" s="21"/>
      <c r="G23" s="21"/>
      <c r="H23" s="4" t="n">
        <f aca="false">IFERROR(6-G23,"")</f>
        <v>6</v>
      </c>
      <c r="I23" s="21"/>
      <c r="J23" s="21"/>
      <c r="K23" s="21"/>
    </row>
    <row r="24" customFormat="false" ht="23.85" hidden="false" customHeight="false" outlineLevel="0" collapsed="false">
      <c r="A24" s="8" t="s">
        <v>289</v>
      </c>
      <c r="B24" s="20"/>
      <c r="C24" s="20"/>
      <c r="D24" s="20"/>
      <c r="E24" s="20"/>
      <c r="F24" s="20"/>
      <c r="G24" s="20"/>
      <c r="H24" s="8" t="n">
        <f aca="false">IFERROR(6-G24,"")</f>
        <v>6</v>
      </c>
      <c r="I24" s="20"/>
      <c r="J24" s="20"/>
      <c r="K24" s="20"/>
    </row>
    <row r="25" customFormat="false" ht="23.85" hidden="false" customHeight="false" outlineLevel="0" collapsed="false">
      <c r="A25" s="4" t="s">
        <v>290</v>
      </c>
      <c r="B25" s="21"/>
      <c r="C25" s="21"/>
      <c r="D25" s="21"/>
      <c r="E25" s="21"/>
      <c r="F25" s="21"/>
      <c r="G25" s="21"/>
      <c r="H25" s="4" t="n">
        <f aca="false">IFERROR(6-G25,"")</f>
        <v>6</v>
      </c>
      <c r="I25" s="21"/>
      <c r="J25" s="21"/>
      <c r="K25" s="21"/>
    </row>
    <row r="26" customFormat="false" ht="23.85" hidden="false" customHeight="false" outlineLevel="0" collapsed="false">
      <c r="A26" s="8" t="s">
        <v>291</v>
      </c>
      <c r="B26" s="20"/>
      <c r="C26" s="20"/>
      <c r="D26" s="20"/>
      <c r="E26" s="20"/>
      <c r="F26" s="20"/>
      <c r="G26" s="20"/>
      <c r="H26" s="8" t="n">
        <f aca="false">IFERROR(6-G26,"")</f>
        <v>6</v>
      </c>
      <c r="I26" s="20"/>
      <c r="J26" s="20"/>
      <c r="K26" s="20"/>
    </row>
    <row r="27" customFormat="false" ht="23.85" hidden="false" customHeight="false" outlineLevel="0" collapsed="false">
      <c r="A27" s="4" t="s">
        <v>292</v>
      </c>
      <c r="B27" s="21"/>
      <c r="C27" s="21"/>
      <c r="D27" s="21"/>
      <c r="E27" s="21"/>
      <c r="F27" s="21"/>
      <c r="G27" s="21"/>
      <c r="H27" s="4" t="n">
        <f aca="false">IFERROR(6-G27,"")</f>
        <v>6</v>
      </c>
      <c r="I27" s="21"/>
      <c r="J27" s="21"/>
      <c r="K27" s="21"/>
    </row>
    <row r="28" customFormat="false" ht="23.85" hidden="false" customHeight="false" outlineLevel="0" collapsed="false">
      <c r="A28" s="8" t="s">
        <v>293</v>
      </c>
      <c r="B28" s="20"/>
      <c r="C28" s="20"/>
      <c r="D28" s="20"/>
      <c r="E28" s="20"/>
      <c r="F28" s="20"/>
      <c r="G28" s="20"/>
      <c r="H28" s="8" t="n">
        <f aca="false">IFERROR(6-G28,"")</f>
        <v>6</v>
      </c>
      <c r="I28" s="20"/>
      <c r="J28" s="20"/>
      <c r="K28" s="20"/>
    </row>
    <row r="29" customFormat="false" ht="23.85" hidden="false" customHeight="false" outlineLevel="0" collapsed="false">
      <c r="A29" s="4" t="s">
        <v>294</v>
      </c>
      <c r="B29" s="21"/>
      <c r="C29" s="21"/>
      <c r="D29" s="21"/>
      <c r="E29" s="21"/>
      <c r="F29" s="21"/>
      <c r="G29" s="21"/>
      <c r="H29" s="4" t="n">
        <f aca="false">IFERROR(6-G29,"")</f>
        <v>6</v>
      </c>
      <c r="I29" s="21"/>
      <c r="J29" s="21"/>
      <c r="K29" s="21"/>
    </row>
    <row r="30" customFormat="false" ht="23.85" hidden="false" customHeight="false" outlineLevel="0" collapsed="false">
      <c r="A30" s="8" t="s">
        <v>295</v>
      </c>
      <c r="B30" s="20"/>
      <c r="C30" s="20"/>
      <c r="D30" s="20"/>
      <c r="E30" s="20"/>
      <c r="F30" s="20"/>
      <c r="G30" s="20"/>
      <c r="H30" s="8" t="n">
        <f aca="false">IFERROR(6-G30,"")</f>
        <v>6</v>
      </c>
      <c r="I30" s="20"/>
      <c r="J30" s="20"/>
      <c r="K30" s="20"/>
    </row>
    <row r="31" customFormat="false" ht="23.85" hidden="false" customHeight="false" outlineLevel="0" collapsed="false">
      <c r="A31" s="4" t="s">
        <v>296</v>
      </c>
      <c r="B31" s="21"/>
      <c r="C31" s="21"/>
      <c r="D31" s="21"/>
      <c r="E31" s="21"/>
      <c r="F31" s="21"/>
      <c r="G31" s="21"/>
      <c r="H31" s="4" t="n">
        <f aca="false">IFERROR(6-G31,"")</f>
        <v>6</v>
      </c>
      <c r="I31" s="21"/>
      <c r="J31" s="21"/>
      <c r="K31" s="21"/>
    </row>
    <row r="32" customFormat="false" ht="23.85" hidden="false" customHeight="false" outlineLevel="0" collapsed="false">
      <c r="A32" s="8" t="s">
        <v>297</v>
      </c>
      <c r="B32" s="20"/>
      <c r="C32" s="20"/>
      <c r="D32" s="20"/>
      <c r="E32" s="20"/>
      <c r="F32" s="20"/>
      <c r="G32" s="20"/>
      <c r="H32" s="8" t="n">
        <f aca="false">IFERROR(6-G32,"")</f>
        <v>6</v>
      </c>
      <c r="I32" s="20"/>
      <c r="J32" s="20"/>
      <c r="K32" s="20"/>
    </row>
    <row r="33" customFormat="false" ht="23.85" hidden="false" customHeight="false" outlineLevel="0" collapsed="false">
      <c r="A33" s="4" t="s">
        <v>298</v>
      </c>
      <c r="B33" s="21"/>
      <c r="C33" s="21"/>
      <c r="D33" s="21"/>
      <c r="E33" s="21"/>
      <c r="F33" s="21"/>
      <c r="G33" s="21"/>
      <c r="H33" s="4" t="n">
        <f aca="false">IFERROR(6-G33,"")</f>
        <v>6</v>
      </c>
      <c r="I33" s="21"/>
      <c r="J33" s="21"/>
      <c r="K33" s="21"/>
    </row>
    <row r="34" customFormat="false" ht="23.85" hidden="false" customHeight="false" outlineLevel="0" collapsed="false">
      <c r="A34" s="8" t="s">
        <v>299</v>
      </c>
      <c r="B34" s="20"/>
      <c r="C34" s="20"/>
      <c r="D34" s="20"/>
      <c r="E34" s="20"/>
      <c r="F34" s="20"/>
      <c r="G34" s="20"/>
      <c r="H34" s="8" t="n">
        <f aca="false">IFERROR(6-G34,"")</f>
        <v>6</v>
      </c>
      <c r="I34" s="20"/>
      <c r="J34" s="20"/>
      <c r="K34" s="20"/>
    </row>
    <row r="35" customFormat="false" ht="23.85" hidden="false" customHeight="false" outlineLevel="0" collapsed="false">
      <c r="A35" s="4" t="s">
        <v>300</v>
      </c>
      <c r="B35" s="21"/>
      <c r="C35" s="21"/>
      <c r="D35" s="21"/>
      <c r="E35" s="21"/>
      <c r="F35" s="21"/>
      <c r="G35" s="21"/>
      <c r="H35" s="4" t="n">
        <f aca="false">IFERROR(6-G35,"")</f>
        <v>6</v>
      </c>
      <c r="I35" s="21"/>
      <c r="J35" s="21"/>
      <c r="K35" s="21"/>
    </row>
    <row r="36" customFormat="false" ht="23.85" hidden="false" customHeight="false" outlineLevel="0" collapsed="false">
      <c r="A36" s="8" t="s">
        <v>301</v>
      </c>
      <c r="B36" s="20"/>
      <c r="C36" s="20"/>
      <c r="D36" s="20"/>
      <c r="E36" s="20"/>
      <c r="F36" s="20"/>
      <c r="G36" s="20"/>
      <c r="H36" s="8" t="n">
        <f aca="false">IFERROR(6-G36,"")</f>
        <v>6</v>
      </c>
      <c r="I36" s="20"/>
      <c r="J36" s="20"/>
      <c r="K36" s="20"/>
    </row>
    <row r="37" customFormat="false" ht="23.85" hidden="false" customHeight="false" outlineLevel="0" collapsed="false">
      <c r="A37" s="4" t="s">
        <v>302</v>
      </c>
      <c r="B37" s="21"/>
      <c r="C37" s="21"/>
      <c r="D37" s="21"/>
      <c r="E37" s="21"/>
      <c r="F37" s="21"/>
      <c r="G37" s="21"/>
      <c r="H37" s="4" t="n">
        <f aca="false">IFERROR(6-G37,"")</f>
        <v>6</v>
      </c>
      <c r="I37" s="21"/>
      <c r="J37" s="21"/>
      <c r="K37" s="21"/>
    </row>
    <row r="38" customFormat="false" ht="23.85" hidden="false" customHeight="false" outlineLevel="0" collapsed="false">
      <c r="A38" s="8" t="s">
        <v>303</v>
      </c>
      <c r="B38" s="20"/>
      <c r="C38" s="20"/>
      <c r="D38" s="20"/>
      <c r="E38" s="20"/>
      <c r="F38" s="20"/>
      <c r="G38" s="20"/>
      <c r="H38" s="8" t="n">
        <f aca="false">IFERROR(6-G38,"")</f>
        <v>6</v>
      </c>
      <c r="I38" s="20"/>
      <c r="J38" s="20"/>
      <c r="K38" s="20"/>
    </row>
    <row r="39" customFormat="false" ht="23.85" hidden="false" customHeight="false" outlineLevel="0" collapsed="false">
      <c r="A39" s="4" t="s">
        <v>304</v>
      </c>
      <c r="B39" s="21"/>
      <c r="C39" s="21"/>
      <c r="D39" s="21"/>
      <c r="E39" s="21"/>
      <c r="F39" s="21"/>
      <c r="G39" s="21"/>
      <c r="H39" s="4" t="n">
        <f aca="false">IFERROR(6-G39,"")</f>
        <v>6</v>
      </c>
      <c r="I39" s="21"/>
      <c r="J39" s="21"/>
      <c r="K39" s="21"/>
    </row>
    <row r="40" customFormat="false" ht="23.85" hidden="false" customHeight="false" outlineLevel="0" collapsed="false">
      <c r="A40" s="8" t="s">
        <v>305</v>
      </c>
      <c r="B40" s="20"/>
      <c r="C40" s="20"/>
      <c r="D40" s="20"/>
      <c r="E40" s="20"/>
      <c r="F40" s="20"/>
      <c r="G40" s="20"/>
      <c r="H40" s="8" t="n">
        <f aca="false">IFERROR(6-G40,"")</f>
        <v>6</v>
      </c>
      <c r="I40" s="20"/>
      <c r="J40" s="20"/>
      <c r="K40" s="20"/>
    </row>
    <row r="41" customFormat="false" ht="23.85" hidden="false" customHeight="false" outlineLevel="0" collapsed="false">
      <c r="A41" s="4" t="s">
        <v>306</v>
      </c>
      <c r="B41" s="21"/>
      <c r="C41" s="21"/>
      <c r="D41" s="21"/>
      <c r="E41" s="21"/>
      <c r="F41" s="21"/>
      <c r="G41" s="21"/>
      <c r="H41" s="4" t="n">
        <f aca="false">IFERROR(6-G41,"")</f>
        <v>6</v>
      </c>
      <c r="I41" s="21"/>
      <c r="J41" s="21"/>
      <c r="K41" s="21"/>
    </row>
    <row r="42" customFormat="false" ht="23.85" hidden="false" customHeight="false" outlineLevel="0" collapsed="false">
      <c r="A42" s="8" t="s">
        <v>307</v>
      </c>
      <c r="B42" s="20"/>
      <c r="C42" s="20"/>
      <c r="D42" s="20"/>
      <c r="E42" s="20"/>
      <c r="F42" s="20"/>
      <c r="G42" s="20"/>
      <c r="H42" s="8" t="n">
        <f aca="false">IFERROR(6-G42,"")</f>
        <v>6</v>
      </c>
      <c r="I42" s="20"/>
      <c r="J42" s="20"/>
      <c r="K42" s="20"/>
    </row>
    <row r="43" customFormat="false" ht="23.85" hidden="false" customHeight="false" outlineLevel="0" collapsed="false">
      <c r="A43" s="4" t="s">
        <v>308</v>
      </c>
      <c r="B43" s="21"/>
      <c r="C43" s="21"/>
      <c r="D43" s="21"/>
      <c r="E43" s="21"/>
      <c r="F43" s="21"/>
      <c r="G43" s="21"/>
      <c r="H43" s="4" t="n">
        <f aca="false">IFERROR(6-G43,"")</f>
        <v>6</v>
      </c>
      <c r="I43" s="21"/>
      <c r="J43" s="21"/>
      <c r="K43" s="21"/>
    </row>
    <row r="44" customFormat="false" ht="23.85" hidden="false" customHeight="false" outlineLevel="0" collapsed="false">
      <c r="A44" s="8" t="s">
        <v>309</v>
      </c>
      <c r="B44" s="20"/>
      <c r="C44" s="20"/>
      <c r="D44" s="20"/>
      <c r="E44" s="20"/>
      <c r="F44" s="20"/>
      <c r="G44" s="20"/>
      <c r="H44" s="8" t="n">
        <f aca="false">IFERROR(6-G44,"")</f>
        <v>6</v>
      </c>
      <c r="I44" s="20"/>
      <c r="J44" s="20"/>
      <c r="K44" s="20"/>
    </row>
    <row r="45" customFormat="false" ht="23.85" hidden="false" customHeight="false" outlineLevel="0" collapsed="false">
      <c r="A45" s="4" t="s">
        <v>310</v>
      </c>
      <c r="B45" s="21"/>
      <c r="C45" s="21"/>
      <c r="D45" s="21"/>
      <c r="E45" s="21"/>
      <c r="F45" s="21"/>
      <c r="G45" s="21"/>
      <c r="H45" s="4" t="n">
        <f aca="false">IFERROR(6-G45,"")</f>
        <v>6</v>
      </c>
      <c r="I45" s="21"/>
      <c r="J45" s="21"/>
      <c r="K45" s="21"/>
    </row>
    <row r="46" customFormat="false" ht="23.85" hidden="false" customHeight="false" outlineLevel="0" collapsed="false">
      <c r="A46" s="8" t="s">
        <v>311</v>
      </c>
      <c r="B46" s="20"/>
      <c r="C46" s="20"/>
      <c r="D46" s="20"/>
      <c r="E46" s="20"/>
      <c r="F46" s="20"/>
      <c r="G46" s="20"/>
      <c r="H46" s="8" t="n">
        <f aca="false">IFERROR(6-G46,"")</f>
        <v>6</v>
      </c>
      <c r="I46" s="20"/>
      <c r="J46" s="20"/>
      <c r="K46" s="20"/>
    </row>
    <row r="47" customFormat="false" ht="23.85" hidden="false" customHeight="false" outlineLevel="0" collapsed="false">
      <c r="A47" s="4" t="s">
        <v>312</v>
      </c>
      <c r="B47" s="21"/>
      <c r="C47" s="21"/>
      <c r="D47" s="21"/>
      <c r="E47" s="21"/>
      <c r="F47" s="21"/>
      <c r="G47" s="21"/>
      <c r="H47" s="4" t="n">
        <f aca="false">IFERROR(6-G47,"")</f>
        <v>6</v>
      </c>
      <c r="I47" s="21"/>
      <c r="J47" s="21"/>
      <c r="K47" s="21"/>
    </row>
    <row r="48" customFormat="false" ht="23.85" hidden="false" customHeight="false" outlineLevel="0" collapsed="false">
      <c r="A48" s="8" t="s">
        <v>313</v>
      </c>
      <c r="B48" s="20"/>
      <c r="C48" s="20"/>
      <c r="D48" s="20"/>
      <c r="E48" s="20"/>
      <c r="F48" s="20"/>
      <c r="G48" s="20"/>
      <c r="H48" s="8" t="n">
        <f aca="false">IFERROR(6-G48,"")</f>
        <v>6</v>
      </c>
      <c r="I48" s="20"/>
      <c r="J48" s="20"/>
      <c r="K48" s="20"/>
    </row>
    <row r="49" customFormat="false" ht="23.85" hidden="false" customHeight="false" outlineLevel="0" collapsed="false">
      <c r="A49" s="4" t="s">
        <v>314</v>
      </c>
      <c r="B49" s="21"/>
      <c r="C49" s="21"/>
      <c r="D49" s="21"/>
      <c r="E49" s="21"/>
      <c r="F49" s="21"/>
      <c r="G49" s="21"/>
      <c r="H49" s="4" t="n">
        <f aca="false">IFERROR(6-G49,"")</f>
        <v>6</v>
      </c>
      <c r="I49" s="21"/>
      <c r="J49" s="21"/>
      <c r="K49" s="21"/>
    </row>
    <row r="50" customFormat="false" ht="23.85" hidden="false" customHeight="false" outlineLevel="0" collapsed="false">
      <c r="A50" s="8" t="s">
        <v>315</v>
      </c>
      <c r="B50" s="20"/>
      <c r="C50" s="20"/>
      <c r="D50" s="20"/>
      <c r="E50" s="20"/>
      <c r="F50" s="20"/>
      <c r="G50" s="20"/>
      <c r="H50" s="8" t="n">
        <f aca="false">IFERROR(6-G50,"")</f>
        <v>6</v>
      </c>
      <c r="I50" s="20"/>
      <c r="J50" s="20"/>
      <c r="K50" s="20"/>
    </row>
    <row r="51" customFormat="false" ht="23.85" hidden="false" customHeight="false" outlineLevel="0" collapsed="false">
      <c r="A51" s="4" t="s">
        <v>316</v>
      </c>
      <c r="B51" s="21"/>
      <c r="C51" s="21"/>
      <c r="D51" s="21"/>
      <c r="E51" s="21"/>
      <c r="F51" s="21"/>
      <c r="G51" s="21"/>
      <c r="H51" s="4" t="n">
        <f aca="false">IFERROR(6-G51,"")</f>
        <v>6</v>
      </c>
      <c r="I51" s="21"/>
      <c r="J51" s="21"/>
      <c r="K51" s="21"/>
    </row>
    <row r="52" customFormat="false" ht="23.85" hidden="false" customHeight="false" outlineLevel="0" collapsed="false">
      <c r="A52" s="8" t="s">
        <v>317</v>
      </c>
      <c r="B52" s="20"/>
      <c r="C52" s="20"/>
      <c r="D52" s="20"/>
      <c r="E52" s="20"/>
      <c r="F52" s="20"/>
      <c r="G52" s="20"/>
      <c r="H52" s="8" t="n">
        <f aca="false">IFERROR(6-G52,"")</f>
        <v>6</v>
      </c>
      <c r="I52" s="20"/>
      <c r="J52" s="20"/>
      <c r="K52" s="20"/>
    </row>
    <row r="53" customFormat="false" ht="23.85" hidden="false" customHeight="false" outlineLevel="0" collapsed="false">
      <c r="A53" s="4" t="s">
        <v>318</v>
      </c>
      <c r="B53" s="21"/>
      <c r="C53" s="21"/>
      <c r="D53" s="21"/>
      <c r="E53" s="21"/>
      <c r="F53" s="21"/>
      <c r="G53" s="21"/>
      <c r="H53" s="4" t="n">
        <f aca="false">IFERROR(6-G53,"")</f>
        <v>6</v>
      </c>
      <c r="I53" s="21"/>
      <c r="J53" s="21"/>
      <c r="K53" s="21"/>
    </row>
    <row r="54" customFormat="false" ht="23.85" hidden="false" customHeight="false" outlineLevel="0" collapsed="false">
      <c r="A54" s="8" t="s">
        <v>319</v>
      </c>
      <c r="B54" s="20"/>
      <c r="C54" s="20"/>
      <c r="D54" s="20"/>
      <c r="E54" s="20"/>
      <c r="F54" s="20"/>
      <c r="G54" s="20"/>
      <c r="H54" s="8" t="n">
        <f aca="false">IFERROR(6-G54,"")</f>
        <v>6</v>
      </c>
      <c r="I54" s="20"/>
      <c r="J54" s="20"/>
      <c r="K54" s="20"/>
    </row>
    <row r="55" customFormat="false" ht="23.85" hidden="false" customHeight="false" outlineLevel="0" collapsed="false">
      <c r="A55" s="4" t="s">
        <v>320</v>
      </c>
      <c r="B55" s="21"/>
      <c r="C55" s="21"/>
      <c r="D55" s="21"/>
      <c r="E55" s="21"/>
      <c r="F55" s="21"/>
      <c r="G55" s="21"/>
      <c r="H55" s="4" t="n">
        <f aca="false">IFERROR(6-G55,"")</f>
        <v>6</v>
      </c>
      <c r="I55" s="21"/>
      <c r="J55" s="21"/>
      <c r="K55" s="21"/>
    </row>
    <row r="56" customFormat="false" ht="23.85" hidden="false" customHeight="false" outlineLevel="0" collapsed="false">
      <c r="A56" s="8" t="s">
        <v>321</v>
      </c>
      <c r="B56" s="20"/>
      <c r="C56" s="20"/>
      <c r="D56" s="20"/>
      <c r="E56" s="20"/>
      <c r="F56" s="20"/>
      <c r="G56" s="20"/>
      <c r="H56" s="8" t="n">
        <f aca="false">IFERROR(6-G56,"")</f>
        <v>6</v>
      </c>
      <c r="I56" s="20"/>
      <c r="J56" s="20"/>
      <c r="K56" s="20"/>
    </row>
    <row r="57" customFormat="false" ht="23.85" hidden="false" customHeight="false" outlineLevel="0" collapsed="false">
      <c r="A57" s="4" t="s">
        <v>322</v>
      </c>
      <c r="B57" s="21"/>
      <c r="C57" s="21"/>
      <c r="D57" s="21"/>
      <c r="E57" s="21"/>
      <c r="F57" s="21"/>
      <c r="G57" s="21"/>
      <c r="H57" s="4" t="n">
        <f aca="false">IFERROR(6-G57,"")</f>
        <v>6</v>
      </c>
      <c r="I57" s="21"/>
      <c r="J57" s="21"/>
      <c r="K57" s="21"/>
    </row>
    <row r="58" customFormat="false" ht="23.85" hidden="false" customHeight="false" outlineLevel="0" collapsed="false">
      <c r="A58" s="8" t="s">
        <v>323</v>
      </c>
      <c r="B58" s="20"/>
      <c r="C58" s="20"/>
      <c r="D58" s="20"/>
      <c r="E58" s="20"/>
      <c r="F58" s="20"/>
      <c r="G58" s="20"/>
      <c r="H58" s="8" t="n">
        <f aca="false">IFERROR(6-G58,"")</f>
        <v>6</v>
      </c>
      <c r="I58" s="20"/>
      <c r="J58" s="20"/>
      <c r="K58" s="20"/>
    </row>
    <row r="59" customFormat="false" ht="23.85" hidden="false" customHeight="false" outlineLevel="0" collapsed="false">
      <c r="A59" s="4" t="s">
        <v>324</v>
      </c>
      <c r="B59" s="21"/>
      <c r="C59" s="21"/>
      <c r="D59" s="21"/>
      <c r="E59" s="21"/>
      <c r="F59" s="21"/>
      <c r="G59" s="21"/>
      <c r="H59" s="4" t="n">
        <f aca="false">IFERROR(6-G59,"")</f>
        <v>6</v>
      </c>
      <c r="I59" s="21"/>
      <c r="J59" s="21"/>
      <c r="K59" s="21"/>
    </row>
    <row r="60" customFormat="false" ht="23.85" hidden="false" customHeight="false" outlineLevel="0" collapsed="false">
      <c r="A60" s="8" t="s">
        <v>325</v>
      </c>
      <c r="B60" s="20"/>
      <c r="C60" s="20"/>
      <c r="D60" s="20"/>
      <c r="E60" s="20"/>
      <c r="F60" s="20"/>
      <c r="G60" s="20"/>
      <c r="H60" s="8" t="n">
        <f aca="false">IFERROR(6-G60,"")</f>
        <v>6</v>
      </c>
      <c r="I60" s="20"/>
      <c r="J60" s="20"/>
      <c r="K60" s="20"/>
    </row>
    <row r="61" customFormat="false" ht="23.85" hidden="false" customHeight="false" outlineLevel="0" collapsed="false">
      <c r="A61" s="4" t="s">
        <v>326</v>
      </c>
      <c r="B61" s="21"/>
      <c r="C61" s="21"/>
      <c r="D61" s="21"/>
      <c r="E61" s="21"/>
      <c r="F61" s="21"/>
      <c r="G61" s="21"/>
      <c r="H61" s="4" t="n">
        <f aca="false">IFERROR(6-G61,"")</f>
        <v>6</v>
      </c>
      <c r="I61" s="21"/>
      <c r="J61" s="21"/>
      <c r="K61" s="21"/>
    </row>
    <row r="62" customFormat="false" ht="23.85" hidden="false" customHeight="false" outlineLevel="0" collapsed="false">
      <c r="A62" s="8" t="s">
        <v>327</v>
      </c>
      <c r="B62" s="20"/>
      <c r="C62" s="20"/>
      <c r="D62" s="20"/>
      <c r="E62" s="20"/>
      <c r="F62" s="20"/>
      <c r="G62" s="20"/>
      <c r="H62" s="8" t="n">
        <f aca="false">IFERROR(6-G62,"")</f>
        <v>6</v>
      </c>
      <c r="I62" s="20"/>
      <c r="J62" s="20"/>
      <c r="K62" s="20"/>
    </row>
    <row r="63" customFormat="false" ht="23.85" hidden="false" customHeight="false" outlineLevel="0" collapsed="false">
      <c r="A63" s="4" t="s">
        <v>328</v>
      </c>
      <c r="B63" s="21"/>
      <c r="C63" s="21"/>
      <c r="D63" s="21"/>
      <c r="E63" s="21"/>
      <c r="F63" s="21"/>
      <c r="G63" s="21"/>
      <c r="H63" s="4" t="n">
        <f aca="false">IFERROR(6-G63,"")</f>
        <v>6</v>
      </c>
      <c r="I63" s="21"/>
      <c r="J63" s="21"/>
      <c r="K63" s="21"/>
    </row>
    <row r="64" customFormat="false" ht="23.85" hidden="false" customHeight="false" outlineLevel="0" collapsed="false">
      <c r="A64" s="8" t="s">
        <v>329</v>
      </c>
      <c r="B64" s="20"/>
      <c r="C64" s="20"/>
      <c r="D64" s="20"/>
      <c r="E64" s="20"/>
      <c r="F64" s="20"/>
      <c r="G64" s="20"/>
      <c r="H64" s="8" t="n">
        <f aca="false">IFERROR(6-G64,"")</f>
        <v>6</v>
      </c>
      <c r="I64" s="20"/>
      <c r="J64" s="20"/>
      <c r="K64" s="20"/>
    </row>
    <row r="65" customFormat="false" ht="23.85" hidden="false" customHeight="false" outlineLevel="0" collapsed="false">
      <c r="A65" s="4" t="s">
        <v>330</v>
      </c>
      <c r="B65" s="21"/>
      <c r="C65" s="21"/>
      <c r="D65" s="21"/>
      <c r="E65" s="21"/>
      <c r="F65" s="21"/>
      <c r="G65" s="21"/>
      <c r="H65" s="4" t="n">
        <f aca="false">IFERROR(6-G65,"")</f>
        <v>6</v>
      </c>
      <c r="I65" s="21"/>
      <c r="J65" s="21"/>
      <c r="K65" s="21"/>
    </row>
    <row r="66" customFormat="false" ht="23.85" hidden="false" customHeight="false" outlineLevel="0" collapsed="false">
      <c r="A66" s="8" t="s">
        <v>331</v>
      </c>
      <c r="B66" s="20"/>
      <c r="C66" s="20"/>
      <c r="D66" s="20"/>
      <c r="E66" s="20"/>
      <c r="F66" s="20"/>
      <c r="G66" s="20"/>
      <c r="H66" s="8" t="n">
        <f aca="false">IFERROR(6-G66,"")</f>
        <v>6</v>
      </c>
      <c r="I66" s="20"/>
      <c r="J66" s="20"/>
      <c r="K66" s="20"/>
    </row>
    <row r="67" customFormat="false" ht="23.85" hidden="false" customHeight="false" outlineLevel="0" collapsed="false">
      <c r="A67" s="4" t="s">
        <v>332</v>
      </c>
      <c r="B67" s="21"/>
      <c r="C67" s="21"/>
      <c r="D67" s="21"/>
      <c r="E67" s="21"/>
      <c r="F67" s="21"/>
      <c r="G67" s="21"/>
      <c r="H67" s="4" t="n">
        <f aca="false">IFERROR(6-G67,"")</f>
        <v>6</v>
      </c>
      <c r="I67" s="21"/>
      <c r="J67" s="21"/>
      <c r="K67" s="21"/>
    </row>
    <row r="68" customFormat="false" ht="23.85" hidden="false" customHeight="false" outlineLevel="0" collapsed="false">
      <c r="A68" s="8" t="s">
        <v>333</v>
      </c>
      <c r="B68" s="20"/>
      <c r="C68" s="20"/>
      <c r="D68" s="20"/>
      <c r="E68" s="20"/>
      <c r="F68" s="20"/>
      <c r="G68" s="20"/>
      <c r="H68" s="8" t="n">
        <f aca="false">IFERROR(6-G68,"")</f>
        <v>6</v>
      </c>
      <c r="I68" s="20"/>
      <c r="J68" s="20"/>
      <c r="K68" s="20"/>
    </row>
    <row r="69" customFormat="false" ht="23.85" hidden="false" customHeight="false" outlineLevel="0" collapsed="false">
      <c r="A69" s="4" t="s">
        <v>334</v>
      </c>
      <c r="B69" s="21"/>
      <c r="C69" s="21"/>
      <c r="D69" s="21"/>
      <c r="E69" s="21"/>
      <c r="F69" s="21"/>
      <c r="G69" s="21"/>
      <c r="H69" s="4" t="n">
        <f aca="false">IFERROR(6-G69,"")</f>
        <v>6</v>
      </c>
      <c r="I69" s="21"/>
      <c r="J69" s="21"/>
      <c r="K69" s="21"/>
    </row>
    <row r="70" customFormat="false" ht="23.85" hidden="false" customHeight="false" outlineLevel="0" collapsed="false">
      <c r="A70" s="8" t="s">
        <v>335</v>
      </c>
      <c r="B70" s="20"/>
      <c r="C70" s="20"/>
      <c r="D70" s="20"/>
      <c r="E70" s="20"/>
      <c r="F70" s="20"/>
      <c r="G70" s="20"/>
      <c r="H70" s="8" t="n">
        <f aca="false">IFERROR(6-G70,"")</f>
        <v>6</v>
      </c>
      <c r="I70" s="20"/>
      <c r="J70" s="20"/>
      <c r="K70" s="20"/>
    </row>
    <row r="71" customFormat="false" ht="23.85" hidden="false" customHeight="false" outlineLevel="0" collapsed="false">
      <c r="A71" s="4" t="s">
        <v>336</v>
      </c>
      <c r="B71" s="21"/>
      <c r="C71" s="21"/>
      <c r="D71" s="21"/>
      <c r="E71" s="21"/>
      <c r="F71" s="21"/>
      <c r="G71" s="21"/>
      <c r="H71" s="4" t="n">
        <f aca="false">IFERROR(6-G71,"")</f>
        <v>6</v>
      </c>
      <c r="I71" s="21"/>
      <c r="J71" s="21"/>
      <c r="K71" s="21"/>
    </row>
    <row r="72" customFormat="false" ht="23.85" hidden="false" customHeight="false" outlineLevel="0" collapsed="false">
      <c r="A72" s="8" t="s">
        <v>337</v>
      </c>
      <c r="B72" s="20"/>
      <c r="C72" s="20"/>
      <c r="D72" s="20"/>
      <c r="E72" s="20"/>
      <c r="F72" s="20"/>
      <c r="G72" s="20"/>
      <c r="H72" s="8" t="n">
        <f aca="false">IFERROR(6-G72,"")</f>
        <v>6</v>
      </c>
      <c r="I72" s="20"/>
      <c r="J72" s="20"/>
      <c r="K72" s="20"/>
    </row>
    <row r="73" customFormat="false" ht="23.85" hidden="false" customHeight="false" outlineLevel="0" collapsed="false">
      <c r="A73" s="4" t="s">
        <v>338</v>
      </c>
      <c r="B73" s="21"/>
      <c r="C73" s="21"/>
      <c r="D73" s="21"/>
      <c r="E73" s="21"/>
      <c r="F73" s="21"/>
      <c r="G73" s="21"/>
      <c r="H73" s="4" t="n">
        <f aca="false">IFERROR(6-G73,"")</f>
        <v>6</v>
      </c>
      <c r="I73" s="21"/>
      <c r="J73" s="21"/>
      <c r="K73" s="21"/>
    </row>
    <row r="74" customFormat="false" ht="23.85" hidden="false" customHeight="false" outlineLevel="0" collapsed="false">
      <c r="A74" s="8" t="s">
        <v>339</v>
      </c>
      <c r="B74" s="20"/>
      <c r="C74" s="20"/>
      <c r="D74" s="20"/>
      <c r="E74" s="20"/>
      <c r="F74" s="20"/>
      <c r="G74" s="20"/>
      <c r="H74" s="8" t="n">
        <f aca="false">IFERROR(6-G74,"")</f>
        <v>6</v>
      </c>
      <c r="I74" s="20"/>
      <c r="J74" s="20"/>
      <c r="K74" s="20"/>
    </row>
    <row r="75" customFormat="false" ht="23.85" hidden="false" customHeight="false" outlineLevel="0" collapsed="false">
      <c r="A75" s="4" t="s">
        <v>340</v>
      </c>
      <c r="B75" s="21"/>
      <c r="C75" s="21"/>
      <c r="D75" s="21"/>
      <c r="E75" s="21"/>
      <c r="F75" s="21"/>
      <c r="G75" s="21"/>
      <c r="H75" s="4" t="n">
        <f aca="false">IFERROR(6-G75,"")</f>
        <v>6</v>
      </c>
      <c r="I75" s="21"/>
      <c r="J75" s="21"/>
      <c r="K75" s="21"/>
    </row>
    <row r="76" customFormat="false" ht="23.85" hidden="false" customHeight="false" outlineLevel="0" collapsed="false">
      <c r="A76" s="8" t="s">
        <v>341</v>
      </c>
      <c r="B76" s="20"/>
      <c r="C76" s="20"/>
      <c r="D76" s="20"/>
      <c r="E76" s="20"/>
      <c r="F76" s="20"/>
      <c r="G76" s="20"/>
      <c r="H76" s="8" t="n">
        <f aca="false">IFERROR(6-G76,"")</f>
        <v>6</v>
      </c>
      <c r="I76" s="20"/>
      <c r="J76" s="20"/>
      <c r="K76" s="20"/>
    </row>
    <row r="77" customFormat="false" ht="23.85" hidden="false" customHeight="false" outlineLevel="0" collapsed="false">
      <c r="A77" s="4" t="s">
        <v>342</v>
      </c>
      <c r="B77" s="21"/>
      <c r="C77" s="21"/>
      <c r="D77" s="21"/>
      <c r="E77" s="21"/>
      <c r="F77" s="21"/>
      <c r="G77" s="21"/>
      <c r="H77" s="4" t="n">
        <f aca="false">IFERROR(6-G77,"")</f>
        <v>6</v>
      </c>
      <c r="I77" s="21"/>
      <c r="J77" s="21"/>
      <c r="K77" s="21"/>
    </row>
    <row r="78" customFormat="false" ht="23.85" hidden="false" customHeight="false" outlineLevel="0" collapsed="false">
      <c r="A78" s="8" t="s">
        <v>343</v>
      </c>
      <c r="B78" s="20"/>
      <c r="C78" s="20"/>
      <c r="D78" s="20"/>
      <c r="E78" s="20"/>
      <c r="F78" s="20"/>
      <c r="G78" s="20"/>
      <c r="H78" s="8" t="n">
        <f aca="false">IFERROR(6-G78,"")</f>
        <v>6</v>
      </c>
      <c r="I78" s="20"/>
      <c r="J78" s="20"/>
      <c r="K78" s="20"/>
    </row>
    <row r="79" customFormat="false" ht="23.85" hidden="false" customHeight="false" outlineLevel="0" collapsed="false">
      <c r="A79" s="4" t="s">
        <v>344</v>
      </c>
      <c r="B79" s="21"/>
      <c r="C79" s="21"/>
      <c r="D79" s="21"/>
      <c r="E79" s="21"/>
      <c r="F79" s="21"/>
      <c r="G79" s="21"/>
      <c r="H79" s="4" t="n">
        <f aca="false">IFERROR(6-G79,"")</f>
        <v>6</v>
      </c>
      <c r="I79" s="21"/>
      <c r="J79" s="21"/>
      <c r="K79" s="21"/>
    </row>
    <row r="80" customFormat="false" ht="23.85" hidden="false" customHeight="false" outlineLevel="0" collapsed="false">
      <c r="A80" s="8" t="s">
        <v>345</v>
      </c>
      <c r="B80" s="20"/>
      <c r="C80" s="20"/>
      <c r="D80" s="20"/>
      <c r="E80" s="20"/>
      <c r="F80" s="20"/>
      <c r="G80" s="20"/>
      <c r="H80" s="8" t="n">
        <f aca="false">IFERROR(6-G80,"")</f>
        <v>6</v>
      </c>
      <c r="I80" s="20"/>
      <c r="J80" s="20"/>
      <c r="K80" s="20"/>
    </row>
    <row r="81" customFormat="false" ht="23.85" hidden="false" customHeight="false" outlineLevel="0" collapsed="false">
      <c r="A81" s="4" t="s">
        <v>346</v>
      </c>
      <c r="B81" s="21"/>
      <c r="C81" s="21"/>
      <c r="D81" s="21"/>
      <c r="E81" s="21"/>
      <c r="F81" s="21"/>
      <c r="G81" s="21"/>
      <c r="H81" s="4" t="n">
        <f aca="false">IFERROR(6-G81,"")</f>
        <v>6</v>
      </c>
      <c r="I81" s="21"/>
      <c r="J81" s="21"/>
      <c r="K81" s="21"/>
    </row>
    <row r="82" customFormat="false" ht="23.85" hidden="false" customHeight="false" outlineLevel="0" collapsed="false">
      <c r="A82" s="8" t="s">
        <v>347</v>
      </c>
      <c r="B82" s="20"/>
      <c r="C82" s="20"/>
      <c r="D82" s="20"/>
      <c r="E82" s="20"/>
      <c r="F82" s="20"/>
      <c r="G82" s="20"/>
      <c r="H82" s="8" t="n">
        <f aca="false">IFERROR(6-G82,"")</f>
        <v>6</v>
      </c>
      <c r="I82" s="20"/>
      <c r="J82" s="20"/>
      <c r="K82" s="20"/>
    </row>
    <row r="83" customFormat="false" ht="23.85" hidden="false" customHeight="false" outlineLevel="0" collapsed="false">
      <c r="A83" s="4" t="s">
        <v>348</v>
      </c>
      <c r="B83" s="21"/>
      <c r="C83" s="21"/>
      <c r="D83" s="21"/>
      <c r="E83" s="21"/>
      <c r="F83" s="21"/>
      <c r="G83" s="21"/>
      <c r="H83" s="4" t="n">
        <f aca="false">IFERROR(6-G83,"")</f>
        <v>6</v>
      </c>
      <c r="I83" s="21"/>
      <c r="J83" s="21"/>
      <c r="K83" s="21"/>
    </row>
    <row r="84" customFormat="false" ht="23.85" hidden="false" customHeight="false" outlineLevel="0" collapsed="false">
      <c r="A84" s="8" t="s">
        <v>349</v>
      </c>
      <c r="B84" s="20"/>
      <c r="C84" s="20"/>
      <c r="D84" s="20"/>
      <c r="E84" s="20"/>
      <c r="F84" s="20"/>
      <c r="G84" s="20"/>
      <c r="H84" s="8" t="n">
        <f aca="false">IFERROR(6-G84,"")</f>
        <v>6</v>
      </c>
      <c r="I84" s="20"/>
      <c r="J84" s="20"/>
      <c r="K84" s="20"/>
    </row>
    <row r="85" customFormat="false" ht="23.85" hidden="false" customHeight="false" outlineLevel="0" collapsed="false">
      <c r="A85" s="4" t="s">
        <v>350</v>
      </c>
      <c r="B85" s="21"/>
      <c r="C85" s="21"/>
      <c r="D85" s="21"/>
      <c r="E85" s="21"/>
      <c r="F85" s="21"/>
      <c r="G85" s="21"/>
      <c r="H85" s="4" t="n">
        <f aca="false">IFERROR(6-G85,"")</f>
        <v>6</v>
      </c>
      <c r="I85" s="21"/>
      <c r="J85" s="21"/>
      <c r="K85" s="21"/>
    </row>
    <row r="86" customFormat="false" ht="23.85" hidden="false" customHeight="false" outlineLevel="0" collapsed="false">
      <c r="A86" s="8" t="s">
        <v>351</v>
      </c>
      <c r="B86" s="20"/>
      <c r="C86" s="20"/>
      <c r="D86" s="20"/>
      <c r="E86" s="20"/>
      <c r="F86" s="20"/>
      <c r="G86" s="20"/>
      <c r="H86" s="8" t="n">
        <f aca="false">IFERROR(6-G86,"")</f>
        <v>6</v>
      </c>
      <c r="I86" s="20"/>
      <c r="J86" s="20"/>
      <c r="K86" s="20"/>
    </row>
    <row r="87" customFormat="false" ht="23.85" hidden="false" customHeight="false" outlineLevel="0" collapsed="false">
      <c r="A87" s="4" t="s">
        <v>352</v>
      </c>
      <c r="B87" s="21"/>
      <c r="C87" s="21"/>
      <c r="D87" s="21"/>
      <c r="E87" s="21"/>
      <c r="F87" s="21"/>
      <c r="G87" s="21"/>
      <c r="H87" s="4" t="n">
        <f aca="false">IFERROR(6-G87,"")</f>
        <v>6</v>
      </c>
      <c r="I87" s="21"/>
      <c r="J87" s="21"/>
      <c r="K87" s="21"/>
    </row>
    <row r="88" customFormat="false" ht="23.85" hidden="false" customHeight="false" outlineLevel="0" collapsed="false">
      <c r="A88" s="8" t="s">
        <v>353</v>
      </c>
      <c r="B88" s="20"/>
      <c r="C88" s="20"/>
      <c r="D88" s="20"/>
      <c r="E88" s="20"/>
      <c r="F88" s="20"/>
      <c r="G88" s="20"/>
      <c r="H88" s="8" t="n">
        <f aca="false">IFERROR(6-G88,"")</f>
        <v>6</v>
      </c>
      <c r="I88" s="20"/>
      <c r="J88" s="20"/>
      <c r="K88" s="20"/>
    </row>
    <row r="89" customFormat="false" ht="23.85" hidden="false" customHeight="false" outlineLevel="0" collapsed="false">
      <c r="A89" s="4" t="s">
        <v>354</v>
      </c>
      <c r="B89" s="21"/>
      <c r="C89" s="21"/>
      <c r="D89" s="21"/>
      <c r="E89" s="21"/>
      <c r="F89" s="21"/>
      <c r="G89" s="21"/>
      <c r="H89" s="4" t="n">
        <f aca="false">IFERROR(6-G89,"")</f>
        <v>6</v>
      </c>
      <c r="I89" s="21"/>
      <c r="J89" s="21"/>
      <c r="K89" s="21"/>
    </row>
    <row r="90" customFormat="false" ht="23.85" hidden="false" customHeight="false" outlineLevel="0" collapsed="false">
      <c r="A90" s="8" t="s">
        <v>355</v>
      </c>
      <c r="B90" s="20"/>
      <c r="C90" s="20"/>
      <c r="D90" s="20"/>
      <c r="E90" s="20"/>
      <c r="F90" s="20"/>
      <c r="G90" s="20"/>
      <c r="H90" s="8" t="n">
        <f aca="false">IFERROR(6-G90,"")</f>
        <v>6</v>
      </c>
      <c r="I90" s="20"/>
      <c r="J90" s="20"/>
      <c r="K90" s="20"/>
    </row>
    <row r="91" customFormat="false" ht="23.85" hidden="false" customHeight="false" outlineLevel="0" collapsed="false">
      <c r="A91" s="4" t="s">
        <v>356</v>
      </c>
      <c r="B91" s="21"/>
      <c r="C91" s="21"/>
      <c r="D91" s="21"/>
      <c r="E91" s="21"/>
      <c r="F91" s="21"/>
      <c r="G91" s="21"/>
      <c r="H91" s="4" t="n">
        <f aca="false">IFERROR(6-G91,"")</f>
        <v>6</v>
      </c>
      <c r="I91" s="21"/>
      <c r="J91" s="21"/>
      <c r="K91" s="21"/>
    </row>
    <row r="92" customFormat="false" ht="23.85" hidden="false" customHeight="false" outlineLevel="0" collapsed="false">
      <c r="A92" s="8" t="s">
        <v>357</v>
      </c>
      <c r="B92" s="20"/>
      <c r="C92" s="20"/>
      <c r="D92" s="20"/>
      <c r="E92" s="20"/>
      <c r="F92" s="20"/>
      <c r="G92" s="20"/>
      <c r="H92" s="8" t="n">
        <f aca="false">IFERROR(6-G92,"")</f>
        <v>6</v>
      </c>
      <c r="I92" s="20"/>
      <c r="J92" s="20"/>
      <c r="K92" s="20"/>
    </row>
    <row r="93" customFormat="false" ht="23.85" hidden="false" customHeight="false" outlineLevel="0" collapsed="false">
      <c r="A93" s="4" t="s">
        <v>358</v>
      </c>
      <c r="B93" s="21"/>
      <c r="C93" s="21"/>
      <c r="D93" s="21"/>
      <c r="E93" s="21"/>
      <c r="F93" s="21"/>
      <c r="G93" s="21"/>
      <c r="H93" s="4" t="n">
        <f aca="false">IFERROR(6-G93,"")</f>
        <v>6</v>
      </c>
      <c r="I93" s="21"/>
      <c r="J93" s="21"/>
      <c r="K93" s="21"/>
    </row>
    <row r="94" customFormat="false" ht="23.85" hidden="false" customHeight="false" outlineLevel="0" collapsed="false">
      <c r="A94" s="8" t="s">
        <v>359</v>
      </c>
      <c r="B94" s="20"/>
      <c r="C94" s="20"/>
      <c r="D94" s="20"/>
      <c r="E94" s="20"/>
      <c r="F94" s="20"/>
      <c r="G94" s="20"/>
      <c r="H94" s="8" t="n">
        <f aca="false">IFERROR(6-G94,"")</f>
        <v>6</v>
      </c>
      <c r="I94" s="20"/>
      <c r="J94" s="20"/>
      <c r="K94" s="20"/>
    </row>
    <row r="95" customFormat="false" ht="23.85" hidden="false" customHeight="false" outlineLevel="0" collapsed="false">
      <c r="A95" s="4" t="s">
        <v>360</v>
      </c>
      <c r="B95" s="21"/>
      <c r="C95" s="21"/>
      <c r="D95" s="21"/>
      <c r="E95" s="21"/>
      <c r="F95" s="21"/>
      <c r="G95" s="21"/>
      <c r="H95" s="4" t="n">
        <f aca="false">IFERROR(6-G95,"")</f>
        <v>6</v>
      </c>
      <c r="I95" s="21"/>
      <c r="J95" s="21"/>
      <c r="K95" s="21"/>
    </row>
    <row r="96" customFormat="false" ht="23.85" hidden="false" customHeight="false" outlineLevel="0" collapsed="false">
      <c r="A96" s="8" t="s">
        <v>361</v>
      </c>
      <c r="B96" s="20"/>
      <c r="C96" s="20"/>
      <c r="D96" s="20"/>
      <c r="E96" s="20"/>
      <c r="F96" s="20"/>
      <c r="G96" s="20"/>
      <c r="H96" s="8" t="n">
        <f aca="false">IFERROR(6-G96,"")</f>
        <v>6</v>
      </c>
      <c r="I96" s="20"/>
      <c r="J96" s="20"/>
      <c r="K96" s="20"/>
    </row>
    <row r="97" customFormat="false" ht="23.85" hidden="false" customHeight="false" outlineLevel="0" collapsed="false">
      <c r="A97" s="4" t="s">
        <v>362</v>
      </c>
      <c r="B97" s="21"/>
      <c r="C97" s="21"/>
      <c r="D97" s="21"/>
      <c r="E97" s="21"/>
      <c r="F97" s="21"/>
      <c r="G97" s="21"/>
      <c r="H97" s="4" t="n">
        <f aca="false">IFERROR(6-G97,"")</f>
        <v>6</v>
      </c>
      <c r="I97" s="21"/>
      <c r="J97" s="21"/>
      <c r="K97" s="21"/>
    </row>
    <row r="98" customFormat="false" ht="23.85" hidden="false" customHeight="false" outlineLevel="0" collapsed="false">
      <c r="A98" s="8" t="s">
        <v>363</v>
      </c>
      <c r="B98" s="20"/>
      <c r="C98" s="20"/>
      <c r="D98" s="20"/>
      <c r="E98" s="20"/>
      <c r="F98" s="20"/>
      <c r="G98" s="20"/>
      <c r="H98" s="8" t="n">
        <f aca="false">IFERROR(6-G98,"")</f>
        <v>6</v>
      </c>
      <c r="I98" s="20"/>
      <c r="J98" s="20"/>
      <c r="K98" s="20"/>
    </row>
    <row r="99" customFormat="false" ht="23.85" hidden="false" customHeight="false" outlineLevel="0" collapsed="false">
      <c r="A99" s="4" t="s">
        <v>364</v>
      </c>
      <c r="B99" s="21"/>
      <c r="C99" s="21"/>
      <c r="D99" s="21"/>
      <c r="E99" s="21"/>
      <c r="F99" s="21"/>
      <c r="G99" s="21"/>
      <c r="H99" s="4" t="n">
        <f aca="false">IFERROR(6-G99,"")</f>
        <v>6</v>
      </c>
      <c r="I99" s="21"/>
      <c r="J99" s="21"/>
      <c r="K99" s="21"/>
    </row>
    <row r="100" customFormat="false" ht="23.85" hidden="false" customHeight="false" outlineLevel="0" collapsed="false">
      <c r="A100" s="8" t="s">
        <v>365</v>
      </c>
      <c r="B100" s="20"/>
      <c r="C100" s="20"/>
      <c r="D100" s="20"/>
      <c r="E100" s="20"/>
      <c r="F100" s="20"/>
      <c r="G100" s="20"/>
      <c r="H100" s="8" t="n">
        <f aca="false">IFERROR(6-G100,"")</f>
        <v>6</v>
      </c>
      <c r="I100" s="20"/>
      <c r="J100" s="20"/>
      <c r="K100" s="20"/>
    </row>
    <row r="101" customFormat="false" ht="23.85" hidden="false" customHeight="false" outlineLevel="0" collapsed="false">
      <c r="A101" s="4" t="s">
        <v>366</v>
      </c>
      <c r="B101" s="21"/>
      <c r="C101" s="21"/>
      <c r="D101" s="21"/>
      <c r="E101" s="21"/>
      <c r="F101" s="21"/>
      <c r="G101" s="21"/>
      <c r="H101" s="4" t="n">
        <f aca="false">IFERROR(6-G101,"")</f>
        <v>6</v>
      </c>
      <c r="I101" s="21"/>
      <c r="J101" s="21"/>
      <c r="K101" s="21"/>
    </row>
    <row r="102" customFormat="false" ht="23.85" hidden="false" customHeight="false" outlineLevel="0" collapsed="false">
      <c r="A102" s="8" t="s">
        <v>367</v>
      </c>
      <c r="B102" s="20"/>
      <c r="C102" s="20"/>
      <c r="D102" s="20"/>
      <c r="E102" s="20"/>
      <c r="F102" s="20"/>
      <c r="G102" s="20"/>
      <c r="H102" s="8" t="n">
        <f aca="false">IFERROR(6-G102,"")</f>
        <v>6</v>
      </c>
      <c r="I102" s="20"/>
      <c r="J102" s="20"/>
      <c r="K102" s="20"/>
    </row>
    <row r="103" customFormat="false" ht="23.85" hidden="false" customHeight="false" outlineLevel="0" collapsed="false">
      <c r="A103" s="4" t="s">
        <v>368</v>
      </c>
      <c r="B103" s="21"/>
      <c r="C103" s="21"/>
      <c r="D103" s="21"/>
      <c r="E103" s="21"/>
      <c r="F103" s="21"/>
      <c r="G103" s="21"/>
      <c r="H103" s="4" t="n">
        <f aca="false">IFERROR(6-G103,"")</f>
        <v>6</v>
      </c>
      <c r="I103" s="21"/>
      <c r="J103" s="21"/>
      <c r="K103" s="21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9" min="7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0" t="s">
        <v>369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25.5" hidden="false" customHeight="true" outlineLevel="0" collapsed="false">
      <c r="A2" s="41" t="s">
        <v>370</v>
      </c>
      <c r="B2" s="41"/>
      <c r="C2" s="41"/>
      <c r="D2" s="41"/>
      <c r="E2" s="41"/>
      <c r="F2" s="41"/>
      <c r="G2" s="41"/>
      <c r="H2" s="41"/>
      <c r="I2" s="41"/>
      <c r="J2" s="41"/>
    </row>
    <row r="3" customFormat="false" ht="35.05" hidden="false" customHeight="false" outlineLevel="0" collapsed="false">
      <c r="A3" s="42" t="s">
        <v>141</v>
      </c>
      <c r="B3" s="42" t="s">
        <v>142</v>
      </c>
      <c r="C3" s="42" t="s">
        <v>143</v>
      </c>
      <c r="D3" s="42" t="s">
        <v>371</v>
      </c>
      <c r="E3" s="42" t="s">
        <v>372</v>
      </c>
      <c r="F3" s="42" t="s">
        <v>373</v>
      </c>
      <c r="G3" s="42" t="s">
        <v>374</v>
      </c>
      <c r="H3" s="42" t="s">
        <v>375</v>
      </c>
      <c r="I3" s="42" t="s">
        <v>376</v>
      </c>
      <c r="J3" s="42" t="s">
        <v>377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43" t="n">
        <f aca="false">IF(E4&gt;1,LOG(E4,2),0)</f>
        <v>0</v>
      </c>
      <c r="H4" s="43" t="n">
        <f aca="false">IFERROR(IF(G4&gt;0,F4/G4,0),0)</f>
        <v>0</v>
      </c>
      <c r="I4" s="29" t="n">
        <f aca="false">IFERROR(IF(MAX($F$4:$F$33)&gt;0,F4/MAX($F$4:$F$33)*100,0),0)</f>
        <v>0</v>
      </c>
      <c r="J4" s="11" t="str">
        <f aca="false">IF(I4&gt;=80,"Very High",IF(I4&gt;=60,"High",IF(I4&gt;=40,"Medium",IF(I4&gt;=20,"Low","Very Low"))))</f>
        <v>Very Low</v>
      </c>
    </row>
    <row r="5" customFormat="false" ht="15" hidden="false" customHeight="false" outlineLevel="0" collapsed="false">
      <c r="A5" s="4" t="n">
        <v>2</v>
      </c>
      <c r="B5" s="21"/>
      <c r="C5" s="21"/>
      <c r="D5" s="21"/>
      <c r="E5" s="21"/>
      <c r="F5" s="21"/>
      <c r="G5" s="44" t="n">
        <f aca="false">IF(E5&gt;1,LOG(E5,2),0)</f>
        <v>0</v>
      </c>
      <c r="H5" s="44" t="n">
        <f aca="false">IFERROR(IF(G5&gt;0,F5/G5,0),0)</f>
        <v>0</v>
      </c>
      <c r="I5" s="30" t="n">
        <f aca="false">IFERROR(IF(MAX($F$4:$F$33)&gt;0,F5/MAX($F$4:$F$33)*100,0),0)</f>
        <v>0</v>
      </c>
      <c r="J5" s="7" t="str">
        <f aca="false">IF(I5&gt;=80,"Very High",IF(I5&gt;=60,"High",IF(I5&gt;=40,"Medium",IF(I5&gt;=20,"Low","Very Low"))))</f>
        <v>Very Low</v>
      </c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43" t="n">
        <f aca="false">IF(E6&gt;1,LOG(E6,2),0)</f>
        <v>0</v>
      </c>
      <c r="H6" s="43" t="n">
        <f aca="false">IFERROR(IF(G6&gt;0,F6/G6,0),0)</f>
        <v>0</v>
      </c>
      <c r="I6" s="29" t="n">
        <f aca="false">IFERROR(IF(MAX($F$4:$F$33)&gt;0,F6/MAX($F$4:$F$33)*100,0),0)</f>
        <v>0</v>
      </c>
      <c r="J6" s="11" t="str">
        <f aca="false">IF(I6&gt;=80,"Very High",IF(I6&gt;=60,"High",IF(I6&gt;=40,"Medium",IF(I6&gt;=20,"Low","Very Low"))))</f>
        <v>Very Low</v>
      </c>
    </row>
    <row r="7" customFormat="false" ht="15" hidden="false" customHeight="false" outlineLevel="0" collapsed="false">
      <c r="A7" s="4" t="n">
        <v>4</v>
      </c>
      <c r="B7" s="21"/>
      <c r="C7" s="21"/>
      <c r="D7" s="21"/>
      <c r="E7" s="21"/>
      <c r="F7" s="21"/>
      <c r="G7" s="44" t="n">
        <f aca="false">IF(E7&gt;1,LOG(E7,2),0)</f>
        <v>0</v>
      </c>
      <c r="H7" s="44" t="n">
        <f aca="false">IFERROR(IF(G7&gt;0,F7/G7,0),0)</f>
        <v>0</v>
      </c>
      <c r="I7" s="30" t="n">
        <f aca="false">IFERROR(IF(MAX($F$4:$F$33)&gt;0,F7/MAX($F$4:$F$33)*100,0),0)</f>
        <v>0</v>
      </c>
      <c r="J7" s="7" t="str">
        <f aca="false">IF(I7&gt;=80,"Very High",IF(I7&gt;=60,"High",IF(I7&gt;=40,"Medium",IF(I7&gt;=20,"Low","Very Low"))))</f>
        <v>Very Low</v>
      </c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43" t="n">
        <f aca="false">IF(E8&gt;1,LOG(E8,2),0)</f>
        <v>0</v>
      </c>
      <c r="H8" s="43" t="n">
        <f aca="false">IFERROR(IF(G8&gt;0,F8/G8,0),0)</f>
        <v>0</v>
      </c>
      <c r="I8" s="29" t="n">
        <f aca="false">IFERROR(IF(MAX($F$4:$F$33)&gt;0,F8/MAX($F$4:$F$33)*100,0),0)</f>
        <v>0</v>
      </c>
      <c r="J8" s="11" t="str">
        <f aca="false">IF(I8&gt;=80,"Very High",IF(I8&gt;=60,"High",IF(I8&gt;=40,"Medium",IF(I8&gt;=20,"Low","Very Low"))))</f>
        <v>Very Low</v>
      </c>
    </row>
    <row r="9" customFormat="false" ht="15" hidden="false" customHeight="false" outlineLevel="0" collapsed="false">
      <c r="A9" s="4" t="n">
        <v>6</v>
      </c>
      <c r="B9" s="21"/>
      <c r="C9" s="21"/>
      <c r="D9" s="21"/>
      <c r="E9" s="21"/>
      <c r="F9" s="21"/>
      <c r="G9" s="44" t="n">
        <f aca="false">IF(E9&gt;1,LOG(E9,2),0)</f>
        <v>0</v>
      </c>
      <c r="H9" s="44" t="n">
        <f aca="false">IFERROR(IF(G9&gt;0,F9/G9,0),0)</f>
        <v>0</v>
      </c>
      <c r="I9" s="30" t="n">
        <f aca="false">IFERROR(IF(MAX($F$4:$F$33)&gt;0,F9/MAX($F$4:$F$33)*100,0),0)</f>
        <v>0</v>
      </c>
      <c r="J9" s="7" t="str">
        <f aca="false">IF(I9&gt;=80,"Very High",IF(I9&gt;=60,"High",IF(I9&gt;=40,"Medium",IF(I9&gt;=20,"Low","Very Low"))))</f>
        <v>Very Low</v>
      </c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43" t="n">
        <f aca="false">IF(E10&gt;1,LOG(E10,2),0)</f>
        <v>0</v>
      </c>
      <c r="H10" s="43" t="n">
        <f aca="false">IFERROR(IF(G10&gt;0,F10/G10,0),0)</f>
        <v>0</v>
      </c>
      <c r="I10" s="29" t="n">
        <f aca="false">IFERROR(IF(MAX($F$4:$F$33)&gt;0,F10/MAX($F$4:$F$33)*100,0),0)</f>
        <v>0</v>
      </c>
      <c r="J10" s="11" t="str">
        <f aca="false">IF(I10&gt;=80,"Very High",IF(I10&gt;=60,"High",IF(I10&gt;=40,"Medium",IF(I10&gt;=20,"Low","Very Low"))))</f>
        <v>Very Low</v>
      </c>
    </row>
    <row r="11" customFormat="false" ht="15" hidden="false" customHeight="false" outlineLevel="0" collapsed="false">
      <c r="A11" s="4" t="n">
        <v>8</v>
      </c>
      <c r="B11" s="21"/>
      <c r="C11" s="21"/>
      <c r="D11" s="21"/>
      <c r="E11" s="21"/>
      <c r="F11" s="21"/>
      <c r="G11" s="44" t="n">
        <f aca="false">IF(E11&gt;1,LOG(E11,2),0)</f>
        <v>0</v>
      </c>
      <c r="H11" s="44" t="n">
        <f aca="false">IFERROR(IF(G11&gt;0,F11/G11,0),0)</f>
        <v>0</v>
      </c>
      <c r="I11" s="30" t="n">
        <f aca="false">IFERROR(IF(MAX($F$4:$F$33)&gt;0,F11/MAX($F$4:$F$33)*100,0),0)</f>
        <v>0</v>
      </c>
      <c r="J11" s="7" t="str">
        <f aca="false">IF(I11&gt;=80,"Very High",IF(I11&gt;=60,"High",IF(I11&gt;=40,"Medium",IF(I11&gt;=20,"Low","Very Low"))))</f>
        <v>Very Low</v>
      </c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43" t="n">
        <f aca="false">IF(E12&gt;1,LOG(E12,2),0)</f>
        <v>0</v>
      </c>
      <c r="H12" s="43" t="n">
        <f aca="false">IFERROR(IF(G12&gt;0,F12/G12,0),0)</f>
        <v>0</v>
      </c>
      <c r="I12" s="29" t="n">
        <f aca="false">IFERROR(IF(MAX($F$4:$F$33)&gt;0,F12/MAX($F$4:$F$33)*100,0),0)</f>
        <v>0</v>
      </c>
      <c r="J12" s="11" t="str">
        <f aca="false">IF(I12&gt;=80,"Very High",IF(I12&gt;=60,"High",IF(I12&gt;=40,"Medium",IF(I12&gt;=20,"Low","Very Low"))))</f>
        <v>Very Low</v>
      </c>
    </row>
    <row r="13" customFormat="false" ht="15" hidden="false" customHeight="false" outlineLevel="0" collapsed="false">
      <c r="A13" s="4" t="n">
        <v>10</v>
      </c>
      <c r="B13" s="21"/>
      <c r="C13" s="21"/>
      <c r="D13" s="21"/>
      <c r="E13" s="21"/>
      <c r="F13" s="21"/>
      <c r="G13" s="44" t="n">
        <f aca="false">IF(E13&gt;1,LOG(E13,2),0)</f>
        <v>0</v>
      </c>
      <c r="H13" s="44" t="n">
        <f aca="false">IFERROR(IF(G13&gt;0,F13/G13,0),0)</f>
        <v>0</v>
      </c>
      <c r="I13" s="30" t="n">
        <f aca="false">IFERROR(IF(MAX($F$4:$F$33)&gt;0,F13/MAX($F$4:$F$33)*100,0),0)</f>
        <v>0</v>
      </c>
      <c r="J13" s="7" t="str">
        <f aca="false">IF(I13&gt;=80,"Very High",IF(I13&gt;=60,"High",IF(I13&gt;=40,"Medium",IF(I13&gt;=20,"Low","Very Low"))))</f>
        <v>Very Low</v>
      </c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43" t="n">
        <f aca="false">IF(E14&gt;1,LOG(E14,2),0)</f>
        <v>0</v>
      </c>
      <c r="H14" s="43" t="n">
        <f aca="false">IFERROR(IF(G14&gt;0,F14/G14,0),0)</f>
        <v>0</v>
      </c>
      <c r="I14" s="29" t="n">
        <f aca="false">IFERROR(IF(MAX($F$4:$F$33)&gt;0,F14/MAX($F$4:$F$33)*100,0),0)</f>
        <v>0</v>
      </c>
      <c r="J14" s="11" t="str">
        <f aca="false">IF(I14&gt;=80,"Very High",IF(I14&gt;=60,"High",IF(I14&gt;=40,"Medium",IF(I14&gt;=20,"Low","Very Low"))))</f>
        <v>Very Low</v>
      </c>
    </row>
    <row r="15" customFormat="false" ht="15" hidden="false" customHeight="false" outlineLevel="0" collapsed="false">
      <c r="A15" s="4" t="n">
        <v>12</v>
      </c>
      <c r="B15" s="21"/>
      <c r="C15" s="21"/>
      <c r="D15" s="21"/>
      <c r="E15" s="21"/>
      <c r="F15" s="21"/>
      <c r="G15" s="44" t="n">
        <f aca="false">IF(E15&gt;1,LOG(E15,2),0)</f>
        <v>0</v>
      </c>
      <c r="H15" s="44" t="n">
        <f aca="false">IFERROR(IF(G15&gt;0,F15/G15,0),0)</f>
        <v>0</v>
      </c>
      <c r="I15" s="30" t="n">
        <f aca="false">IFERROR(IF(MAX($F$4:$F$33)&gt;0,F15/MAX($F$4:$F$33)*100,0),0)</f>
        <v>0</v>
      </c>
      <c r="J15" s="7" t="str">
        <f aca="false">IF(I15&gt;=80,"Very High",IF(I15&gt;=60,"High",IF(I15&gt;=40,"Medium",IF(I15&gt;=20,"Low","Very Low"))))</f>
        <v>Very Low</v>
      </c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43" t="n">
        <f aca="false">IF(E16&gt;1,LOG(E16,2),0)</f>
        <v>0</v>
      </c>
      <c r="H16" s="43" t="n">
        <f aca="false">IFERROR(IF(G16&gt;0,F16/G16,0),0)</f>
        <v>0</v>
      </c>
      <c r="I16" s="29" t="n">
        <f aca="false">IFERROR(IF(MAX($F$4:$F$33)&gt;0,F16/MAX($F$4:$F$33)*100,0),0)</f>
        <v>0</v>
      </c>
      <c r="J16" s="11" t="str">
        <f aca="false">IF(I16&gt;=80,"Very High",IF(I16&gt;=60,"High",IF(I16&gt;=40,"Medium",IF(I16&gt;=20,"Low","Very Low"))))</f>
        <v>Very Low</v>
      </c>
    </row>
    <row r="17" customFormat="false" ht="15" hidden="false" customHeight="false" outlineLevel="0" collapsed="false">
      <c r="A17" s="4" t="n">
        <v>14</v>
      </c>
      <c r="B17" s="21"/>
      <c r="C17" s="21"/>
      <c r="D17" s="21"/>
      <c r="E17" s="21"/>
      <c r="F17" s="21"/>
      <c r="G17" s="44" t="n">
        <f aca="false">IF(E17&gt;1,LOG(E17,2),0)</f>
        <v>0</v>
      </c>
      <c r="H17" s="44" t="n">
        <f aca="false">IFERROR(IF(G17&gt;0,F17/G17,0),0)</f>
        <v>0</v>
      </c>
      <c r="I17" s="30" t="n">
        <f aca="false">IFERROR(IF(MAX($F$4:$F$33)&gt;0,F17/MAX($F$4:$F$33)*100,0),0)</f>
        <v>0</v>
      </c>
      <c r="J17" s="7" t="str">
        <f aca="false">IF(I17&gt;=80,"Very High",IF(I17&gt;=60,"High",IF(I17&gt;=40,"Medium",IF(I17&gt;=20,"Low","Very Low"))))</f>
        <v>Very Low</v>
      </c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43" t="n">
        <f aca="false">IF(E18&gt;1,LOG(E18,2),0)</f>
        <v>0</v>
      </c>
      <c r="H18" s="43" t="n">
        <f aca="false">IFERROR(IF(G18&gt;0,F18/G18,0),0)</f>
        <v>0</v>
      </c>
      <c r="I18" s="29" t="n">
        <f aca="false">IFERROR(IF(MAX($F$4:$F$33)&gt;0,F18/MAX($F$4:$F$33)*100,0),0)</f>
        <v>0</v>
      </c>
      <c r="J18" s="11" t="str">
        <f aca="false">IF(I18&gt;=80,"Very High",IF(I18&gt;=60,"High",IF(I18&gt;=40,"Medium",IF(I18&gt;=20,"Low","Very Low"))))</f>
        <v>Very Low</v>
      </c>
    </row>
    <row r="19" customFormat="false" ht="15" hidden="false" customHeight="false" outlineLevel="0" collapsed="false">
      <c r="A19" s="4" t="n">
        <v>16</v>
      </c>
      <c r="B19" s="21"/>
      <c r="C19" s="21"/>
      <c r="D19" s="21"/>
      <c r="E19" s="21"/>
      <c r="F19" s="21"/>
      <c r="G19" s="44" t="n">
        <f aca="false">IF(E19&gt;1,LOG(E19,2),0)</f>
        <v>0</v>
      </c>
      <c r="H19" s="44" t="n">
        <f aca="false">IFERROR(IF(G19&gt;0,F19/G19,0),0)</f>
        <v>0</v>
      </c>
      <c r="I19" s="30" t="n">
        <f aca="false">IFERROR(IF(MAX($F$4:$F$33)&gt;0,F19/MAX($F$4:$F$33)*100,0),0)</f>
        <v>0</v>
      </c>
      <c r="J19" s="7" t="str">
        <f aca="false">IF(I19&gt;=80,"Very High",IF(I19&gt;=60,"High",IF(I19&gt;=40,"Medium",IF(I19&gt;=20,"Low","Very Low"))))</f>
        <v>Very Low</v>
      </c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43" t="n">
        <f aca="false">IF(E20&gt;1,LOG(E20,2),0)</f>
        <v>0</v>
      </c>
      <c r="H20" s="43" t="n">
        <f aca="false">IFERROR(IF(G20&gt;0,F20/G20,0),0)</f>
        <v>0</v>
      </c>
      <c r="I20" s="29" t="n">
        <f aca="false">IFERROR(IF(MAX($F$4:$F$33)&gt;0,F20/MAX($F$4:$F$33)*100,0),0)</f>
        <v>0</v>
      </c>
      <c r="J20" s="11" t="str">
        <f aca="false">IF(I20&gt;=80,"Very High",IF(I20&gt;=60,"High",IF(I20&gt;=40,"Medium",IF(I20&gt;=20,"Low","Very Low"))))</f>
        <v>Very Low</v>
      </c>
    </row>
    <row r="21" customFormat="false" ht="15" hidden="false" customHeight="false" outlineLevel="0" collapsed="false">
      <c r="A21" s="4" t="n">
        <v>18</v>
      </c>
      <c r="B21" s="21"/>
      <c r="C21" s="21"/>
      <c r="D21" s="21"/>
      <c r="E21" s="21"/>
      <c r="F21" s="21"/>
      <c r="G21" s="44" t="n">
        <f aca="false">IF(E21&gt;1,LOG(E21,2),0)</f>
        <v>0</v>
      </c>
      <c r="H21" s="44" t="n">
        <f aca="false">IFERROR(IF(G21&gt;0,F21/G21,0),0)</f>
        <v>0</v>
      </c>
      <c r="I21" s="30" t="n">
        <f aca="false">IFERROR(IF(MAX($F$4:$F$33)&gt;0,F21/MAX($F$4:$F$33)*100,0),0)</f>
        <v>0</v>
      </c>
      <c r="J21" s="7" t="str">
        <f aca="false">IF(I21&gt;=80,"Very High",IF(I21&gt;=60,"High",IF(I21&gt;=40,"Medium",IF(I21&gt;=20,"Low","Very Low"))))</f>
        <v>Very Low</v>
      </c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43" t="n">
        <f aca="false">IF(E22&gt;1,LOG(E22,2),0)</f>
        <v>0</v>
      </c>
      <c r="H22" s="43" t="n">
        <f aca="false">IFERROR(IF(G22&gt;0,F22/G22,0),0)</f>
        <v>0</v>
      </c>
      <c r="I22" s="29" t="n">
        <f aca="false">IFERROR(IF(MAX($F$4:$F$33)&gt;0,F22/MAX($F$4:$F$33)*100,0),0)</f>
        <v>0</v>
      </c>
      <c r="J22" s="11" t="str">
        <f aca="false">IF(I22&gt;=80,"Very High",IF(I22&gt;=60,"High",IF(I22&gt;=40,"Medium",IF(I22&gt;=20,"Low","Very Low"))))</f>
        <v>Very Low</v>
      </c>
    </row>
    <row r="23" customFormat="false" ht="15" hidden="false" customHeight="false" outlineLevel="0" collapsed="false">
      <c r="A23" s="4" t="n">
        <v>20</v>
      </c>
      <c r="B23" s="21"/>
      <c r="C23" s="21"/>
      <c r="D23" s="21"/>
      <c r="E23" s="21"/>
      <c r="F23" s="21"/>
      <c r="G23" s="44" t="n">
        <f aca="false">IF(E23&gt;1,LOG(E23,2),0)</f>
        <v>0</v>
      </c>
      <c r="H23" s="44" t="n">
        <f aca="false">IFERROR(IF(G23&gt;0,F23/G23,0),0)</f>
        <v>0</v>
      </c>
      <c r="I23" s="30" t="n">
        <f aca="false">IFERROR(IF(MAX($F$4:$F$33)&gt;0,F23/MAX($F$4:$F$33)*100,0),0)</f>
        <v>0</v>
      </c>
      <c r="J23" s="7" t="str">
        <f aca="false">IF(I23&gt;=80,"Very High",IF(I23&gt;=60,"High",IF(I23&gt;=40,"Medium",IF(I23&gt;=20,"Low","Very Low"))))</f>
        <v>Very Low</v>
      </c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43" t="n">
        <f aca="false">IF(E24&gt;1,LOG(E24,2),0)</f>
        <v>0</v>
      </c>
      <c r="H24" s="43" t="n">
        <f aca="false">IFERROR(IF(G24&gt;0,F24/G24,0),0)</f>
        <v>0</v>
      </c>
      <c r="I24" s="29" t="n">
        <f aca="false">IFERROR(IF(MAX($F$4:$F$33)&gt;0,F24/MAX($F$4:$F$33)*100,0),0)</f>
        <v>0</v>
      </c>
      <c r="J24" s="11" t="str">
        <f aca="false">IF(I24&gt;=80,"Very High",IF(I24&gt;=60,"High",IF(I24&gt;=40,"Medium",IF(I24&gt;=20,"Low","Very Low"))))</f>
        <v>Very Low</v>
      </c>
    </row>
    <row r="25" customFormat="false" ht="15" hidden="false" customHeight="false" outlineLevel="0" collapsed="false">
      <c r="A25" s="4" t="n">
        <v>22</v>
      </c>
      <c r="B25" s="21"/>
      <c r="C25" s="21"/>
      <c r="D25" s="21"/>
      <c r="E25" s="21"/>
      <c r="F25" s="21"/>
      <c r="G25" s="44" t="n">
        <f aca="false">IF(E25&gt;1,LOG(E25,2),0)</f>
        <v>0</v>
      </c>
      <c r="H25" s="44" t="n">
        <f aca="false">IFERROR(IF(G25&gt;0,F25/G25,0),0)</f>
        <v>0</v>
      </c>
      <c r="I25" s="30" t="n">
        <f aca="false">IFERROR(IF(MAX($F$4:$F$33)&gt;0,F25/MAX($F$4:$F$33)*100,0),0)</f>
        <v>0</v>
      </c>
      <c r="J25" s="7" t="str">
        <f aca="false">IF(I25&gt;=80,"Very High",IF(I25&gt;=60,"High",IF(I25&gt;=40,"Medium",IF(I25&gt;=20,"Low","Very Low"))))</f>
        <v>Very Low</v>
      </c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43" t="n">
        <f aca="false">IF(E26&gt;1,LOG(E26,2),0)</f>
        <v>0</v>
      </c>
      <c r="H26" s="43" t="n">
        <f aca="false">IFERROR(IF(G26&gt;0,F26/G26,0),0)</f>
        <v>0</v>
      </c>
      <c r="I26" s="29" t="n">
        <f aca="false">IFERROR(IF(MAX($F$4:$F$33)&gt;0,F26/MAX($F$4:$F$33)*100,0),0)</f>
        <v>0</v>
      </c>
      <c r="J26" s="11" t="str">
        <f aca="false">IF(I26&gt;=80,"Very High",IF(I26&gt;=60,"High",IF(I26&gt;=40,"Medium",IF(I26&gt;=20,"Low","Very Low"))))</f>
        <v>Very Low</v>
      </c>
    </row>
    <row r="27" customFormat="false" ht="15" hidden="false" customHeight="false" outlineLevel="0" collapsed="false">
      <c r="A27" s="4" t="n">
        <v>24</v>
      </c>
      <c r="B27" s="21"/>
      <c r="C27" s="21"/>
      <c r="D27" s="21"/>
      <c r="E27" s="21"/>
      <c r="F27" s="21"/>
      <c r="G27" s="44" t="n">
        <f aca="false">IF(E27&gt;1,LOG(E27,2),0)</f>
        <v>0</v>
      </c>
      <c r="H27" s="44" t="n">
        <f aca="false">IFERROR(IF(G27&gt;0,F27/G27,0),0)</f>
        <v>0</v>
      </c>
      <c r="I27" s="30" t="n">
        <f aca="false">IFERROR(IF(MAX($F$4:$F$33)&gt;0,F27/MAX($F$4:$F$33)*100,0),0)</f>
        <v>0</v>
      </c>
      <c r="J27" s="7" t="str">
        <f aca="false">IF(I27&gt;=80,"Very High",IF(I27&gt;=60,"High",IF(I27&gt;=40,"Medium",IF(I27&gt;=20,"Low","Very Low"))))</f>
        <v>Very Low</v>
      </c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43" t="n">
        <f aca="false">IF(E28&gt;1,LOG(E28,2),0)</f>
        <v>0</v>
      </c>
      <c r="H28" s="43" t="n">
        <f aca="false">IFERROR(IF(G28&gt;0,F28/G28,0),0)</f>
        <v>0</v>
      </c>
      <c r="I28" s="29" t="n">
        <f aca="false">IFERROR(IF(MAX($F$4:$F$33)&gt;0,F28/MAX($F$4:$F$33)*100,0),0)</f>
        <v>0</v>
      </c>
      <c r="J28" s="11" t="str">
        <f aca="false">IF(I28&gt;=80,"Very High",IF(I28&gt;=60,"High",IF(I28&gt;=40,"Medium",IF(I28&gt;=20,"Low","Very Low"))))</f>
        <v>Very Low</v>
      </c>
    </row>
    <row r="29" customFormat="false" ht="15" hidden="false" customHeight="false" outlineLevel="0" collapsed="false">
      <c r="A29" s="4" t="n">
        <v>26</v>
      </c>
      <c r="B29" s="21"/>
      <c r="C29" s="21"/>
      <c r="D29" s="21"/>
      <c r="E29" s="21"/>
      <c r="F29" s="21"/>
      <c r="G29" s="44" t="n">
        <f aca="false">IF(E29&gt;1,LOG(E29,2),0)</f>
        <v>0</v>
      </c>
      <c r="H29" s="44" t="n">
        <f aca="false">IFERROR(IF(G29&gt;0,F29/G29,0),0)</f>
        <v>0</v>
      </c>
      <c r="I29" s="30" t="n">
        <f aca="false">IFERROR(IF(MAX($F$4:$F$33)&gt;0,F29/MAX($F$4:$F$33)*100,0),0)</f>
        <v>0</v>
      </c>
      <c r="J29" s="7" t="str">
        <f aca="false">IF(I29&gt;=80,"Very High",IF(I29&gt;=60,"High",IF(I29&gt;=40,"Medium",IF(I29&gt;=20,"Low","Very Low"))))</f>
        <v>Very Low</v>
      </c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43" t="n">
        <f aca="false">IF(E30&gt;1,LOG(E30,2),0)</f>
        <v>0</v>
      </c>
      <c r="H30" s="43" t="n">
        <f aca="false">IFERROR(IF(G30&gt;0,F30/G30,0),0)</f>
        <v>0</v>
      </c>
      <c r="I30" s="29" t="n">
        <f aca="false">IFERROR(IF(MAX($F$4:$F$33)&gt;0,F30/MAX($F$4:$F$33)*100,0),0)</f>
        <v>0</v>
      </c>
      <c r="J30" s="11" t="str">
        <f aca="false">IF(I30&gt;=80,"Very High",IF(I30&gt;=60,"High",IF(I30&gt;=40,"Medium",IF(I30&gt;=20,"Low","Very Low"))))</f>
        <v>Very Low</v>
      </c>
    </row>
    <row r="31" customFormat="false" ht="15" hidden="false" customHeight="false" outlineLevel="0" collapsed="false">
      <c r="A31" s="4" t="n">
        <v>28</v>
      </c>
      <c r="B31" s="21"/>
      <c r="C31" s="21"/>
      <c r="D31" s="21"/>
      <c r="E31" s="21"/>
      <c r="F31" s="21"/>
      <c r="G31" s="44" t="n">
        <f aca="false">IF(E31&gt;1,LOG(E31,2),0)</f>
        <v>0</v>
      </c>
      <c r="H31" s="44" t="n">
        <f aca="false">IFERROR(IF(G31&gt;0,F31/G31,0),0)</f>
        <v>0</v>
      </c>
      <c r="I31" s="30" t="n">
        <f aca="false">IFERROR(IF(MAX($F$4:$F$33)&gt;0,F31/MAX($F$4:$F$33)*100,0),0)</f>
        <v>0</v>
      </c>
      <c r="J31" s="7" t="str">
        <f aca="false">IF(I31&gt;=80,"Very High",IF(I31&gt;=60,"High",IF(I31&gt;=40,"Medium",IF(I31&gt;=20,"Low","Very Low"))))</f>
        <v>Very Low</v>
      </c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43" t="n">
        <f aca="false">IF(E32&gt;1,LOG(E32,2),0)</f>
        <v>0</v>
      </c>
      <c r="H32" s="43" t="n">
        <f aca="false">IFERROR(IF(G32&gt;0,F32/G32,0),0)</f>
        <v>0</v>
      </c>
      <c r="I32" s="29" t="n">
        <f aca="false">IFERROR(IF(MAX($F$4:$F$33)&gt;0,F32/MAX($F$4:$F$33)*100,0),0)</f>
        <v>0</v>
      </c>
      <c r="J32" s="11" t="str">
        <f aca="false">IF(I32&gt;=80,"Very High",IF(I32&gt;=60,"High",IF(I32&gt;=40,"Medium",IF(I32&gt;=20,"Low","Very Low"))))</f>
        <v>Very Low</v>
      </c>
    </row>
    <row r="33" customFormat="false" ht="15" hidden="false" customHeight="false" outlineLevel="0" collapsed="false">
      <c r="A33" s="4" t="n">
        <v>30</v>
      </c>
      <c r="B33" s="21"/>
      <c r="C33" s="21"/>
      <c r="D33" s="21"/>
      <c r="E33" s="21"/>
      <c r="F33" s="21"/>
      <c r="G33" s="44" t="n">
        <f aca="false">IF(E33&gt;1,LOG(E33,2),0)</f>
        <v>0</v>
      </c>
      <c r="H33" s="44" t="n">
        <f aca="false">IFERROR(IF(G33&gt;0,F33/G33,0),0)</f>
        <v>0</v>
      </c>
      <c r="I33" s="30" t="n">
        <f aca="false">IFERROR(IF(MAX($F$4:$F$33)&gt;0,F33/MAX($F$4:$F$33)*100,0),0)</f>
        <v>0</v>
      </c>
      <c r="J33" s="7" t="str">
        <f aca="false">IF(I33&gt;=80,"Very High",IF(I33&gt;=60,"High",IF(I33&gt;=40,"Medium",IF(I33&gt;=20,"Low","Very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9" min="7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5" t="s">
        <v>378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25.5" hidden="false" customHeight="true" outlineLevel="0" collapsed="false">
      <c r="A2" s="22" t="s">
        <v>379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35.05" hidden="false" customHeight="false" outlineLevel="0" collapsed="false">
      <c r="A3" s="46" t="s">
        <v>141</v>
      </c>
      <c r="B3" s="46" t="s">
        <v>142</v>
      </c>
      <c r="C3" s="46" t="s">
        <v>143</v>
      </c>
      <c r="D3" s="46" t="s">
        <v>371</v>
      </c>
      <c r="E3" s="46" t="s">
        <v>380</v>
      </c>
      <c r="F3" s="46" t="s">
        <v>381</v>
      </c>
      <c r="G3" s="46" t="s">
        <v>374</v>
      </c>
      <c r="H3" s="46" t="s">
        <v>375</v>
      </c>
      <c r="I3" s="46" t="s">
        <v>382</v>
      </c>
      <c r="J3" s="46" t="s">
        <v>377</v>
      </c>
    </row>
    <row r="4" customFormat="false" ht="15" hidden="false" customHeight="false" outlineLevel="0" collapsed="false">
      <c r="A4" s="8" t="n">
        <v>1</v>
      </c>
      <c r="B4" s="20"/>
      <c r="C4" s="20"/>
      <c r="D4" s="20"/>
      <c r="E4" s="20"/>
      <c r="F4" s="20"/>
      <c r="G4" s="43" t="n">
        <f aca="false">IF(E4&gt;1,LOG(E4,2),0)</f>
        <v>0</v>
      </c>
      <c r="H4" s="43" t="n">
        <f aca="false">IFERROR(IF(G4&gt;0,F4/G4,0),0)</f>
        <v>0</v>
      </c>
      <c r="I4" s="29" t="n">
        <f aca="false">IFERROR(IF(MAX($F$4:$F$33)&gt;0,F4/MAX($F$4:$F$33)*100,0),0)</f>
        <v>0</v>
      </c>
      <c r="J4" s="11" t="str">
        <f aca="false">IF(I4&gt;=80,"Very High",IF(I4&gt;=60,"High",IF(I4&gt;=40,"Medium",IF(I4&gt;=20,"Low","Very Low"))))</f>
        <v>Very Low</v>
      </c>
    </row>
    <row r="5" customFormat="false" ht="15" hidden="false" customHeight="false" outlineLevel="0" collapsed="false">
      <c r="A5" s="4" t="n">
        <v>2</v>
      </c>
      <c r="B5" s="21"/>
      <c r="C5" s="21"/>
      <c r="D5" s="21"/>
      <c r="E5" s="21"/>
      <c r="F5" s="21"/>
      <c r="G5" s="44" t="n">
        <f aca="false">IF(E5&gt;1,LOG(E5,2),0)</f>
        <v>0</v>
      </c>
      <c r="H5" s="44" t="n">
        <f aca="false">IFERROR(IF(G5&gt;0,F5/G5,0),0)</f>
        <v>0</v>
      </c>
      <c r="I5" s="30" t="n">
        <f aca="false">IFERROR(IF(MAX($F$4:$F$33)&gt;0,F5/MAX($F$4:$F$33)*100,0),0)</f>
        <v>0</v>
      </c>
      <c r="J5" s="7" t="str">
        <f aca="false">IF(I5&gt;=80,"Very High",IF(I5&gt;=60,"High",IF(I5&gt;=40,"Medium",IF(I5&gt;=20,"Low","Very Low"))))</f>
        <v>Very Low</v>
      </c>
    </row>
    <row r="6" customFormat="false" ht="15" hidden="false" customHeight="false" outlineLevel="0" collapsed="false">
      <c r="A6" s="8" t="n">
        <v>3</v>
      </c>
      <c r="B6" s="20"/>
      <c r="C6" s="20"/>
      <c r="D6" s="20"/>
      <c r="E6" s="20"/>
      <c r="F6" s="20"/>
      <c r="G6" s="43" t="n">
        <f aca="false">IF(E6&gt;1,LOG(E6,2),0)</f>
        <v>0</v>
      </c>
      <c r="H6" s="43" t="n">
        <f aca="false">IFERROR(IF(G6&gt;0,F6/G6,0),0)</f>
        <v>0</v>
      </c>
      <c r="I6" s="29" t="n">
        <f aca="false">IFERROR(IF(MAX($F$4:$F$33)&gt;0,F6/MAX($F$4:$F$33)*100,0),0)</f>
        <v>0</v>
      </c>
      <c r="J6" s="11" t="str">
        <f aca="false">IF(I6&gt;=80,"Very High",IF(I6&gt;=60,"High",IF(I6&gt;=40,"Medium",IF(I6&gt;=20,"Low","Very Low"))))</f>
        <v>Very Low</v>
      </c>
    </row>
    <row r="7" customFormat="false" ht="15" hidden="false" customHeight="false" outlineLevel="0" collapsed="false">
      <c r="A7" s="4" t="n">
        <v>4</v>
      </c>
      <c r="B7" s="21"/>
      <c r="C7" s="21"/>
      <c r="D7" s="21"/>
      <c r="E7" s="21"/>
      <c r="F7" s="21"/>
      <c r="G7" s="44" t="n">
        <f aca="false">IF(E7&gt;1,LOG(E7,2),0)</f>
        <v>0</v>
      </c>
      <c r="H7" s="44" t="n">
        <f aca="false">IFERROR(IF(G7&gt;0,F7/G7,0),0)</f>
        <v>0</v>
      </c>
      <c r="I7" s="30" t="n">
        <f aca="false">IFERROR(IF(MAX($F$4:$F$33)&gt;0,F7/MAX($F$4:$F$33)*100,0),0)</f>
        <v>0</v>
      </c>
      <c r="J7" s="7" t="str">
        <f aca="false">IF(I7&gt;=80,"Very High",IF(I7&gt;=60,"High",IF(I7&gt;=40,"Medium",IF(I7&gt;=20,"Low","Very Low"))))</f>
        <v>Very Low</v>
      </c>
    </row>
    <row r="8" customFormat="false" ht="15" hidden="false" customHeight="false" outlineLevel="0" collapsed="false">
      <c r="A8" s="8" t="n">
        <v>5</v>
      </c>
      <c r="B8" s="20"/>
      <c r="C8" s="20"/>
      <c r="D8" s="20"/>
      <c r="E8" s="20"/>
      <c r="F8" s="20"/>
      <c r="G8" s="43" t="n">
        <f aca="false">IF(E8&gt;1,LOG(E8,2),0)</f>
        <v>0</v>
      </c>
      <c r="H8" s="43" t="n">
        <f aca="false">IFERROR(IF(G8&gt;0,F8/G8,0),0)</f>
        <v>0</v>
      </c>
      <c r="I8" s="29" t="n">
        <f aca="false">IFERROR(IF(MAX($F$4:$F$33)&gt;0,F8/MAX($F$4:$F$33)*100,0),0)</f>
        <v>0</v>
      </c>
      <c r="J8" s="11" t="str">
        <f aca="false">IF(I8&gt;=80,"Very High",IF(I8&gt;=60,"High",IF(I8&gt;=40,"Medium",IF(I8&gt;=20,"Low","Very Low"))))</f>
        <v>Very Low</v>
      </c>
    </row>
    <row r="9" customFormat="false" ht="15" hidden="false" customHeight="false" outlineLevel="0" collapsed="false">
      <c r="A9" s="4" t="n">
        <v>6</v>
      </c>
      <c r="B9" s="21"/>
      <c r="C9" s="21"/>
      <c r="D9" s="21"/>
      <c r="E9" s="21"/>
      <c r="F9" s="21"/>
      <c r="G9" s="44" t="n">
        <f aca="false">IF(E9&gt;1,LOG(E9,2),0)</f>
        <v>0</v>
      </c>
      <c r="H9" s="44" t="n">
        <f aca="false">IFERROR(IF(G9&gt;0,F9/G9,0),0)</f>
        <v>0</v>
      </c>
      <c r="I9" s="30" t="n">
        <f aca="false">IFERROR(IF(MAX($F$4:$F$33)&gt;0,F9/MAX($F$4:$F$33)*100,0),0)</f>
        <v>0</v>
      </c>
      <c r="J9" s="7" t="str">
        <f aca="false">IF(I9&gt;=80,"Very High",IF(I9&gt;=60,"High",IF(I9&gt;=40,"Medium",IF(I9&gt;=20,"Low","Very Low"))))</f>
        <v>Very Low</v>
      </c>
    </row>
    <row r="10" customFormat="false" ht="15" hidden="false" customHeight="false" outlineLevel="0" collapsed="false">
      <c r="A10" s="8" t="n">
        <v>7</v>
      </c>
      <c r="B10" s="20"/>
      <c r="C10" s="20"/>
      <c r="D10" s="20"/>
      <c r="E10" s="20"/>
      <c r="F10" s="20"/>
      <c r="G10" s="43" t="n">
        <f aca="false">IF(E10&gt;1,LOG(E10,2),0)</f>
        <v>0</v>
      </c>
      <c r="H10" s="43" t="n">
        <f aca="false">IFERROR(IF(G10&gt;0,F10/G10,0),0)</f>
        <v>0</v>
      </c>
      <c r="I10" s="29" t="n">
        <f aca="false">IFERROR(IF(MAX($F$4:$F$33)&gt;0,F10/MAX($F$4:$F$33)*100,0),0)</f>
        <v>0</v>
      </c>
      <c r="J10" s="11" t="str">
        <f aca="false">IF(I10&gt;=80,"Very High",IF(I10&gt;=60,"High",IF(I10&gt;=40,"Medium",IF(I10&gt;=20,"Low","Very Low"))))</f>
        <v>Very Low</v>
      </c>
    </row>
    <row r="11" customFormat="false" ht="15" hidden="false" customHeight="false" outlineLevel="0" collapsed="false">
      <c r="A11" s="4" t="n">
        <v>8</v>
      </c>
      <c r="B11" s="21"/>
      <c r="C11" s="21"/>
      <c r="D11" s="21"/>
      <c r="E11" s="21"/>
      <c r="F11" s="21"/>
      <c r="G11" s="44" t="n">
        <f aca="false">IF(E11&gt;1,LOG(E11,2),0)</f>
        <v>0</v>
      </c>
      <c r="H11" s="44" t="n">
        <f aca="false">IFERROR(IF(G11&gt;0,F11/G11,0),0)</f>
        <v>0</v>
      </c>
      <c r="I11" s="30" t="n">
        <f aca="false">IFERROR(IF(MAX($F$4:$F$33)&gt;0,F11/MAX($F$4:$F$33)*100,0),0)</f>
        <v>0</v>
      </c>
      <c r="J11" s="7" t="str">
        <f aca="false">IF(I11&gt;=80,"Very High",IF(I11&gt;=60,"High",IF(I11&gt;=40,"Medium",IF(I11&gt;=20,"Low","Very Low"))))</f>
        <v>Very Low</v>
      </c>
    </row>
    <row r="12" customFormat="false" ht="15" hidden="false" customHeight="false" outlineLevel="0" collapsed="false">
      <c r="A12" s="8" t="n">
        <v>9</v>
      </c>
      <c r="B12" s="20"/>
      <c r="C12" s="20"/>
      <c r="D12" s="20"/>
      <c r="E12" s="20"/>
      <c r="F12" s="20"/>
      <c r="G12" s="43" t="n">
        <f aca="false">IF(E12&gt;1,LOG(E12,2),0)</f>
        <v>0</v>
      </c>
      <c r="H12" s="43" t="n">
        <f aca="false">IFERROR(IF(G12&gt;0,F12/G12,0),0)</f>
        <v>0</v>
      </c>
      <c r="I12" s="29" t="n">
        <f aca="false">IFERROR(IF(MAX($F$4:$F$33)&gt;0,F12/MAX($F$4:$F$33)*100,0),0)</f>
        <v>0</v>
      </c>
      <c r="J12" s="11" t="str">
        <f aca="false">IF(I12&gt;=80,"Very High",IF(I12&gt;=60,"High",IF(I12&gt;=40,"Medium",IF(I12&gt;=20,"Low","Very Low"))))</f>
        <v>Very Low</v>
      </c>
    </row>
    <row r="13" customFormat="false" ht="15" hidden="false" customHeight="false" outlineLevel="0" collapsed="false">
      <c r="A13" s="4" t="n">
        <v>10</v>
      </c>
      <c r="B13" s="21"/>
      <c r="C13" s="21"/>
      <c r="D13" s="21"/>
      <c r="E13" s="21"/>
      <c r="F13" s="21"/>
      <c r="G13" s="44" t="n">
        <f aca="false">IF(E13&gt;1,LOG(E13,2),0)</f>
        <v>0</v>
      </c>
      <c r="H13" s="44" t="n">
        <f aca="false">IFERROR(IF(G13&gt;0,F13/G13,0),0)</f>
        <v>0</v>
      </c>
      <c r="I13" s="30" t="n">
        <f aca="false">IFERROR(IF(MAX($F$4:$F$33)&gt;0,F13/MAX($F$4:$F$33)*100,0),0)</f>
        <v>0</v>
      </c>
      <c r="J13" s="7" t="str">
        <f aca="false">IF(I13&gt;=80,"Very High",IF(I13&gt;=60,"High",IF(I13&gt;=40,"Medium",IF(I13&gt;=20,"Low","Very Low"))))</f>
        <v>Very Low</v>
      </c>
    </row>
    <row r="14" customFormat="false" ht="15" hidden="false" customHeight="false" outlineLevel="0" collapsed="false">
      <c r="A14" s="8" t="n">
        <v>11</v>
      </c>
      <c r="B14" s="20"/>
      <c r="C14" s="20"/>
      <c r="D14" s="20"/>
      <c r="E14" s="20"/>
      <c r="F14" s="20"/>
      <c r="G14" s="43" t="n">
        <f aca="false">IF(E14&gt;1,LOG(E14,2),0)</f>
        <v>0</v>
      </c>
      <c r="H14" s="43" t="n">
        <f aca="false">IFERROR(IF(G14&gt;0,F14/G14,0),0)</f>
        <v>0</v>
      </c>
      <c r="I14" s="29" t="n">
        <f aca="false">IFERROR(IF(MAX($F$4:$F$33)&gt;0,F14/MAX($F$4:$F$33)*100,0),0)</f>
        <v>0</v>
      </c>
      <c r="J14" s="11" t="str">
        <f aca="false">IF(I14&gt;=80,"Very High",IF(I14&gt;=60,"High",IF(I14&gt;=40,"Medium",IF(I14&gt;=20,"Low","Very Low"))))</f>
        <v>Very Low</v>
      </c>
    </row>
    <row r="15" customFormat="false" ht="15" hidden="false" customHeight="false" outlineLevel="0" collapsed="false">
      <c r="A15" s="4" t="n">
        <v>12</v>
      </c>
      <c r="B15" s="21"/>
      <c r="C15" s="21"/>
      <c r="D15" s="21"/>
      <c r="E15" s="21"/>
      <c r="F15" s="21"/>
      <c r="G15" s="44" t="n">
        <f aca="false">IF(E15&gt;1,LOG(E15,2),0)</f>
        <v>0</v>
      </c>
      <c r="H15" s="44" t="n">
        <f aca="false">IFERROR(IF(G15&gt;0,F15/G15,0),0)</f>
        <v>0</v>
      </c>
      <c r="I15" s="30" t="n">
        <f aca="false">IFERROR(IF(MAX($F$4:$F$33)&gt;0,F15/MAX($F$4:$F$33)*100,0),0)</f>
        <v>0</v>
      </c>
      <c r="J15" s="7" t="str">
        <f aca="false">IF(I15&gt;=80,"Very High",IF(I15&gt;=60,"High",IF(I15&gt;=40,"Medium",IF(I15&gt;=20,"Low","Very Low"))))</f>
        <v>Very Low</v>
      </c>
    </row>
    <row r="16" customFormat="false" ht="15" hidden="false" customHeight="false" outlineLevel="0" collapsed="false">
      <c r="A16" s="8" t="n">
        <v>13</v>
      </c>
      <c r="B16" s="20"/>
      <c r="C16" s="20"/>
      <c r="D16" s="20"/>
      <c r="E16" s="20"/>
      <c r="F16" s="20"/>
      <c r="G16" s="43" t="n">
        <f aca="false">IF(E16&gt;1,LOG(E16,2),0)</f>
        <v>0</v>
      </c>
      <c r="H16" s="43" t="n">
        <f aca="false">IFERROR(IF(G16&gt;0,F16/G16,0),0)</f>
        <v>0</v>
      </c>
      <c r="I16" s="29" t="n">
        <f aca="false">IFERROR(IF(MAX($F$4:$F$33)&gt;0,F16/MAX($F$4:$F$33)*100,0),0)</f>
        <v>0</v>
      </c>
      <c r="J16" s="11" t="str">
        <f aca="false">IF(I16&gt;=80,"Very High",IF(I16&gt;=60,"High",IF(I16&gt;=40,"Medium",IF(I16&gt;=20,"Low","Very Low"))))</f>
        <v>Very Low</v>
      </c>
    </row>
    <row r="17" customFormat="false" ht="15" hidden="false" customHeight="false" outlineLevel="0" collapsed="false">
      <c r="A17" s="4" t="n">
        <v>14</v>
      </c>
      <c r="B17" s="21"/>
      <c r="C17" s="21"/>
      <c r="D17" s="21"/>
      <c r="E17" s="21"/>
      <c r="F17" s="21"/>
      <c r="G17" s="44" t="n">
        <f aca="false">IF(E17&gt;1,LOG(E17,2),0)</f>
        <v>0</v>
      </c>
      <c r="H17" s="44" t="n">
        <f aca="false">IFERROR(IF(G17&gt;0,F17/G17,0),0)</f>
        <v>0</v>
      </c>
      <c r="I17" s="30" t="n">
        <f aca="false">IFERROR(IF(MAX($F$4:$F$33)&gt;0,F17/MAX($F$4:$F$33)*100,0),0)</f>
        <v>0</v>
      </c>
      <c r="J17" s="7" t="str">
        <f aca="false">IF(I17&gt;=80,"Very High",IF(I17&gt;=60,"High",IF(I17&gt;=40,"Medium",IF(I17&gt;=20,"Low","Very Low"))))</f>
        <v>Very Low</v>
      </c>
    </row>
    <row r="18" customFormat="false" ht="15" hidden="false" customHeight="false" outlineLevel="0" collapsed="false">
      <c r="A18" s="8" t="n">
        <v>15</v>
      </c>
      <c r="B18" s="20"/>
      <c r="C18" s="20"/>
      <c r="D18" s="20"/>
      <c r="E18" s="20"/>
      <c r="F18" s="20"/>
      <c r="G18" s="43" t="n">
        <f aca="false">IF(E18&gt;1,LOG(E18,2),0)</f>
        <v>0</v>
      </c>
      <c r="H18" s="43" t="n">
        <f aca="false">IFERROR(IF(G18&gt;0,F18/G18,0),0)</f>
        <v>0</v>
      </c>
      <c r="I18" s="29" t="n">
        <f aca="false">IFERROR(IF(MAX($F$4:$F$33)&gt;0,F18/MAX($F$4:$F$33)*100,0),0)</f>
        <v>0</v>
      </c>
      <c r="J18" s="11" t="str">
        <f aca="false">IF(I18&gt;=80,"Very High",IF(I18&gt;=60,"High",IF(I18&gt;=40,"Medium",IF(I18&gt;=20,"Low","Very Low"))))</f>
        <v>Very Low</v>
      </c>
    </row>
    <row r="19" customFormat="false" ht="15" hidden="false" customHeight="false" outlineLevel="0" collapsed="false">
      <c r="A19" s="4" t="n">
        <v>16</v>
      </c>
      <c r="B19" s="21"/>
      <c r="C19" s="21"/>
      <c r="D19" s="21"/>
      <c r="E19" s="21"/>
      <c r="F19" s="21"/>
      <c r="G19" s="44" t="n">
        <f aca="false">IF(E19&gt;1,LOG(E19,2),0)</f>
        <v>0</v>
      </c>
      <c r="H19" s="44" t="n">
        <f aca="false">IFERROR(IF(G19&gt;0,F19/G19,0),0)</f>
        <v>0</v>
      </c>
      <c r="I19" s="30" t="n">
        <f aca="false">IFERROR(IF(MAX($F$4:$F$33)&gt;0,F19/MAX($F$4:$F$33)*100,0),0)</f>
        <v>0</v>
      </c>
      <c r="J19" s="7" t="str">
        <f aca="false">IF(I19&gt;=80,"Very High",IF(I19&gt;=60,"High",IF(I19&gt;=40,"Medium",IF(I19&gt;=20,"Low","Very Low"))))</f>
        <v>Very Low</v>
      </c>
    </row>
    <row r="20" customFormat="false" ht="15" hidden="false" customHeight="false" outlineLevel="0" collapsed="false">
      <c r="A20" s="8" t="n">
        <v>17</v>
      </c>
      <c r="B20" s="20"/>
      <c r="C20" s="20"/>
      <c r="D20" s="20"/>
      <c r="E20" s="20"/>
      <c r="F20" s="20"/>
      <c r="G20" s="43" t="n">
        <f aca="false">IF(E20&gt;1,LOG(E20,2),0)</f>
        <v>0</v>
      </c>
      <c r="H20" s="43" t="n">
        <f aca="false">IFERROR(IF(G20&gt;0,F20/G20,0),0)</f>
        <v>0</v>
      </c>
      <c r="I20" s="29" t="n">
        <f aca="false">IFERROR(IF(MAX($F$4:$F$33)&gt;0,F20/MAX($F$4:$F$33)*100,0),0)</f>
        <v>0</v>
      </c>
      <c r="J20" s="11" t="str">
        <f aca="false">IF(I20&gt;=80,"Very High",IF(I20&gt;=60,"High",IF(I20&gt;=40,"Medium",IF(I20&gt;=20,"Low","Very Low"))))</f>
        <v>Very Low</v>
      </c>
    </row>
    <row r="21" customFormat="false" ht="15" hidden="false" customHeight="false" outlineLevel="0" collapsed="false">
      <c r="A21" s="4" t="n">
        <v>18</v>
      </c>
      <c r="B21" s="21"/>
      <c r="C21" s="21"/>
      <c r="D21" s="21"/>
      <c r="E21" s="21"/>
      <c r="F21" s="21"/>
      <c r="G21" s="44" t="n">
        <f aca="false">IF(E21&gt;1,LOG(E21,2),0)</f>
        <v>0</v>
      </c>
      <c r="H21" s="44" t="n">
        <f aca="false">IFERROR(IF(G21&gt;0,F21/G21,0),0)</f>
        <v>0</v>
      </c>
      <c r="I21" s="30" t="n">
        <f aca="false">IFERROR(IF(MAX($F$4:$F$33)&gt;0,F21/MAX($F$4:$F$33)*100,0),0)</f>
        <v>0</v>
      </c>
      <c r="J21" s="7" t="str">
        <f aca="false">IF(I21&gt;=80,"Very High",IF(I21&gt;=60,"High",IF(I21&gt;=40,"Medium",IF(I21&gt;=20,"Low","Very Low"))))</f>
        <v>Very Low</v>
      </c>
    </row>
    <row r="22" customFormat="false" ht="15" hidden="false" customHeight="false" outlineLevel="0" collapsed="false">
      <c r="A22" s="8" t="n">
        <v>19</v>
      </c>
      <c r="B22" s="20"/>
      <c r="C22" s="20"/>
      <c r="D22" s="20"/>
      <c r="E22" s="20"/>
      <c r="F22" s="20"/>
      <c r="G22" s="43" t="n">
        <f aca="false">IF(E22&gt;1,LOG(E22,2),0)</f>
        <v>0</v>
      </c>
      <c r="H22" s="43" t="n">
        <f aca="false">IFERROR(IF(G22&gt;0,F22/G22,0),0)</f>
        <v>0</v>
      </c>
      <c r="I22" s="29" t="n">
        <f aca="false">IFERROR(IF(MAX($F$4:$F$33)&gt;0,F22/MAX($F$4:$F$33)*100,0),0)</f>
        <v>0</v>
      </c>
      <c r="J22" s="11" t="str">
        <f aca="false">IF(I22&gt;=80,"Very High",IF(I22&gt;=60,"High",IF(I22&gt;=40,"Medium",IF(I22&gt;=20,"Low","Very Low"))))</f>
        <v>Very Low</v>
      </c>
    </row>
    <row r="23" customFormat="false" ht="15" hidden="false" customHeight="false" outlineLevel="0" collapsed="false">
      <c r="A23" s="4" t="n">
        <v>20</v>
      </c>
      <c r="B23" s="21"/>
      <c r="C23" s="21"/>
      <c r="D23" s="21"/>
      <c r="E23" s="21"/>
      <c r="F23" s="21"/>
      <c r="G23" s="44" t="n">
        <f aca="false">IF(E23&gt;1,LOG(E23,2),0)</f>
        <v>0</v>
      </c>
      <c r="H23" s="44" t="n">
        <f aca="false">IFERROR(IF(G23&gt;0,F23/G23,0),0)</f>
        <v>0</v>
      </c>
      <c r="I23" s="30" t="n">
        <f aca="false">IFERROR(IF(MAX($F$4:$F$33)&gt;0,F23/MAX($F$4:$F$33)*100,0),0)</f>
        <v>0</v>
      </c>
      <c r="J23" s="7" t="str">
        <f aca="false">IF(I23&gt;=80,"Very High",IF(I23&gt;=60,"High",IF(I23&gt;=40,"Medium",IF(I23&gt;=20,"Low","Very Low"))))</f>
        <v>Very Low</v>
      </c>
    </row>
    <row r="24" customFormat="false" ht="15" hidden="false" customHeight="false" outlineLevel="0" collapsed="false">
      <c r="A24" s="8" t="n">
        <v>21</v>
      </c>
      <c r="B24" s="20"/>
      <c r="C24" s="20"/>
      <c r="D24" s="20"/>
      <c r="E24" s="20"/>
      <c r="F24" s="20"/>
      <c r="G24" s="43" t="n">
        <f aca="false">IF(E24&gt;1,LOG(E24,2),0)</f>
        <v>0</v>
      </c>
      <c r="H24" s="43" t="n">
        <f aca="false">IFERROR(IF(G24&gt;0,F24/G24,0),0)</f>
        <v>0</v>
      </c>
      <c r="I24" s="29" t="n">
        <f aca="false">IFERROR(IF(MAX($F$4:$F$33)&gt;0,F24/MAX($F$4:$F$33)*100,0),0)</f>
        <v>0</v>
      </c>
      <c r="J24" s="11" t="str">
        <f aca="false">IF(I24&gt;=80,"Very High",IF(I24&gt;=60,"High",IF(I24&gt;=40,"Medium",IF(I24&gt;=20,"Low","Very Low"))))</f>
        <v>Very Low</v>
      </c>
    </row>
    <row r="25" customFormat="false" ht="15" hidden="false" customHeight="false" outlineLevel="0" collapsed="false">
      <c r="A25" s="4" t="n">
        <v>22</v>
      </c>
      <c r="B25" s="21"/>
      <c r="C25" s="21"/>
      <c r="D25" s="21"/>
      <c r="E25" s="21"/>
      <c r="F25" s="21"/>
      <c r="G25" s="44" t="n">
        <f aca="false">IF(E25&gt;1,LOG(E25,2),0)</f>
        <v>0</v>
      </c>
      <c r="H25" s="44" t="n">
        <f aca="false">IFERROR(IF(G25&gt;0,F25/G25,0),0)</f>
        <v>0</v>
      </c>
      <c r="I25" s="30" t="n">
        <f aca="false">IFERROR(IF(MAX($F$4:$F$33)&gt;0,F25/MAX($F$4:$F$33)*100,0),0)</f>
        <v>0</v>
      </c>
      <c r="J25" s="7" t="str">
        <f aca="false">IF(I25&gt;=80,"Very High",IF(I25&gt;=60,"High",IF(I25&gt;=40,"Medium",IF(I25&gt;=20,"Low","Very Low"))))</f>
        <v>Very Low</v>
      </c>
    </row>
    <row r="26" customFormat="false" ht="15" hidden="false" customHeight="false" outlineLevel="0" collapsed="false">
      <c r="A26" s="8" t="n">
        <v>23</v>
      </c>
      <c r="B26" s="20"/>
      <c r="C26" s="20"/>
      <c r="D26" s="20"/>
      <c r="E26" s="20"/>
      <c r="F26" s="20"/>
      <c r="G26" s="43" t="n">
        <f aca="false">IF(E26&gt;1,LOG(E26,2),0)</f>
        <v>0</v>
      </c>
      <c r="H26" s="43" t="n">
        <f aca="false">IFERROR(IF(G26&gt;0,F26/G26,0),0)</f>
        <v>0</v>
      </c>
      <c r="I26" s="29" t="n">
        <f aca="false">IFERROR(IF(MAX($F$4:$F$33)&gt;0,F26/MAX($F$4:$F$33)*100,0),0)</f>
        <v>0</v>
      </c>
      <c r="J26" s="11" t="str">
        <f aca="false">IF(I26&gt;=80,"Very High",IF(I26&gt;=60,"High",IF(I26&gt;=40,"Medium",IF(I26&gt;=20,"Low","Very Low"))))</f>
        <v>Very Low</v>
      </c>
    </row>
    <row r="27" customFormat="false" ht="15" hidden="false" customHeight="false" outlineLevel="0" collapsed="false">
      <c r="A27" s="4" t="n">
        <v>24</v>
      </c>
      <c r="B27" s="21"/>
      <c r="C27" s="21"/>
      <c r="D27" s="21"/>
      <c r="E27" s="21"/>
      <c r="F27" s="21"/>
      <c r="G27" s="44" t="n">
        <f aca="false">IF(E27&gt;1,LOG(E27,2),0)</f>
        <v>0</v>
      </c>
      <c r="H27" s="44" t="n">
        <f aca="false">IFERROR(IF(G27&gt;0,F27/G27,0),0)</f>
        <v>0</v>
      </c>
      <c r="I27" s="30" t="n">
        <f aca="false">IFERROR(IF(MAX($F$4:$F$33)&gt;0,F27/MAX($F$4:$F$33)*100,0),0)</f>
        <v>0</v>
      </c>
      <c r="J27" s="7" t="str">
        <f aca="false">IF(I27&gt;=80,"Very High",IF(I27&gt;=60,"High",IF(I27&gt;=40,"Medium",IF(I27&gt;=20,"Low","Very Low"))))</f>
        <v>Very Low</v>
      </c>
    </row>
    <row r="28" customFormat="false" ht="15" hidden="false" customHeight="false" outlineLevel="0" collapsed="false">
      <c r="A28" s="8" t="n">
        <v>25</v>
      </c>
      <c r="B28" s="20"/>
      <c r="C28" s="20"/>
      <c r="D28" s="20"/>
      <c r="E28" s="20"/>
      <c r="F28" s="20"/>
      <c r="G28" s="43" t="n">
        <f aca="false">IF(E28&gt;1,LOG(E28,2),0)</f>
        <v>0</v>
      </c>
      <c r="H28" s="43" t="n">
        <f aca="false">IFERROR(IF(G28&gt;0,F28/G28,0),0)</f>
        <v>0</v>
      </c>
      <c r="I28" s="29" t="n">
        <f aca="false">IFERROR(IF(MAX($F$4:$F$33)&gt;0,F28/MAX($F$4:$F$33)*100,0),0)</f>
        <v>0</v>
      </c>
      <c r="J28" s="11" t="str">
        <f aca="false">IF(I28&gt;=80,"Very High",IF(I28&gt;=60,"High",IF(I28&gt;=40,"Medium",IF(I28&gt;=20,"Low","Very Low"))))</f>
        <v>Very Low</v>
      </c>
    </row>
    <row r="29" customFormat="false" ht="15" hidden="false" customHeight="false" outlineLevel="0" collapsed="false">
      <c r="A29" s="4" t="n">
        <v>26</v>
      </c>
      <c r="B29" s="21"/>
      <c r="C29" s="21"/>
      <c r="D29" s="21"/>
      <c r="E29" s="21"/>
      <c r="F29" s="21"/>
      <c r="G29" s="44" t="n">
        <f aca="false">IF(E29&gt;1,LOG(E29,2),0)</f>
        <v>0</v>
      </c>
      <c r="H29" s="44" t="n">
        <f aca="false">IFERROR(IF(G29&gt;0,F29/G29,0),0)</f>
        <v>0</v>
      </c>
      <c r="I29" s="30" t="n">
        <f aca="false">IFERROR(IF(MAX($F$4:$F$33)&gt;0,F29/MAX($F$4:$F$33)*100,0),0)</f>
        <v>0</v>
      </c>
      <c r="J29" s="7" t="str">
        <f aca="false">IF(I29&gt;=80,"Very High",IF(I29&gt;=60,"High",IF(I29&gt;=40,"Medium",IF(I29&gt;=20,"Low","Very Low"))))</f>
        <v>Very Low</v>
      </c>
    </row>
    <row r="30" customFormat="false" ht="15" hidden="false" customHeight="false" outlineLevel="0" collapsed="false">
      <c r="A30" s="8" t="n">
        <v>27</v>
      </c>
      <c r="B30" s="20"/>
      <c r="C30" s="20"/>
      <c r="D30" s="20"/>
      <c r="E30" s="20"/>
      <c r="F30" s="20"/>
      <c r="G30" s="43" t="n">
        <f aca="false">IF(E30&gt;1,LOG(E30,2),0)</f>
        <v>0</v>
      </c>
      <c r="H30" s="43" t="n">
        <f aca="false">IFERROR(IF(G30&gt;0,F30/G30,0),0)</f>
        <v>0</v>
      </c>
      <c r="I30" s="29" t="n">
        <f aca="false">IFERROR(IF(MAX($F$4:$F$33)&gt;0,F30/MAX($F$4:$F$33)*100,0),0)</f>
        <v>0</v>
      </c>
      <c r="J30" s="11" t="str">
        <f aca="false">IF(I30&gt;=80,"Very High",IF(I30&gt;=60,"High",IF(I30&gt;=40,"Medium",IF(I30&gt;=20,"Low","Very Low"))))</f>
        <v>Very Low</v>
      </c>
    </row>
    <row r="31" customFormat="false" ht="15" hidden="false" customHeight="false" outlineLevel="0" collapsed="false">
      <c r="A31" s="4" t="n">
        <v>28</v>
      </c>
      <c r="B31" s="21"/>
      <c r="C31" s="21"/>
      <c r="D31" s="21"/>
      <c r="E31" s="21"/>
      <c r="F31" s="21"/>
      <c r="G31" s="44" t="n">
        <f aca="false">IF(E31&gt;1,LOG(E31,2),0)</f>
        <v>0</v>
      </c>
      <c r="H31" s="44" t="n">
        <f aca="false">IFERROR(IF(G31&gt;0,F31/G31,0),0)</f>
        <v>0</v>
      </c>
      <c r="I31" s="30" t="n">
        <f aca="false">IFERROR(IF(MAX($F$4:$F$33)&gt;0,F31/MAX($F$4:$F$33)*100,0),0)</f>
        <v>0</v>
      </c>
      <c r="J31" s="7" t="str">
        <f aca="false">IF(I31&gt;=80,"Very High",IF(I31&gt;=60,"High",IF(I31&gt;=40,"Medium",IF(I31&gt;=20,"Low","Very Low"))))</f>
        <v>Very Low</v>
      </c>
    </row>
    <row r="32" customFormat="false" ht="15" hidden="false" customHeight="false" outlineLevel="0" collapsed="false">
      <c r="A32" s="8" t="n">
        <v>29</v>
      </c>
      <c r="B32" s="20"/>
      <c r="C32" s="20"/>
      <c r="D32" s="20"/>
      <c r="E32" s="20"/>
      <c r="F32" s="20"/>
      <c r="G32" s="43" t="n">
        <f aca="false">IF(E32&gt;1,LOG(E32,2),0)</f>
        <v>0</v>
      </c>
      <c r="H32" s="43" t="n">
        <f aca="false">IFERROR(IF(G32&gt;0,F32/G32,0),0)</f>
        <v>0</v>
      </c>
      <c r="I32" s="29" t="n">
        <f aca="false">IFERROR(IF(MAX($F$4:$F$33)&gt;0,F32/MAX($F$4:$F$33)*100,0),0)</f>
        <v>0</v>
      </c>
      <c r="J32" s="11" t="str">
        <f aca="false">IF(I32&gt;=80,"Very High",IF(I32&gt;=60,"High",IF(I32&gt;=40,"Medium",IF(I32&gt;=20,"Low","Very Low"))))</f>
        <v>Very Low</v>
      </c>
    </row>
    <row r="33" customFormat="false" ht="15" hidden="false" customHeight="false" outlineLevel="0" collapsed="false">
      <c r="A33" s="4" t="n">
        <v>30</v>
      </c>
      <c r="B33" s="21"/>
      <c r="C33" s="21"/>
      <c r="D33" s="21"/>
      <c r="E33" s="21"/>
      <c r="F33" s="21"/>
      <c r="G33" s="44" t="n">
        <f aca="false">IF(E33&gt;1,LOG(E33,2),0)</f>
        <v>0</v>
      </c>
      <c r="H33" s="44" t="n">
        <f aca="false">IFERROR(IF(G33&gt;0,F33/G33,0),0)</f>
        <v>0</v>
      </c>
      <c r="I33" s="30" t="n">
        <f aca="false">IFERROR(IF(MAX($F$4:$F$33)&gt;0,F33/MAX($F$4:$F$33)*100,0),0)</f>
        <v>0</v>
      </c>
      <c r="J33" s="7" t="str">
        <f aca="false">IF(I33&gt;=80,"Very High",IF(I33&gt;=60,"High",IF(I33&gt;=40,"Medium",IF(I33&gt;=20,"Low","Very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8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7" t="s">
        <v>383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25.5" hidden="false" customHeight="true" outlineLevel="0" collapsed="false">
      <c r="A2" s="16" t="s">
        <v>384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23.85" hidden="false" customHeight="false" outlineLevel="0" collapsed="false">
      <c r="A3" s="13" t="s">
        <v>141</v>
      </c>
      <c r="B3" s="13" t="s">
        <v>142</v>
      </c>
      <c r="C3" s="13" t="s">
        <v>385</v>
      </c>
      <c r="D3" s="13" t="s">
        <v>386</v>
      </c>
      <c r="E3" s="13" t="s">
        <v>387</v>
      </c>
      <c r="F3" s="13" t="s">
        <v>388</v>
      </c>
      <c r="G3" s="13" t="s">
        <v>389</v>
      </c>
      <c r="H3" s="13" t="s">
        <v>390</v>
      </c>
      <c r="I3" s="13" t="s">
        <v>391</v>
      </c>
      <c r="J3" s="13" t="s">
        <v>392</v>
      </c>
    </row>
    <row r="4" customFormat="false" ht="15" hidden="false" customHeight="false" outlineLevel="0" collapsed="false">
      <c r="B4" s="48" t="s">
        <v>393</v>
      </c>
      <c r="C4" s="49" t="n">
        <v>0.24</v>
      </c>
      <c r="D4" s="49" t="n">
        <v>0.24</v>
      </c>
      <c r="E4" s="49" t="n">
        <v>0.12</v>
      </c>
      <c r="F4" s="49" t="n">
        <v>0.12</v>
      </c>
      <c r="G4" s="49" t="n">
        <v>0.14</v>
      </c>
      <c r="H4" s="49" t="n">
        <v>0.14</v>
      </c>
    </row>
    <row r="5" customFormat="false" ht="15" hidden="false" customHeight="false" outlineLevel="0" collapsed="false">
      <c r="A5" s="4" t="n">
        <v>1</v>
      </c>
      <c r="B5" s="21"/>
      <c r="C5" s="50"/>
      <c r="D5" s="50"/>
      <c r="E5" s="50"/>
      <c r="F5" s="50"/>
      <c r="G5" s="50"/>
      <c r="H5" s="50"/>
      <c r="I5" s="30" t="n">
        <f aca="false">C5*$C$4+D5*$D$4+E5*$E$4+F5*$F$4+G5*$G$4+H5*$H$4</f>
        <v>0</v>
      </c>
      <c r="J5" s="7" t="n">
        <f aca="false">IFERROR(RANK(I5,$I$5:$I$34,0),"")</f>
        <v>1</v>
      </c>
    </row>
    <row r="6" customFormat="false" ht="15" hidden="false" customHeight="false" outlineLevel="0" collapsed="false">
      <c r="A6" s="8" t="n">
        <v>2</v>
      </c>
      <c r="B6" s="20"/>
      <c r="C6" s="51"/>
      <c r="D6" s="51"/>
      <c r="E6" s="51"/>
      <c r="F6" s="51"/>
      <c r="G6" s="51"/>
      <c r="H6" s="51"/>
      <c r="I6" s="29" t="n">
        <f aca="false">C6*$C$4+D6*$D$4+E6*$E$4+F6*$F$4+G6*$G$4+H6*$H$4</f>
        <v>0</v>
      </c>
      <c r="J6" s="11" t="n">
        <f aca="false">IFERROR(RANK(I6,$I$5:$I$34,0),"")</f>
        <v>1</v>
      </c>
    </row>
    <row r="7" customFormat="false" ht="15" hidden="false" customHeight="false" outlineLevel="0" collapsed="false">
      <c r="A7" s="4" t="n">
        <v>3</v>
      </c>
      <c r="B7" s="21"/>
      <c r="C7" s="50"/>
      <c r="D7" s="50"/>
      <c r="E7" s="50"/>
      <c r="F7" s="50"/>
      <c r="G7" s="50"/>
      <c r="H7" s="50"/>
      <c r="I7" s="30" t="n">
        <f aca="false">C7*$C$4+D7*$D$4+E7*$E$4+F7*$F$4+G7*$G$4+H7*$H$4</f>
        <v>0</v>
      </c>
      <c r="J7" s="7" t="n">
        <f aca="false">IFERROR(RANK(I7,$I$5:$I$34,0),"")</f>
        <v>1</v>
      </c>
    </row>
    <row r="8" customFormat="false" ht="15" hidden="false" customHeight="false" outlineLevel="0" collapsed="false">
      <c r="A8" s="8" t="n">
        <v>4</v>
      </c>
      <c r="B8" s="20"/>
      <c r="C8" s="51"/>
      <c r="D8" s="51"/>
      <c r="E8" s="51"/>
      <c r="F8" s="51"/>
      <c r="G8" s="51"/>
      <c r="H8" s="51"/>
      <c r="I8" s="29" t="n">
        <f aca="false">C8*$C$4+D8*$D$4+E8*$E$4+F8*$F$4+G8*$G$4+H8*$H$4</f>
        <v>0</v>
      </c>
      <c r="J8" s="11" t="n">
        <f aca="false">IFERROR(RANK(I8,$I$5:$I$34,0),"")</f>
        <v>1</v>
      </c>
    </row>
    <row r="9" customFormat="false" ht="15" hidden="false" customHeight="false" outlineLevel="0" collapsed="false">
      <c r="A9" s="4" t="n">
        <v>5</v>
      </c>
      <c r="B9" s="21"/>
      <c r="C9" s="50"/>
      <c r="D9" s="50"/>
      <c r="E9" s="50"/>
      <c r="F9" s="50"/>
      <c r="G9" s="50"/>
      <c r="H9" s="50"/>
      <c r="I9" s="30" t="n">
        <f aca="false">C9*$C$4+D9*$D$4+E9*$E$4+F9*$F$4+G9*$G$4+H9*$H$4</f>
        <v>0</v>
      </c>
      <c r="J9" s="7" t="n">
        <f aca="false">IFERROR(RANK(I9,$I$5:$I$34,0),"")</f>
        <v>1</v>
      </c>
    </row>
    <row r="10" customFormat="false" ht="15" hidden="false" customHeight="false" outlineLevel="0" collapsed="false">
      <c r="A10" s="8" t="n">
        <v>6</v>
      </c>
      <c r="B10" s="20"/>
      <c r="C10" s="51"/>
      <c r="D10" s="51"/>
      <c r="E10" s="51"/>
      <c r="F10" s="51"/>
      <c r="G10" s="51"/>
      <c r="H10" s="51"/>
      <c r="I10" s="29" t="n">
        <f aca="false">C10*$C$4+D10*$D$4+E10*$E$4+F10*$F$4+G10*$G$4+H10*$H$4</f>
        <v>0</v>
      </c>
      <c r="J10" s="11" t="n">
        <f aca="false">IFERROR(RANK(I10,$I$5:$I$34,0),"")</f>
        <v>1</v>
      </c>
    </row>
    <row r="11" customFormat="false" ht="15" hidden="false" customHeight="false" outlineLevel="0" collapsed="false">
      <c r="A11" s="4" t="n">
        <v>7</v>
      </c>
      <c r="B11" s="21"/>
      <c r="C11" s="50"/>
      <c r="D11" s="50"/>
      <c r="E11" s="50"/>
      <c r="F11" s="50"/>
      <c r="G11" s="50"/>
      <c r="H11" s="50"/>
      <c r="I11" s="30" t="n">
        <f aca="false">C11*$C$4+D11*$D$4+E11*$E$4+F11*$F$4+G11*$G$4+H11*$H$4</f>
        <v>0</v>
      </c>
      <c r="J11" s="7" t="n">
        <f aca="false">IFERROR(RANK(I11,$I$5:$I$34,0),"")</f>
        <v>1</v>
      </c>
    </row>
    <row r="12" customFormat="false" ht="15" hidden="false" customHeight="false" outlineLevel="0" collapsed="false">
      <c r="A12" s="8" t="n">
        <v>8</v>
      </c>
      <c r="B12" s="20"/>
      <c r="C12" s="51"/>
      <c r="D12" s="51"/>
      <c r="E12" s="51"/>
      <c r="F12" s="51"/>
      <c r="G12" s="51"/>
      <c r="H12" s="51"/>
      <c r="I12" s="29" t="n">
        <f aca="false">C12*$C$4+D12*$D$4+E12*$E$4+F12*$F$4+G12*$G$4+H12*$H$4</f>
        <v>0</v>
      </c>
      <c r="J12" s="11" t="n">
        <f aca="false">IFERROR(RANK(I12,$I$5:$I$34,0),"")</f>
        <v>1</v>
      </c>
    </row>
    <row r="13" customFormat="false" ht="15" hidden="false" customHeight="false" outlineLevel="0" collapsed="false">
      <c r="A13" s="4" t="n">
        <v>9</v>
      </c>
      <c r="B13" s="21"/>
      <c r="C13" s="50"/>
      <c r="D13" s="50"/>
      <c r="E13" s="50"/>
      <c r="F13" s="50"/>
      <c r="G13" s="50"/>
      <c r="H13" s="50"/>
      <c r="I13" s="30" t="n">
        <f aca="false">C13*$C$4+D13*$D$4+E13*$E$4+F13*$F$4+G13*$G$4+H13*$H$4</f>
        <v>0</v>
      </c>
      <c r="J13" s="7" t="n">
        <f aca="false">IFERROR(RANK(I13,$I$5:$I$34,0),"")</f>
        <v>1</v>
      </c>
    </row>
    <row r="14" customFormat="false" ht="15" hidden="false" customHeight="false" outlineLevel="0" collapsed="false">
      <c r="A14" s="8" t="n">
        <v>10</v>
      </c>
      <c r="B14" s="20"/>
      <c r="C14" s="51"/>
      <c r="D14" s="51"/>
      <c r="E14" s="51"/>
      <c r="F14" s="51"/>
      <c r="G14" s="51"/>
      <c r="H14" s="51"/>
      <c r="I14" s="29" t="n">
        <f aca="false">C14*$C$4+D14*$D$4+E14*$E$4+F14*$F$4+G14*$G$4+H14*$H$4</f>
        <v>0</v>
      </c>
      <c r="J14" s="11" t="n">
        <f aca="false">IFERROR(RANK(I14,$I$5:$I$34,0),"")</f>
        <v>1</v>
      </c>
    </row>
    <row r="15" customFormat="false" ht="15" hidden="false" customHeight="false" outlineLevel="0" collapsed="false">
      <c r="A15" s="4" t="n">
        <v>11</v>
      </c>
      <c r="B15" s="21"/>
      <c r="C15" s="50"/>
      <c r="D15" s="50"/>
      <c r="E15" s="50"/>
      <c r="F15" s="50"/>
      <c r="G15" s="50"/>
      <c r="H15" s="50"/>
      <c r="I15" s="30" t="n">
        <f aca="false">C15*$C$4+D15*$D$4+E15*$E$4+F15*$F$4+G15*$G$4+H15*$H$4</f>
        <v>0</v>
      </c>
      <c r="J15" s="7" t="n">
        <f aca="false">IFERROR(RANK(I15,$I$5:$I$34,0),"")</f>
        <v>1</v>
      </c>
    </row>
    <row r="16" customFormat="false" ht="15" hidden="false" customHeight="false" outlineLevel="0" collapsed="false">
      <c r="A16" s="8" t="n">
        <v>12</v>
      </c>
      <c r="B16" s="20"/>
      <c r="C16" s="51"/>
      <c r="D16" s="51"/>
      <c r="E16" s="51"/>
      <c r="F16" s="51"/>
      <c r="G16" s="51"/>
      <c r="H16" s="51"/>
      <c r="I16" s="29" t="n">
        <f aca="false">C16*$C$4+D16*$D$4+E16*$E$4+F16*$F$4+G16*$G$4+H16*$H$4</f>
        <v>0</v>
      </c>
      <c r="J16" s="11" t="n">
        <f aca="false">IFERROR(RANK(I16,$I$5:$I$34,0),"")</f>
        <v>1</v>
      </c>
    </row>
    <row r="17" customFormat="false" ht="15" hidden="false" customHeight="false" outlineLevel="0" collapsed="false">
      <c r="A17" s="4" t="n">
        <v>13</v>
      </c>
      <c r="B17" s="21"/>
      <c r="C17" s="50"/>
      <c r="D17" s="50"/>
      <c r="E17" s="50"/>
      <c r="F17" s="50"/>
      <c r="G17" s="50"/>
      <c r="H17" s="50"/>
      <c r="I17" s="30" t="n">
        <f aca="false">C17*$C$4+D17*$D$4+E17*$E$4+F17*$F$4+G17*$G$4+H17*$H$4</f>
        <v>0</v>
      </c>
      <c r="J17" s="7" t="n">
        <f aca="false">IFERROR(RANK(I17,$I$5:$I$34,0),"")</f>
        <v>1</v>
      </c>
    </row>
    <row r="18" customFormat="false" ht="15" hidden="false" customHeight="false" outlineLevel="0" collapsed="false">
      <c r="A18" s="8" t="n">
        <v>14</v>
      </c>
      <c r="B18" s="20"/>
      <c r="C18" s="51"/>
      <c r="D18" s="51"/>
      <c r="E18" s="51"/>
      <c r="F18" s="51"/>
      <c r="G18" s="51"/>
      <c r="H18" s="51"/>
      <c r="I18" s="29" t="n">
        <f aca="false">C18*$C$4+D18*$D$4+E18*$E$4+F18*$F$4+G18*$G$4+H18*$H$4</f>
        <v>0</v>
      </c>
      <c r="J18" s="11" t="n">
        <f aca="false">IFERROR(RANK(I18,$I$5:$I$34,0),"")</f>
        <v>1</v>
      </c>
    </row>
    <row r="19" customFormat="false" ht="15" hidden="false" customHeight="false" outlineLevel="0" collapsed="false">
      <c r="A19" s="4" t="n">
        <v>15</v>
      </c>
      <c r="B19" s="21"/>
      <c r="C19" s="50"/>
      <c r="D19" s="50"/>
      <c r="E19" s="50"/>
      <c r="F19" s="50"/>
      <c r="G19" s="50"/>
      <c r="H19" s="50"/>
      <c r="I19" s="30" t="n">
        <f aca="false">C19*$C$4+D19*$D$4+E19*$E$4+F19*$F$4+G19*$G$4+H19*$H$4</f>
        <v>0</v>
      </c>
      <c r="J19" s="7" t="n">
        <f aca="false">IFERROR(RANK(I19,$I$5:$I$34,0),"")</f>
        <v>1</v>
      </c>
    </row>
    <row r="20" customFormat="false" ht="15" hidden="false" customHeight="false" outlineLevel="0" collapsed="false">
      <c r="A20" s="8" t="n">
        <v>16</v>
      </c>
      <c r="B20" s="20"/>
      <c r="C20" s="51"/>
      <c r="D20" s="51"/>
      <c r="E20" s="51"/>
      <c r="F20" s="51"/>
      <c r="G20" s="51"/>
      <c r="H20" s="51"/>
      <c r="I20" s="29" t="n">
        <f aca="false">C20*$C$4+D20*$D$4+E20*$E$4+F20*$F$4+G20*$G$4+H20*$H$4</f>
        <v>0</v>
      </c>
      <c r="J20" s="11" t="n">
        <f aca="false">IFERROR(RANK(I20,$I$5:$I$34,0),"")</f>
        <v>1</v>
      </c>
    </row>
    <row r="21" customFormat="false" ht="15" hidden="false" customHeight="false" outlineLevel="0" collapsed="false">
      <c r="A21" s="4" t="n">
        <v>17</v>
      </c>
      <c r="B21" s="21"/>
      <c r="C21" s="50"/>
      <c r="D21" s="50"/>
      <c r="E21" s="50"/>
      <c r="F21" s="50"/>
      <c r="G21" s="50"/>
      <c r="H21" s="50"/>
      <c r="I21" s="30" t="n">
        <f aca="false">C21*$C$4+D21*$D$4+E21*$E$4+F21*$F$4+G21*$G$4+H21*$H$4</f>
        <v>0</v>
      </c>
      <c r="J21" s="7" t="n">
        <f aca="false">IFERROR(RANK(I21,$I$5:$I$34,0),"")</f>
        <v>1</v>
      </c>
    </row>
    <row r="22" customFormat="false" ht="15" hidden="false" customHeight="false" outlineLevel="0" collapsed="false">
      <c r="A22" s="8" t="n">
        <v>18</v>
      </c>
      <c r="B22" s="20"/>
      <c r="C22" s="51"/>
      <c r="D22" s="51"/>
      <c r="E22" s="51"/>
      <c r="F22" s="51"/>
      <c r="G22" s="51"/>
      <c r="H22" s="51"/>
      <c r="I22" s="29" t="n">
        <f aca="false">C22*$C$4+D22*$D$4+E22*$E$4+F22*$F$4+G22*$G$4+H22*$H$4</f>
        <v>0</v>
      </c>
      <c r="J22" s="11" t="n">
        <f aca="false">IFERROR(RANK(I22,$I$5:$I$34,0),"")</f>
        <v>1</v>
      </c>
    </row>
    <row r="23" customFormat="false" ht="15" hidden="false" customHeight="false" outlineLevel="0" collapsed="false">
      <c r="A23" s="4" t="n">
        <v>19</v>
      </c>
      <c r="B23" s="21"/>
      <c r="C23" s="50"/>
      <c r="D23" s="50"/>
      <c r="E23" s="50"/>
      <c r="F23" s="50"/>
      <c r="G23" s="50"/>
      <c r="H23" s="50"/>
      <c r="I23" s="30" t="n">
        <f aca="false">C23*$C$4+D23*$D$4+E23*$E$4+F23*$F$4+G23*$G$4+H23*$H$4</f>
        <v>0</v>
      </c>
      <c r="J23" s="7" t="n">
        <f aca="false">IFERROR(RANK(I23,$I$5:$I$34,0),"")</f>
        <v>1</v>
      </c>
    </row>
    <row r="24" customFormat="false" ht="15" hidden="false" customHeight="false" outlineLevel="0" collapsed="false">
      <c r="A24" s="8" t="n">
        <v>20</v>
      </c>
      <c r="B24" s="20"/>
      <c r="C24" s="51"/>
      <c r="D24" s="51"/>
      <c r="E24" s="51"/>
      <c r="F24" s="51"/>
      <c r="G24" s="51"/>
      <c r="H24" s="51"/>
      <c r="I24" s="29" t="n">
        <f aca="false">C24*$C$4+D24*$D$4+E24*$E$4+F24*$F$4+G24*$G$4+H24*$H$4</f>
        <v>0</v>
      </c>
      <c r="J24" s="11" t="n">
        <f aca="false">IFERROR(RANK(I24,$I$5:$I$34,0),"")</f>
        <v>1</v>
      </c>
    </row>
    <row r="25" customFormat="false" ht="15" hidden="false" customHeight="false" outlineLevel="0" collapsed="false">
      <c r="A25" s="4" t="n">
        <v>21</v>
      </c>
      <c r="B25" s="21"/>
      <c r="C25" s="50"/>
      <c r="D25" s="50"/>
      <c r="E25" s="50"/>
      <c r="F25" s="50"/>
      <c r="G25" s="50"/>
      <c r="H25" s="50"/>
      <c r="I25" s="30" t="n">
        <f aca="false">C25*$C$4+D25*$D$4+E25*$E$4+F25*$F$4+G25*$G$4+H25*$H$4</f>
        <v>0</v>
      </c>
      <c r="J25" s="7" t="n">
        <f aca="false">IFERROR(RANK(I25,$I$5:$I$34,0),"")</f>
        <v>1</v>
      </c>
    </row>
    <row r="26" customFormat="false" ht="15" hidden="false" customHeight="false" outlineLevel="0" collapsed="false">
      <c r="A26" s="8" t="n">
        <v>22</v>
      </c>
      <c r="B26" s="20"/>
      <c r="C26" s="51"/>
      <c r="D26" s="51"/>
      <c r="E26" s="51"/>
      <c r="F26" s="51"/>
      <c r="G26" s="51"/>
      <c r="H26" s="51"/>
      <c r="I26" s="29" t="n">
        <f aca="false">C26*$C$4+D26*$D$4+E26*$E$4+F26*$F$4+G26*$G$4+H26*$H$4</f>
        <v>0</v>
      </c>
      <c r="J26" s="11" t="n">
        <f aca="false">IFERROR(RANK(I26,$I$5:$I$34,0),"")</f>
        <v>1</v>
      </c>
    </row>
    <row r="27" customFormat="false" ht="15" hidden="false" customHeight="false" outlineLevel="0" collapsed="false">
      <c r="A27" s="4" t="n">
        <v>23</v>
      </c>
      <c r="B27" s="21"/>
      <c r="C27" s="50"/>
      <c r="D27" s="50"/>
      <c r="E27" s="50"/>
      <c r="F27" s="50"/>
      <c r="G27" s="50"/>
      <c r="H27" s="50"/>
      <c r="I27" s="30" t="n">
        <f aca="false">C27*$C$4+D27*$D$4+E27*$E$4+F27*$F$4+G27*$G$4+H27*$H$4</f>
        <v>0</v>
      </c>
      <c r="J27" s="7" t="n">
        <f aca="false">IFERROR(RANK(I27,$I$5:$I$34,0),"")</f>
        <v>1</v>
      </c>
    </row>
    <row r="28" customFormat="false" ht="15" hidden="false" customHeight="false" outlineLevel="0" collapsed="false">
      <c r="A28" s="8" t="n">
        <v>24</v>
      </c>
      <c r="B28" s="20"/>
      <c r="C28" s="51"/>
      <c r="D28" s="51"/>
      <c r="E28" s="51"/>
      <c r="F28" s="51"/>
      <c r="G28" s="51"/>
      <c r="H28" s="51"/>
      <c r="I28" s="29" t="n">
        <f aca="false">C28*$C$4+D28*$D$4+E28*$E$4+F28*$F$4+G28*$G$4+H28*$H$4</f>
        <v>0</v>
      </c>
      <c r="J28" s="11" t="n">
        <f aca="false">IFERROR(RANK(I28,$I$5:$I$34,0),"")</f>
        <v>1</v>
      </c>
    </row>
    <row r="29" customFormat="false" ht="15" hidden="false" customHeight="false" outlineLevel="0" collapsed="false">
      <c r="A29" s="4" t="n">
        <v>25</v>
      </c>
      <c r="B29" s="21"/>
      <c r="C29" s="50"/>
      <c r="D29" s="50"/>
      <c r="E29" s="50"/>
      <c r="F29" s="50"/>
      <c r="G29" s="50"/>
      <c r="H29" s="50"/>
      <c r="I29" s="30" t="n">
        <f aca="false">C29*$C$4+D29*$D$4+E29*$E$4+F29*$F$4+G29*$G$4+H29*$H$4</f>
        <v>0</v>
      </c>
      <c r="J29" s="7" t="n">
        <f aca="false">IFERROR(RANK(I29,$I$5:$I$34,0),"")</f>
        <v>1</v>
      </c>
    </row>
    <row r="30" customFormat="false" ht="15" hidden="false" customHeight="false" outlineLevel="0" collapsed="false">
      <c r="A30" s="8" t="n">
        <v>26</v>
      </c>
      <c r="B30" s="20"/>
      <c r="C30" s="51"/>
      <c r="D30" s="51"/>
      <c r="E30" s="51"/>
      <c r="F30" s="51"/>
      <c r="G30" s="51"/>
      <c r="H30" s="51"/>
      <c r="I30" s="29" t="n">
        <f aca="false">C30*$C$4+D30*$D$4+E30*$E$4+F30*$F$4+G30*$G$4+H30*$H$4</f>
        <v>0</v>
      </c>
      <c r="J30" s="11" t="n">
        <f aca="false">IFERROR(RANK(I30,$I$5:$I$34,0),"")</f>
        <v>1</v>
      </c>
    </row>
    <row r="31" customFormat="false" ht="15" hidden="false" customHeight="false" outlineLevel="0" collapsed="false">
      <c r="A31" s="4" t="n">
        <v>27</v>
      </c>
      <c r="B31" s="21"/>
      <c r="C31" s="50"/>
      <c r="D31" s="50"/>
      <c r="E31" s="50"/>
      <c r="F31" s="50"/>
      <c r="G31" s="50"/>
      <c r="H31" s="50"/>
      <c r="I31" s="30" t="n">
        <f aca="false">C31*$C$4+D31*$D$4+E31*$E$4+F31*$F$4+G31*$G$4+H31*$H$4</f>
        <v>0</v>
      </c>
      <c r="J31" s="7" t="n">
        <f aca="false">IFERROR(RANK(I31,$I$5:$I$34,0),"")</f>
        <v>1</v>
      </c>
    </row>
    <row r="32" customFormat="false" ht="15" hidden="false" customHeight="false" outlineLevel="0" collapsed="false">
      <c r="A32" s="8" t="n">
        <v>28</v>
      </c>
      <c r="B32" s="20"/>
      <c r="C32" s="51"/>
      <c r="D32" s="51"/>
      <c r="E32" s="51"/>
      <c r="F32" s="51"/>
      <c r="G32" s="51"/>
      <c r="H32" s="51"/>
      <c r="I32" s="29" t="n">
        <f aca="false">C32*$C$4+D32*$D$4+E32*$E$4+F32*$F$4+G32*$G$4+H32*$H$4</f>
        <v>0</v>
      </c>
      <c r="J32" s="11" t="n">
        <f aca="false">IFERROR(RANK(I32,$I$5:$I$34,0),"")</f>
        <v>1</v>
      </c>
    </row>
    <row r="33" customFormat="false" ht="15" hidden="false" customHeight="false" outlineLevel="0" collapsed="false">
      <c r="A33" s="4" t="n">
        <v>29</v>
      </c>
      <c r="B33" s="21"/>
      <c r="C33" s="50"/>
      <c r="D33" s="50"/>
      <c r="E33" s="50"/>
      <c r="F33" s="50"/>
      <c r="G33" s="50"/>
      <c r="H33" s="50"/>
      <c r="I33" s="30" t="n">
        <f aca="false">C33*$C$4+D33*$D$4+E33*$E$4+F33*$F$4+G33*$G$4+H33*$H$4</f>
        <v>0</v>
      </c>
      <c r="J33" s="7" t="n">
        <f aca="false">IFERROR(RANK(I33,$I$5:$I$34,0),"")</f>
        <v>1</v>
      </c>
    </row>
    <row r="34" customFormat="false" ht="15" hidden="false" customHeight="false" outlineLevel="0" collapsed="false">
      <c r="A34" s="8" t="n">
        <v>30</v>
      </c>
      <c r="B34" s="20"/>
      <c r="C34" s="51"/>
      <c r="D34" s="51"/>
      <c r="E34" s="51"/>
      <c r="F34" s="51"/>
      <c r="G34" s="51"/>
      <c r="H34" s="51"/>
      <c r="I34" s="29" t="n">
        <f aca="false">C34*$C$4+D34*$D$4+E34*$E$4+F34*$F$4+G34*$G$4+H34*$H$4</f>
        <v>0</v>
      </c>
      <c r="J34" s="11" t="n">
        <f aca="false">IFERROR(RANK(I34,$I$5:$I$34,0),"")</f>
        <v>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5" min="4" style="0" width="22"/>
  </cols>
  <sheetData>
    <row r="1" customFormat="false" ht="33.75" hidden="false" customHeight="true" outlineLevel="0" collapsed="false">
      <c r="A1" s="1" t="s">
        <v>394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395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 t="s">
        <v>396</v>
      </c>
      <c r="C3" s="3" t="s">
        <v>397</v>
      </c>
      <c r="D3" s="3" t="s">
        <v>398</v>
      </c>
      <c r="E3" s="3" t="s">
        <v>399</v>
      </c>
    </row>
    <row r="4" customFormat="false" ht="39.75" hidden="false" customHeight="true" outlineLevel="0" collapsed="false">
      <c r="A4" s="8" t="n">
        <v>1</v>
      </c>
      <c r="B4" s="11" t="s">
        <v>400</v>
      </c>
      <c r="C4" s="10" t="s">
        <v>401</v>
      </c>
      <c r="D4" s="8" t="s">
        <v>402</v>
      </c>
      <c r="E4" s="8" t="s">
        <v>403</v>
      </c>
    </row>
    <row r="5" customFormat="false" ht="39.75" hidden="false" customHeight="true" outlineLevel="0" collapsed="false">
      <c r="A5" s="4" t="n">
        <v>2</v>
      </c>
      <c r="B5" s="7" t="s">
        <v>400</v>
      </c>
      <c r="C5" s="6" t="s">
        <v>404</v>
      </c>
      <c r="D5" s="4" t="s">
        <v>405</v>
      </c>
      <c r="E5" s="4" t="s">
        <v>406</v>
      </c>
    </row>
    <row r="6" customFormat="false" ht="39.75" hidden="false" customHeight="true" outlineLevel="0" collapsed="false">
      <c r="A6" s="8" t="n">
        <v>3</v>
      </c>
      <c r="B6" s="11" t="s">
        <v>400</v>
      </c>
      <c r="C6" s="10" t="s">
        <v>407</v>
      </c>
      <c r="D6" s="8" t="s">
        <v>408</v>
      </c>
      <c r="E6" s="8" t="s">
        <v>409</v>
      </c>
    </row>
    <row r="7" customFormat="false" ht="39.75" hidden="false" customHeight="true" outlineLevel="0" collapsed="false">
      <c r="A7" s="4" t="n">
        <v>4</v>
      </c>
      <c r="B7" s="7" t="s">
        <v>410</v>
      </c>
      <c r="C7" s="6" t="s">
        <v>411</v>
      </c>
      <c r="D7" s="4" t="s">
        <v>402</v>
      </c>
      <c r="E7" s="4" t="s">
        <v>412</v>
      </c>
    </row>
    <row r="8" customFormat="false" ht="39.75" hidden="false" customHeight="true" outlineLevel="0" collapsed="false">
      <c r="A8" s="8" t="n">
        <v>5</v>
      </c>
      <c r="B8" s="11" t="s">
        <v>410</v>
      </c>
      <c r="C8" s="10" t="s">
        <v>413</v>
      </c>
      <c r="D8" s="8" t="s">
        <v>405</v>
      </c>
      <c r="E8" s="8" t="s">
        <v>414</v>
      </c>
    </row>
    <row r="9" customFormat="false" ht="39.75" hidden="false" customHeight="true" outlineLevel="0" collapsed="false">
      <c r="A9" s="4" t="n">
        <v>6</v>
      </c>
      <c r="B9" s="7" t="s">
        <v>410</v>
      </c>
      <c r="C9" s="6" t="s">
        <v>415</v>
      </c>
      <c r="D9" s="4" t="s">
        <v>408</v>
      </c>
      <c r="E9" s="4" t="s">
        <v>416</v>
      </c>
    </row>
    <row r="10" customFormat="false" ht="39.75" hidden="false" customHeight="true" outlineLevel="0" collapsed="false">
      <c r="A10" s="8" t="n">
        <v>7</v>
      </c>
      <c r="B10" s="11" t="s">
        <v>417</v>
      </c>
      <c r="C10" s="10" t="s">
        <v>418</v>
      </c>
      <c r="D10" s="8" t="s">
        <v>408</v>
      </c>
      <c r="E10" s="8" t="s">
        <v>419</v>
      </c>
    </row>
    <row r="11" customFormat="false" ht="39.75" hidden="false" customHeight="true" outlineLevel="0" collapsed="false">
      <c r="A11" s="4" t="n">
        <v>8</v>
      </c>
      <c r="B11" s="7" t="s">
        <v>417</v>
      </c>
      <c r="C11" s="6" t="s">
        <v>420</v>
      </c>
      <c r="D11" s="4" t="s">
        <v>408</v>
      </c>
      <c r="E11" s="4" t="s">
        <v>421</v>
      </c>
    </row>
    <row r="12" customFormat="false" ht="39.75" hidden="false" customHeight="true" outlineLevel="0" collapsed="false">
      <c r="A12" s="8" t="n">
        <v>9</v>
      </c>
      <c r="B12" s="11" t="s">
        <v>417</v>
      </c>
      <c r="C12" s="10" t="s">
        <v>422</v>
      </c>
      <c r="D12" s="8" t="s">
        <v>408</v>
      </c>
      <c r="E12" s="8" t="s">
        <v>423</v>
      </c>
    </row>
    <row r="13" customFormat="false" ht="39.75" hidden="false" customHeight="true" outlineLevel="0" collapsed="false">
      <c r="A13" s="4" t="n">
        <v>10</v>
      </c>
      <c r="B13" s="7" t="s">
        <v>424</v>
      </c>
      <c r="C13" s="6" t="s">
        <v>425</v>
      </c>
      <c r="D13" s="4" t="s">
        <v>408</v>
      </c>
      <c r="E13" s="4" t="s">
        <v>426</v>
      </c>
    </row>
    <row r="14" customFormat="false" ht="39.75" hidden="false" customHeight="true" outlineLevel="0" collapsed="false">
      <c r="A14" s="8" t="n">
        <v>11</v>
      </c>
      <c r="B14" s="11" t="s">
        <v>424</v>
      </c>
      <c r="C14" s="10" t="s">
        <v>427</v>
      </c>
      <c r="D14" s="8" t="s">
        <v>408</v>
      </c>
      <c r="E14" s="8" t="s">
        <v>428</v>
      </c>
    </row>
    <row r="15" customFormat="false" ht="39.75" hidden="false" customHeight="true" outlineLevel="0" collapsed="false">
      <c r="A15" s="4" t="n">
        <v>12</v>
      </c>
      <c r="B15" s="7" t="s">
        <v>429</v>
      </c>
      <c r="C15" s="6" t="s">
        <v>430</v>
      </c>
      <c r="D15" s="4" t="s">
        <v>408</v>
      </c>
      <c r="E15" s="4" t="s">
        <v>431</v>
      </c>
    </row>
    <row r="16" customFormat="false" ht="39.75" hidden="false" customHeight="true" outlineLevel="0" collapsed="false">
      <c r="A16" s="8" t="n">
        <v>13</v>
      </c>
      <c r="B16" s="11" t="s">
        <v>429</v>
      </c>
      <c r="C16" s="10" t="s">
        <v>432</v>
      </c>
      <c r="D16" s="8" t="s">
        <v>408</v>
      </c>
      <c r="E16" s="8" t="s">
        <v>433</v>
      </c>
    </row>
    <row r="17" customFormat="false" ht="39.75" hidden="false" customHeight="true" outlineLevel="0" collapsed="false">
      <c r="A17" s="4" t="n">
        <v>14</v>
      </c>
      <c r="B17" s="7" t="s">
        <v>434</v>
      </c>
      <c r="C17" s="6" t="s">
        <v>435</v>
      </c>
      <c r="D17" s="4" t="s">
        <v>436</v>
      </c>
      <c r="E17" s="4" t="s">
        <v>38</v>
      </c>
    </row>
    <row r="18" customFormat="false" ht="39.75" hidden="false" customHeight="true" outlineLevel="0" collapsed="false">
      <c r="A18" s="8" t="n">
        <v>15</v>
      </c>
      <c r="B18" s="11" t="s">
        <v>434</v>
      </c>
      <c r="C18" s="10" t="s">
        <v>437</v>
      </c>
      <c r="D18" s="8" t="s">
        <v>438</v>
      </c>
      <c r="E18" s="8" t="s">
        <v>439</v>
      </c>
    </row>
    <row r="19" customFormat="false" ht="39.75" hidden="false" customHeight="true" outlineLevel="0" collapsed="false">
      <c r="A19" s="4" t="n">
        <v>16</v>
      </c>
      <c r="B19" s="7" t="s">
        <v>434</v>
      </c>
      <c r="C19" s="6" t="s">
        <v>440</v>
      </c>
      <c r="D19" s="4" t="s">
        <v>441</v>
      </c>
      <c r="E19" s="4" t="s">
        <v>442</v>
      </c>
    </row>
    <row r="20" customFormat="false" ht="39.75" hidden="false" customHeight="true" outlineLevel="0" collapsed="false">
      <c r="A20" s="8" t="n">
        <v>17</v>
      </c>
      <c r="B20" s="11" t="s">
        <v>434</v>
      </c>
      <c r="C20" s="10" t="s">
        <v>443</v>
      </c>
      <c r="D20" s="8" t="s">
        <v>444</v>
      </c>
      <c r="E20" s="8" t="s">
        <v>442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26" t="s">
        <v>445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25.5" hidden="false" customHeight="true" outlineLevel="0" collapsed="false">
      <c r="A2" s="27" t="s">
        <v>446</v>
      </c>
      <c r="B2" s="27"/>
      <c r="C2" s="27"/>
      <c r="D2" s="27"/>
      <c r="E2" s="27"/>
      <c r="F2" s="27"/>
      <c r="G2" s="27"/>
      <c r="H2" s="27"/>
      <c r="I2" s="27"/>
      <c r="J2" s="27"/>
    </row>
    <row r="3" customFormat="false" ht="15" hidden="false" customHeight="false" outlineLevel="0" collapsed="false">
      <c r="A3" s="28" t="s">
        <v>141</v>
      </c>
      <c r="B3" s="28" t="s">
        <v>447</v>
      </c>
      <c r="C3" s="28" t="s">
        <v>448</v>
      </c>
      <c r="D3" s="28" t="s">
        <v>449</v>
      </c>
      <c r="E3" s="28" t="s">
        <v>450</v>
      </c>
      <c r="F3" s="28" t="s">
        <v>451</v>
      </c>
      <c r="G3" s="28" t="s">
        <v>452</v>
      </c>
      <c r="H3" s="28" t="s">
        <v>453</v>
      </c>
      <c r="I3" s="28" t="s">
        <v>454</v>
      </c>
      <c r="J3" s="28" t="s">
        <v>455</v>
      </c>
    </row>
    <row r="4" customFormat="false" ht="15" hidden="false" customHeight="false" outlineLevel="0" collapsed="false">
      <c r="A4" s="52" t="n">
        <v>1</v>
      </c>
      <c r="B4" s="14" t="s">
        <v>456</v>
      </c>
      <c r="C4" s="53"/>
      <c r="D4" s="53"/>
      <c r="E4" s="53"/>
      <c r="F4" s="53"/>
      <c r="G4" s="53"/>
      <c r="H4" s="53"/>
      <c r="I4" s="53"/>
      <c r="J4" s="52" t="s">
        <v>457</v>
      </c>
    </row>
    <row r="5" customFormat="false" ht="15" hidden="false" customHeight="false" outlineLevel="0" collapsed="false">
      <c r="A5" s="4" t="n">
        <v>2</v>
      </c>
      <c r="B5" s="5" t="s">
        <v>458</v>
      </c>
      <c r="C5" s="21"/>
      <c r="D5" s="21"/>
      <c r="E5" s="21"/>
      <c r="F5" s="21"/>
      <c r="G5" s="21"/>
      <c r="H5" s="21"/>
      <c r="I5" s="21"/>
      <c r="J5" s="4" t="s">
        <v>459</v>
      </c>
    </row>
    <row r="6" customFormat="false" ht="15" hidden="false" customHeight="false" outlineLevel="0" collapsed="false">
      <c r="A6" s="8" t="n">
        <v>3</v>
      </c>
      <c r="B6" s="9" t="s">
        <v>460</v>
      </c>
      <c r="C6" s="20"/>
      <c r="D6" s="20"/>
      <c r="E6" s="20"/>
      <c r="F6" s="20"/>
      <c r="G6" s="20"/>
      <c r="H6" s="20"/>
      <c r="I6" s="20"/>
      <c r="J6" s="8" t="s">
        <v>461</v>
      </c>
    </row>
    <row r="7" customFormat="false" ht="15" hidden="false" customHeight="false" outlineLevel="0" collapsed="false">
      <c r="A7" s="4" t="n">
        <v>4</v>
      </c>
      <c r="B7" s="5" t="s">
        <v>462</v>
      </c>
      <c r="C7" s="21"/>
      <c r="D7" s="21"/>
      <c r="E7" s="21"/>
      <c r="F7" s="21"/>
      <c r="G7" s="21"/>
      <c r="H7" s="21"/>
      <c r="I7" s="21"/>
      <c r="J7" s="4" t="s">
        <v>463</v>
      </c>
    </row>
    <row r="8" customFormat="false" ht="15" hidden="false" customHeight="false" outlineLevel="0" collapsed="false">
      <c r="A8" s="8" t="n">
        <v>1</v>
      </c>
      <c r="B8" s="20"/>
      <c r="C8" s="20"/>
      <c r="D8" s="20"/>
      <c r="E8" s="20"/>
      <c r="F8" s="20"/>
      <c r="G8" s="20"/>
      <c r="H8" s="20"/>
      <c r="I8" s="20"/>
      <c r="J8" s="20"/>
    </row>
    <row r="9" customFormat="false" ht="15" hidden="false" customHeight="false" outlineLevel="0" collapsed="false">
      <c r="A9" s="4" t="n">
        <v>2</v>
      </c>
      <c r="B9" s="21"/>
      <c r="C9" s="21"/>
      <c r="D9" s="21"/>
      <c r="E9" s="21"/>
      <c r="F9" s="21"/>
      <c r="G9" s="21"/>
      <c r="H9" s="21"/>
      <c r="I9" s="21"/>
      <c r="J9" s="21"/>
    </row>
    <row r="10" customFormat="false" ht="15" hidden="false" customHeight="false" outlineLevel="0" collapsed="false">
      <c r="A10" s="8" t="n">
        <v>3</v>
      </c>
      <c r="B10" s="20"/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A11" s="4" t="n">
        <v>4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15" hidden="false" customHeight="false" outlineLevel="0" collapsed="false">
      <c r="A12" s="8" t="n">
        <v>5</v>
      </c>
      <c r="B12" s="20"/>
      <c r="C12" s="20"/>
      <c r="D12" s="20"/>
      <c r="E12" s="20"/>
      <c r="F12" s="20"/>
      <c r="G12" s="20"/>
      <c r="H12" s="20"/>
      <c r="I12" s="20"/>
      <c r="J12" s="20"/>
    </row>
    <row r="13" customFormat="false" ht="15" hidden="false" customHeight="false" outlineLevel="0" collapsed="false">
      <c r="A13" s="4" t="n">
        <v>6</v>
      </c>
      <c r="B13" s="21"/>
      <c r="C13" s="21"/>
      <c r="D13" s="21"/>
      <c r="E13" s="21"/>
      <c r="F13" s="21"/>
      <c r="G13" s="21"/>
      <c r="H13" s="21"/>
      <c r="I13" s="21"/>
      <c r="J13" s="21"/>
    </row>
    <row r="14" customFormat="false" ht="15" hidden="false" customHeight="false" outlineLevel="0" collapsed="false">
      <c r="A14" s="8" t="n">
        <v>7</v>
      </c>
      <c r="B14" s="20"/>
      <c r="C14" s="20"/>
      <c r="D14" s="20"/>
      <c r="E14" s="20"/>
      <c r="F14" s="20"/>
      <c r="G14" s="20"/>
      <c r="H14" s="20"/>
      <c r="I14" s="20"/>
      <c r="J14" s="20"/>
    </row>
    <row r="15" customFormat="false" ht="15" hidden="false" customHeight="false" outlineLevel="0" collapsed="false">
      <c r="A15" s="4" t="n">
        <v>8</v>
      </c>
      <c r="B15" s="21"/>
      <c r="C15" s="21"/>
      <c r="D15" s="21"/>
      <c r="E15" s="21"/>
      <c r="F15" s="21"/>
      <c r="G15" s="21"/>
      <c r="H15" s="21"/>
      <c r="I15" s="21"/>
      <c r="J15" s="21"/>
    </row>
    <row r="16" customFormat="false" ht="15" hidden="false" customHeight="false" outlineLevel="0" collapsed="false">
      <c r="A16" s="8" t="n">
        <v>9</v>
      </c>
      <c r="B16" s="20"/>
      <c r="C16" s="20"/>
      <c r="D16" s="20"/>
      <c r="E16" s="20"/>
      <c r="F16" s="20"/>
      <c r="G16" s="20"/>
      <c r="H16" s="20"/>
      <c r="I16" s="20"/>
      <c r="J16" s="20"/>
    </row>
    <row r="17" customFormat="false" ht="15" hidden="false" customHeight="false" outlineLevel="0" collapsed="false">
      <c r="A17" s="4" t="n">
        <v>10</v>
      </c>
      <c r="B17" s="21"/>
      <c r="C17" s="21"/>
      <c r="D17" s="21"/>
      <c r="E17" s="21"/>
      <c r="F17" s="21"/>
      <c r="G17" s="21"/>
      <c r="H17" s="21"/>
      <c r="I17" s="21"/>
      <c r="J17" s="21"/>
    </row>
    <row r="18" customFormat="false" ht="15" hidden="false" customHeight="false" outlineLevel="0" collapsed="false">
      <c r="A18" s="8" t="n">
        <v>11</v>
      </c>
      <c r="B18" s="20"/>
      <c r="C18" s="20"/>
      <c r="D18" s="20"/>
      <c r="E18" s="20"/>
      <c r="F18" s="20"/>
      <c r="G18" s="20"/>
      <c r="H18" s="20"/>
      <c r="I18" s="20"/>
      <c r="J18" s="20"/>
    </row>
    <row r="19" customFormat="false" ht="15" hidden="false" customHeight="false" outlineLevel="0" collapsed="false">
      <c r="A19" s="4" t="n">
        <v>12</v>
      </c>
      <c r="B19" s="21"/>
      <c r="C19" s="21"/>
      <c r="D19" s="21"/>
      <c r="E19" s="21"/>
      <c r="F19" s="21"/>
      <c r="G19" s="21"/>
      <c r="H19" s="21"/>
      <c r="I19" s="21"/>
      <c r="J19" s="21"/>
    </row>
    <row r="20" customFormat="false" ht="15" hidden="false" customHeight="false" outlineLevel="0" collapsed="false">
      <c r="A20" s="8" t="n">
        <v>13</v>
      </c>
      <c r="B20" s="20"/>
      <c r="C20" s="20"/>
      <c r="D20" s="20"/>
      <c r="E20" s="20"/>
      <c r="F20" s="20"/>
      <c r="G20" s="20"/>
      <c r="H20" s="20"/>
      <c r="I20" s="20"/>
      <c r="J20" s="20"/>
    </row>
    <row r="21" customFormat="false" ht="15" hidden="false" customHeight="false" outlineLevel="0" collapsed="false">
      <c r="A21" s="4" t="n">
        <v>14</v>
      </c>
      <c r="B21" s="21"/>
      <c r="C21" s="21"/>
      <c r="D21" s="21"/>
      <c r="E21" s="21"/>
      <c r="F21" s="21"/>
      <c r="G21" s="21"/>
      <c r="H21" s="21"/>
      <c r="I21" s="21"/>
      <c r="J21" s="21"/>
    </row>
    <row r="22" customFormat="false" ht="15" hidden="false" customHeight="false" outlineLevel="0" collapsed="false">
      <c r="A22" s="8" t="n">
        <v>15</v>
      </c>
      <c r="B22" s="20"/>
      <c r="C22" s="20"/>
      <c r="D22" s="20"/>
      <c r="E22" s="20"/>
      <c r="F22" s="20"/>
      <c r="G22" s="20"/>
      <c r="H22" s="20"/>
      <c r="I22" s="20"/>
      <c r="J22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8" t="s">
        <v>464</v>
      </c>
      <c r="B1" s="18"/>
      <c r="C1" s="18"/>
      <c r="D1" s="18"/>
      <c r="E1" s="18"/>
      <c r="F1" s="18"/>
    </row>
    <row r="2" customFormat="false" ht="25.5" hidden="false" customHeight="true" outlineLevel="0" collapsed="false">
      <c r="A2" s="54" t="s">
        <v>465</v>
      </c>
      <c r="B2" s="54"/>
      <c r="C2" s="54"/>
      <c r="D2" s="54"/>
      <c r="E2" s="54"/>
      <c r="F2" s="54"/>
    </row>
    <row r="3" customFormat="false" ht="15" hidden="false" customHeight="false" outlineLevel="0" collapsed="false">
      <c r="A3" s="19" t="s">
        <v>2</v>
      </c>
      <c r="B3" s="19" t="s">
        <v>466</v>
      </c>
      <c r="C3" s="19" t="s">
        <v>467</v>
      </c>
      <c r="D3" s="19" t="s">
        <v>468</v>
      </c>
      <c r="E3" s="19" t="s">
        <v>469</v>
      </c>
      <c r="F3" s="19" t="s">
        <v>470</v>
      </c>
    </row>
    <row r="4" customFormat="false" ht="31.5" hidden="false" customHeight="true" outlineLevel="0" collapsed="false">
      <c r="A4" s="8" t="n">
        <v>1</v>
      </c>
      <c r="B4" s="9" t="s">
        <v>471</v>
      </c>
      <c r="C4" s="10" t="s">
        <v>472</v>
      </c>
      <c r="D4" s="20"/>
      <c r="E4" s="20"/>
      <c r="F4" s="20"/>
    </row>
    <row r="5" customFormat="false" ht="31.5" hidden="false" customHeight="true" outlineLevel="0" collapsed="false">
      <c r="A5" s="4" t="n">
        <v>2</v>
      </c>
      <c r="B5" s="5" t="s">
        <v>473</v>
      </c>
      <c r="C5" s="6" t="s">
        <v>474</v>
      </c>
      <c r="D5" s="21"/>
      <c r="E5" s="21"/>
      <c r="F5" s="21"/>
    </row>
    <row r="6" customFormat="false" ht="31.5" hidden="false" customHeight="true" outlineLevel="0" collapsed="false">
      <c r="A6" s="8" t="n">
        <v>3</v>
      </c>
      <c r="B6" s="9" t="s">
        <v>475</v>
      </c>
      <c r="C6" s="10" t="s">
        <v>476</v>
      </c>
      <c r="D6" s="20"/>
      <c r="E6" s="20"/>
      <c r="F6" s="20"/>
    </row>
    <row r="7" customFormat="false" ht="31.5" hidden="false" customHeight="true" outlineLevel="0" collapsed="false">
      <c r="A7" s="4" t="n">
        <v>4</v>
      </c>
      <c r="B7" s="5" t="s">
        <v>477</v>
      </c>
      <c r="C7" s="6" t="s">
        <v>478</v>
      </c>
      <c r="D7" s="21"/>
      <c r="E7" s="21"/>
      <c r="F7" s="21"/>
    </row>
    <row r="8" customFormat="false" ht="31.5" hidden="false" customHeight="true" outlineLevel="0" collapsed="false">
      <c r="A8" s="8" t="n">
        <v>5</v>
      </c>
      <c r="B8" s="9" t="s">
        <v>479</v>
      </c>
      <c r="C8" s="10" t="s">
        <v>480</v>
      </c>
      <c r="D8" s="20"/>
      <c r="E8" s="20"/>
      <c r="F8" s="20"/>
    </row>
    <row r="9" customFormat="false" ht="31.5" hidden="false" customHeight="true" outlineLevel="0" collapsed="false">
      <c r="A9" s="4" t="n">
        <v>6</v>
      </c>
      <c r="B9" s="5" t="s">
        <v>481</v>
      </c>
      <c r="C9" s="6" t="s">
        <v>482</v>
      </c>
      <c r="D9" s="21"/>
      <c r="E9" s="21"/>
      <c r="F9" s="21"/>
    </row>
    <row r="10" customFormat="false" ht="31.5" hidden="false" customHeight="true" outlineLevel="0" collapsed="false">
      <c r="A10" s="8" t="n">
        <v>7</v>
      </c>
      <c r="B10" s="9" t="s">
        <v>483</v>
      </c>
      <c r="C10" s="10" t="s">
        <v>484</v>
      </c>
      <c r="D10" s="20"/>
      <c r="E10" s="20"/>
      <c r="F10" s="20"/>
    </row>
    <row r="11" customFormat="false" ht="31.5" hidden="false" customHeight="true" outlineLevel="0" collapsed="false">
      <c r="A11" s="4" t="n">
        <v>8</v>
      </c>
      <c r="B11" s="5" t="s">
        <v>485</v>
      </c>
      <c r="C11" s="6" t="s">
        <v>486</v>
      </c>
      <c r="D11" s="21"/>
      <c r="E11" s="21"/>
      <c r="F11" s="21"/>
    </row>
    <row r="12" customFormat="false" ht="31.5" hidden="false" customHeight="true" outlineLevel="0" collapsed="false">
      <c r="A12" s="8" t="n">
        <v>9</v>
      </c>
      <c r="B12" s="9" t="s">
        <v>487</v>
      </c>
      <c r="C12" s="10" t="s">
        <v>488</v>
      </c>
      <c r="D12" s="20"/>
      <c r="E12" s="20"/>
      <c r="F12" s="20"/>
    </row>
    <row r="13" customFormat="false" ht="31.5" hidden="false" customHeight="true" outlineLevel="0" collapsed="false">
      <c r="A13" s="4" t="n">
        <v>10</v>
      </c>
      <c r="B13" s="5" t="s">
        <v>489</v>
      </c>
      <c r="C13" s="6" t="s">
        <v>490</v>
      </c>
      <c r="D13" s="21"/>
      <c r="E13" s="21"/>
      <c r="F13" s="21"/>
    </row>
    <row r="14" customFormat="false" ht="31.5" hidden="false" customHeight="true" outlineLevel="0" collapsed="false">
      <c r="A14" s="8" t="n">
        <v>11</v>
      </c>
      <c r="B14" s="9" t="s">
        <v>491</v>
      </c>
      <c r="C14" s="10" t="s">
        <v>492</v>
      </c>
      <c r="D14" s="20"/>
      <c r="E14" s="20"/>
      <c r="F14" s="20"/>
    </row>
    <row r="15" customFormat="false" ht="31.5" hidden="false" customHeight="true" outlineLevel="0" collapsed="false">
      <c r="A15" s="4" t="n">
        <v>12</v>
      </c>
      <c r="B15" s="5" t="s">
        <v>493</v>
      </c>
      <c r="C15" s="6" t="s">
        <v>494</v>
      </c>
      <c r="D15" s="21"/>
      <c r="E15" s="21"/>
      <c r="F15" s="21"/>
    </row>
    <row r="16" customFormat="false" ht="31.5" hidden="false" customHeight="true" outlineLevel="0" collapsed="false">
      <c r="A16" s="8" t="n">
        <v>13</v>
      </c>
      <c r="B16" s="9" t="s">
        <v>495</v>
      </c>
      <c r="C16" s="10" t="s">
        <v>496</v>
      </c>
      <c r="D16" s="20"/>
      <c r="E16" s="20"/>
      <c r="F16" s="20"/>
    </row>
    <row r="17" customFormat="false" ht="31.5" hidden="false" customHeight="true" outlineLevel="0" collapsed="false">
      <c r="A17" s="4" t="n">
        <v>14</v>
      </c>
      <c r="B17" s="5" t="s">
        <v>497</v>
      </c>
      <c r="C17" s="6" t="s">
        <v>498</v>
      </c>
      <c r="D17" s="21"/>
      <c r="E17" s="21"/>
      <c r="F17" s="21"/>
    </row>
    <row r="18" customFormat="false" ht="31.5" hidden="false" customHeight="true" outlineLevel="0" collapsed="false">
      <c r="A18" s="8" t="n">
        <v>15</v>
      </c>
      <c r="B18" s="9" t="s">
        <v>499</v>
      </c>
      <c r="C18" s="10" t="s">
        <v>500</v>
      </c>
      <c r="D18" s="20"/>
      <c r="E18" s="20"/>
      <c r="F18" s="20"/>
    </row>
    <row r="19" customFormat="false" ht="31.5" hidden="false" customHeight="true" outlineLevel="0" collapsed="false">
      <c r="A19" s="4" t="n">
        <v>16</v>
      </c>
      <c r="B19" s="5" t="s">
        <v>501</v>
      </c>
      <c r="C19" s="6" t="s">
        <v>502</v>
      </c>
      <c r="D19" s="21"/>
      <c r="E19" s="21"/>
      <c r="F19" s="21"/>
    </row>
    <row r="20" customFormat="false" ht="31.5" hidden="false" customHeight="true" outlineLevel="0" collapsed="false">
      <c r="A20" s="8" t="n">
        <v>17</v>
      </c>
      <c r="B20" s="9" t="s">
        <v>503</v>
      </c>
      <c r="C20" s="10" t="s">
        <v>504</v>
      </c>
      <c r="D20" s="20"/>
      <c r="E20" s="20"/>
      <c r="F20" s="20"/>
    </row>
    <row r="21" customFormat="false" ht="31.5" hidden="false" customHeight="true" outlineLevel="0" collapsed="false">
      <c r="A21" s="4" t="n">
        <v>18</v>
      </c>
      <c r="B21" s="5" t="s">
        <v>505</v>
      </c>
      <c r="C21" s="6" t="s">
        <v>506</v>
      </c>
      <c r="D21" s="21"/>
      <c r="E21" s="21"/>
      <c r="F21" s="21"/>
    </row>
    <row r="22" customFormat="false" ht="31.5" hidden="false" customHeight="true" outlineLevel="0" collapsed="false">
      <c r="A22" s="8" t="n">
        <v>19</v>
      </c>
      <c r="B22" s="9" t="s">
        <v>507</v>
      </c>
      <c r="C22" s="10" t="s">
        <v>508</v>
      </c>
      <c r="D22" s="20"/>
      <c r="E22" s="20"/>
      <c r="F22" s="20"/>
    </row>
    <row r="23" customFormat="false" ht="31.5" hidden="false" customHeight="true" outlineLevel="0" collapsed="false">
      <c r="A23" s="4" t="n">
        <v>20</v>
      </c>
      <c r="B23" s="5" t="s">
        <v>509</v>
      </c>
      <c r="C23" s="6" t="s">
        <v>510</v>
      </c>
      <c r="D23" s="21"/>
      <c r="E23" s="21"/>
      <c r="F23" s="2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2026-05-08T03:44:44Z</dcterms:created>
  <dc:creator>openpyxl</dc:creator>
  <dc:description/>
  <dc:language>en-US</dc:language>
  <cp:lastModifiedBy/>
  <dcterms:modified xsi:type="dcterms:W3CDTF">2026-05-08T03:44:44Z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