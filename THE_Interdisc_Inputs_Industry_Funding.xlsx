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Industry Research Income" sheetId="2" state="visible" r:id="rId4"/>
    <sheet name="2. Funding by Sector" sheetId="3" state="visible" r:id="rId5"/>
    <sheet name="3. Cross-Disc. Industry" sheetId="4" state="visible" r:id="rId6"/>
    <sheet name="4. Partner Diversity" sheetId="5" state="visible" r:id="rId7"/>
    <sheet name="5. Joint Centres &amp; Chairs" sheetId="6" state="visible" r:id="rId8"/>
    <sheet name="6. Growth &amp; Pipeline" sheetId="7" state="visible" r:id="rId9"/>
    <sheet name="7. Consultancy Income" sheetId="8" state="visible" r:id="rId10"/>
    <sheet name="8. Ecosystem Checklist" sheetId="9" state="visible" r:id="rId11"/>
    <sheet name="9. Composite IF Score" sheetId="10" state="visible" r:id="rId12"/>
    <sheet name="10. Benchmarking" sheetId="11" state="visible" r:id="rId13"/>
    <sheet name="11. Data Quality Audit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<sst xmlns="http://schemas.openxmlformats.org/spreadsheetml/2006/main" count="273" uniqueCount="234">
  <si>
    <t xml:space="preserve">THE Interdisciplinary Rankings — Inputs Pillar (19%) → Industry Funding (11%)</t>
  </si>
  <si>
    <t xml:space="preserve">Measures Industry Financial Engagement in Cross-Disciplinary University Research | 11% of Total Ranking</t>
  </si>
  <si>
    <t xml:space="preserve">#</t>
  </si>
  <si>
    <t xml:space="preserve">Sub-Indicator</t>
  </si>
  <si>
    <t xml:space="preserve">Description &amp; Measurement</t>
  </si>
  <si>
    <t xml:space="preserve">Approx. Weight</t>
  </si>
  <si>
    <t xml:space="preserve">Industry-Sponsored Research Income (Normalized)</t>
  </si>
  <si>
    <t xml:space="preserve">Total research funding received from industry partners, normalized by academic staff (FTE). Includes contract research, sponsored projects, co-funded R&amp;D, industry CSR-funded research, and technology development agreements. PPP-adjusted for global comparability. Signals the institution's relevance to industry R&amp;D needs.</t>
  </si>
  <si>
    <t xml:space="preserve">~4%</t>
  </si>
  <si>
    <t xml:space="preserve">Cross-Disciplinary Industry Funding</t>
  </si>
  <si>
    <t xml:space="preserve">Proportion of industry research income explicitly directed to projects spanning 2+ departments or ASJC areas. Includes co-funded joint labs, industry chairs covering multiple disciplines, and multi-domain sponsored projects. Captures industry's investment in convergent science capabilities.</t>
  </si>
  <si>
    <t xml:space="preserve">~2.5%</t>
  </si>
  <si>
    <t xml:space="preserve">Industry Partner Diversity</t>
  </si>
  <si>
    <t xml:space="preserve">Count and diversity of unique industry partners funding research. Shannon entropy on sector distribution (IT, pharma, automotive, energy, FMCG, defence, agri, etc.). More diverse industry partner portfolio = stronger knowledge exchange capacity.</t>
  </si>
  <si>
    <t xml:space="preserve">~1.5%</t>
  </si>
  <si>
    <t xml:space="preserve">Joint R&amp;D Centres, Chairs &amp; Co-Funded Labs</t>
  </si>
  <si>
    <t xml:space="preserve">Count and quality of formally established industry-co-funded research infrastructure: joint R&amp;D centres, endowed/sponsored chairs, co-funded laboratories, and industry Centres of Excellence (CoEs). Assessed via active status, output, and disciplines integrated.</t>
  </si>
  <si>
    <t xml:space="preserve">Industry Funding Sustainability &amp; Pipeline</t>
  </si>
  <si>
    <t xml:space="preserve">Multi-year industry funding trajectory: CAGR over 5 years, proportion of multi-year agreements (vs. one-off grants), and pipeline value of signed but un-disbursed industry commitments. Measures stability and growth of industry R&amp;D relationship.</t>
  </si>
  <si>
    <t xml:space="preserve">~1%</t>
  </si>
  <si>
    <t xml:space="preserve">Industry Consultancy &amp; Service Income</t>
  </si>
  <si>
    <t xml:space="preserve">Revenue from consultancy, testing, certification, and technical services provided to industry using multi-domain expertise. Separated from sponsored research but signals applied knowledge relevance. Normalized by FTE.</t>
  </si>
  <si>
    <t xml:space="preserve">~0.5%</t>
  </si>
  <si>
    <t xml:space="preserve">Key Reference Notes</t>
  </si>
  <si>
    <t xml:space="preserve">• Industry Funding contributes 11% to total ranking — the second sub-component of the Inputs pillar (19%), alongside Research Funding (8%).</t>
  </si>
  <si>
    <t xml:space="preserve">• Together, Inputs pillar = Research Funding (8%) + Industry Funding (11%) = 19% of total Interdisciplinary Science Ranking.</t>
  </si>
  <si>
    <t xml:space="preserve">• Data sources: institutional finance records, MoU/agreement databases, TTO records, audited accounts, THE submission.</t>
  </si>
  <si>
    <t xml:space="preserve">• Normalization by academic FTE ensures fair comparison between large and small institutions.</t>
  </si>
  <si>
    <t xml:space="preserve">• Cross-disciplinary industry funding identified by project scope spanning 2+ departments/ASJC areas in signed agreements.</t>
  </si>
  <si>
    <t xml:space="preserve">• Industry partner diversity uses Shannon entropy: H = −Σ pᵢ × log₂(pᵢ) on proportions across industry sector categories.</t>
  </si>
  <si>
    <t xml:space="preserve">• Consultancy income is separated from sponsored research; both are important but serve different analytical purposes.</t>
  </si>
  <si>
    <t xml:space="preserve">• PPP-adjusted figures used for global comparability; currency conversion uses World Bank PPP rates.</t>
  </si>
  <si>
    <t xml:space="preserve">Industry-Sponsored Research Income (5-Year Window)</t>
  </si>
  <si>
    <t xml:space="preserve">Total industry R&amp;D funding | Normalized by academic FTE | PPP-adjusted for global comparability</t>
  </si>
  <si>
    <t xml:space="preserve">S.No.</t>
  </si>
  <si>
    <t xml:space="preserve">University Name</t>
  </si>
  <si>
    <t xml:space="preserve">Country</t>
  </si>
  <si>
    <t xml:space="preserve">Year 1 (INR Cr / USD M)</t>
  </si>
  <si>
    <t xml:space="preserve">Year 2</t>
  </si>
  <si>
    <t xml:space="preserve">Year 3</t>
  </si>
  <si>
    <t xml:space="preserve">Year 4</t>
  </si>
  <si>
    <t xml:space="preserve">Year 5</t>
  </si>
  <si>
    <t xml:space="preserve">5-Year Total</t>
  </si>
  <si>
    <t xml:space="preserve">Academic Staff (FTE)</t>
  </si>
  <si>
    <t xml:space="preserve">Industry Income per FTE</t>
  </si>
  <si>
    <t xml:space="preserve">Reporting Period</t>
  </si>
  <si>
    <t xml:space="preserve">Summary Statistics</t>
  </si>
  <si>
    <t xml:space="preserve">Total Industry Funding (All Universities)</t>
  </si>
  <si>
    <t xml:space="preserve">Average Industry Income per FTE</t>
  </si>
  <si>
    <t xml:space="preserve">Highest Industry Income per FTE</t>
  </si>
  <si>
    <t xml:space="preserve">Median Industry Income per FTE</t>
  </si>
  <si>
    <t xml:space="preserve">Industry Research Funding by Sector (5-Year Aggregate)</t>
  </si>
  <si>
    <t xml:space="preserve">Breakdown by industry sector for diversity analysis | Shannon entropy on sector distribution</t>
  </si>
  <si>
    <t xml:space="preserve">IT/Software</t>
  </si>
  <si>
    <t xml:space="preserve">Pharma/Biotech</t>
  </si>
  <si>
    <t xml:space="preserve">Automotive/Mfg</t>
  </si>
  <si>
    <t xml:space="preserve">Energy/Oil&amp;Gas</t>
  </si>
  <si>
    <t xml:space="preserve">FMCG/Consumer</t>
  </si>
  <si>
    <t xml:space="preserve">Defence/Aero</t>
  </si>
  <si>
    <t xml:space="preserve">Agri/Food</t>
  </si>
  <si>
    <t xml:space="preserve">Telecom</t>
  </si>
  <si>
    <t xml:space="preserve">Finance/Banking</t>
  </si>
  <si>
    <t xml:space="preserve">Construction/Infra</t>
  </si>
  <si>
    <t xml:space="preserve">Other</t>
  </si>
  <si>
    <t xml:space="preserve">Total (Auto-Sum)</t>
  </si>
  <si>
    <t xml:space="preserve">Sector Entropy (H)</t>
  </si>
  <si>
    <t xml:space="preserve">Cross-Disciplinary Industry Funding — Projects Spanning 2+ Departments</t>
  </si>
  <si>
    <t xml:space="preserve">Subset of industry income allocated to multi-domain projects | Co-funded labs, multi-dept sponsored research</t>
  </si>
  <si>
    <t xml:space="preserve">Total Industry Funding (5yr)</t>
  </si>
  <si>
    <t xml:space="preserve">Co-Funded Joint Lab / Centre Funding</t>
  </si>
  <si>
    <t xml:space="preserve">Multi-Dept Sponsored Projects</t>
  </si>
  <si>
    <t xml:space="preserve">Industry Chairs (Cross-Domain)</t>
  </si>
  <si>
    <t xml:space="preserve">Total Cross-Disc. Industry Funding</t>
  </si>
  <si>
    <t xml:space="preserve">% Cross-Disciplinary</t>
  </si>
  <si>
    <t xml:space="preserve">Detailed Cross-Disciplinary Industry Project Log</t>
  </si>
  <si>
    <t xml:space="preserve">Project Title</t>
  </si>
  <si>
    <t xml:space="preserve">Industry Partner</t>
  </si>
  <si>
    <t xml:space="preserve">Amount (INR L / USD K)</t>
  </si>
  <si>
    <t xml:space="preserve">Disciplines / ASJC Areas (2+)</t>
  </si>
  <si>
    <t xml:space="preserve">University Departments Involved</t>
  </si>
  <si>
    <t xml:space="preserve">PI &amp; Co-PI</t>
  </si>
  <si>
    <t xml:space="preserve">Duration (Years)</t>
  </si>
  <si>
    <t xml:space="preserve">Status (Active/Completed)</t>
  </si>
  <si>
    <t xml:space="preserve">Industry Partner Diversity — Breadth &amp; Entropy of Partner Portfolio</t>
  </si>
  <si>
    <t xml:space="preserve">Shannon entropy on sector distribution | More diverse partners = stronger knowledge exchange capacity</t>
  </si>
  <si>
    <t xml:space="preserve">Total Unique Industry Partners</t>
  </si>
  <si>
    <t xml:space="preserve">No. of Industry Sectors Represented</t>
  </si>
  <si>
    <t xml:space="preserve">Top Industry Partner (by funding)</t>
  </si>
  <si>
    <t xml:space="preserve">Top Industry Sector (by funding)</t>
  </si>
  <si>
    <t xml:space="preserve">Sector Entropy H (bits)</t>
  </si>
  <si>
    <t xml:space="preserve">Partner Diversity Score (0–100)</t>
  </si>
  <si>
    <t xml:space="preserve">Diversity Tier</t>
  </si>
  <si>
    <t xml:space="preserve">Industry Co-Funded R&amp;D Centres, Endowed Chairs &amp; Joint Laboratories</t>
  </si>
  <si>
    <t xml:space="preserve">Formally established industry-university joint infrastructure | Per-unit detail</t>
  </si>
  <si>
    <t xml:space="preserve">Centre / Chair / Lab Name</t>
  </si>
  <si>
    <t xml:space="preserve">Industry Partner(s)</t>
  </si>
  <si>
    <t xml:space="preserve">Disciplines Integrated (2+)</t>
  </si>
  <si>
    <t xml:space="preserve">Year Established</t>
  </si>
  <si>
    <t xml:space="preserve">Industry Funding (INR L / USD K)</t>
  </si>
  <si>
    <t xml:space="preserve">Faculty Attached</t>
  </si>
  <si>
    <t xml:space="preserve">Research Outputs (5yr)</t>
  </si>
  <si>
    <t xml:space="preserve">Active (Y/N)</t>
  </si>
  <si>
    <t xml:space="preserve">University-Level Summary — Joint Infrastructure</t>
  </si>
  <si>
    <t xml:space="preserve">Total Joint Centres</t>
  </si>
  <si>
    <t xml:space="preserve">Total Endowed Chairs</t>
  </si>
  <si>
    <t xml:space="preserve">Total Co-Funded Labs</t>
  </si>
  <si>
    <t xml:space="preserve">Total Industry Investment</t>
  </si>
  <si>
    <t xml:space="preserve">Avg Disciplines per Unit</t>
  </si>
  <si>
    <t xml:space="preserve">Total Outputs from Joint Infra</t>
  </si>
  <si>
    <t xml:space="preserve">Active Rate (%)</t>
  </si>
  <si>
    <t xml:space="preserve">Reporting Year</t>
  </si>
  <si>
    <t xml:space="preserve">Industry Funding Sustainability, Growth &amp; Pipeline</t>
  </si>
  <si>
    <t xml:space="preserve">CAGR | Multi-year vs one-off | Pipeline of signed but un-disbursed commitments</t>
  </si>
  <si>
    <t xml:space="preserve">Year 1 Industry Funding</t>
  </si>
  <si>
    <t xml:space="preserve">CAGR (%)</t>
  </si>
  <si>
    <t xml:space="preserve">Pipeline Value (Signed, Un-disbursed)</t>
  </si>
  <si>
    <t xml:space="preserve">% Multi-Year Agreements</t>
  </si>
  <si>
    <t xml:space="preserve">Industry Consultancy &amp; Technical Service Income</t>
  </si>
  <si>
    <t xml:space="preserve">Revenue from consultancy, testing, certification using multi-domain expertise | Separate from sponsored R&amp;D</t>
  </si>
  <si>
    <t xml:space="preserve">Total Consultancy Income (5yr, INR Cr / USD M)</t>
  </si>
  <si>
    <t xml:space="preserve">Cross-Domain Consultancy Income</t>
  </si>
  <si>
    <t xml:space="preserve">% Cross-Domain Consultancy</t>
  </si>
  <si>
    <t xml:space="preserve">Consultancy per FTE</t>
  </si>
  <si>
    <t xml:space="preserve">Detailed Consultancy / Service Engagement Log</t>
  </si>
  <si>
    <t xml:space="preserve">Consultancy Title / Service</t>
  </si>
  <si>
    <t xml:space="preserve">Industry Client</t>
  </si>
  <si>
    <t xml:space="preserve">Domains Applied (2+)</t>
  </si>
  <si>
    <t xml:space="preserve">Departments Involved</t>
  </si>
  <si>
    <t xml:space="preserve">Faculty Lead</t>
  </si>
  <si>
    <t xml:space="preserve">Year</t>
  </si>
  <si>
    <t xml:space="preserve">Industry Engagement Ecosystem — Structural Readiness Checklist</t>
  </si>
  <si>
    <t xml:space="preserve">Institutional mechanisms enabling industry R&amp;D funding | Per-university assessment</t>
  </si>
  <si>
    <t xml:space="preserve">Ecosystem Component</t>
  </si>
  <si>
    <t xml:space="preserve">Status (Y/N/Planned)</t>
  </si>
  <si>
    <t xml:space="preserve">Scale / Evidence</t>
  </si>
  <si>
    <t xml:space="preserve">Remarks</t>
  </si>
  <si>
    <t xml:space="preserve">Dedicated Industry Liaison / Corporate Relations Office</t>
  </si>
  <si>
    <t xml:space="preserve">Institutional IP policy incentivizing industry-funded research</t>
  </si>
  <si>
    <t xml:space="preserve">Industry Advisory Board at university level (with cross-sector representation)</t>
  </si>
  <si>
    <t xml:space="preserve">Standard MoU / agreement template for industry R&amp;D partnerships</t>
  </si>
  <si>
    <t xml:space="preserve">Streamlined approval process for industry-funded projects (&lt;30 days)</t>
  </si>
  <si>
    <t xml:space="preserve">Industry co-funded research chairs / professorships programme</t>
  </si>
  <si>
    <t xml:space="preserve">Joint R&amp;D centre framework (space, governance, IP sharing)</t>
  </si>
  <si>
    <t xml:space="preserve">Industry sabbatical / visiting researcher programme</t>
  </si>
  <si>
    <t xml:space="preserve">Faculty incentive structure rewarding industry-funded research output</t>
  </si>
  <si>
    <t xml:space="preserve">Industry-sponsored PhD / postdoc fellowship programme</t>
  </si>
  <si>
    <t xml:space="preserve">Shared prototyping / pilot-scale facility available to industry partners</t>
  </si>
  <si>
    <t xml:space="preserve">Annual industry-academia conclave / research showcase event</t>
  </si>
  <si>
    <t xml:space="preserve">CRM / database tracking all industry partnerships and funding</t>
  </si>
  <si>
    <t xml:space="preserve">Multi-year strategic partnership framework (beyond one-off projects)</t>
  </si>
  <si>
    <t xml:space="preserve">Cross-departmental industry project teams formally constituted</t>
  </si>
  <si>
    <t xml:space="preserve">Industry skill-gap aligned curriculum co-design mechanism</t>
  </si>
  <si>
    <t xml:space="preserve">Startup-industry bridge programme (connecting university spin-offs with corporates)</t>
  </si>
  <si>
    <t xml:space="preserve">CSR-to-R&amp;D conversion pipeline for industry CSR funds</t>
  </si>
  <si>
    <t xml:space="preserve">Ecosystem Summary</t>
  </si>
  <si>
    <t xml:space="preserve">Total Components Present</t>
  </si>
  <si>
    <t xml:space="preserve">Ecosystem Readiness (%)</t>
  </si>
  <si>
    <t xml:space="preserve">Composite Industry Funding Score (0–100) — 11% of Total Ranking</t>
  </si>
  <si>
    <t xml:space="preserve">Weighted composite of 6 sub-indicators | Weights editable in Row 4</t>
  </si>
  <si>
    <t xml:space="preserve">Income/FTE (A)</t>
  </si>
  <si>
    <t xml:space="preserve">Cross-Disc. % (B)</t>
  </si>
  <si>
    <t xml:space="preserve">Partner Diversity (C)</t>
  </si>
  <si>
    <t xml:space="preserve">Joint Centres (D)</t>
  </si>
  <si>
    <t xml:space="preserve">Growth/Pipeline (E)</t>
  </si>
  <si>
    <t xml:space="preserve">Consultancy (F)</t>
  </si>
  <si>
    <t xml:space="preserve">Composite IF Score (0–100)</t>
  </si>
  <si>
    <t xml:space="preserve">Global Rank</t>
  </si>
  <si>
    <t xml:space="preserve">Weights →</t>
  </si>
  <si>
    <t xml:space="preserve">Benchmarking &amp; Peer Comparison — Industry Funding</t>
  </si>
  <si>
    <t xml:space="preserve">Compare against peers, aspirational targets, and global top performers</t>
  </si>
  <si>
    <t xml:space="preserve">University / Benchmark</t>
  </si>
  <si>
    <t xml:space="preserve">Income/FTE</t>
  </si>
  <si>
    <t xml:space="preserve">X-Disc %</t>
  </si>
  <si>
    <t xml:space="preserve">Diversity</t>
  </si>
  <si>
    <t xml:space="preserve">Centres</t>
  </si>
  <si>
    <t xml:space="preserve">Growth</t>
  </si>
  <si>
    <t xml:space="preserve">Consultancy</t>
  </si>
  <si>
    <t xml:space="preserve">Composite IF</t>
  </si>
  <si>
    <t xml:space="preserve">Peer Group</t>
  </si>
  <si>
    <t xml:space="preserve">Your Institution</t>
  </si>
  <si>
    <t xml:space="preserve">Target</t>
  </si>
  <si>
    <t xml:space="preserve">Global Top 10 Average</t>
  </si>
  <si>
    <t xml:space="preserve">Aspirational</t>
  </si>
  <si>
    <t xml:space="preserve">National Average</t>
  </si>
  <si>
    <t xml:space="preserve">National</t>
  </si>
  <si>
    <t xml:space="preserve">Peer Group Average</t>
  </si>
  <si>
    <t xml:space="preserve">Peer</t>
  </si>
  <si>
    <t xml:space="preserve">Industry Funding — Data Quality &amp; Audit Checklist</t>
  </si>
  <si>
    <t xml:space="preserve">Validation checks for all sub-indicators of the Industry Funding component (11% of total ranking)</t>
  </si>
  <si>
    <t xml:space="preserve">Quality Check</t>
  </si>
  <si>
    <t xml:space="preserve">Description</t>
  </si>
  <si>
    <t xml:space="preserve">Status (✓/✗/IP)</t>
  </si>
  <si>
    <t xml:space="preserve">Date</t>
  </si>
  <si>
    <t xml:space="preserve">Reviewer</t>
  </si>
  <si>
    <t xml:space="preserve">Industry income definition</t>
  </si>
  <si>
    <t xml:space="preserve">Only R&amp;D income from industry included; tuition/fee income from corporate training excluded</t>
  </si>
  <si>
    <t xml:space="preserve">Sponsored R&amp;D vs. consultancy separation</t>
  </si>
  <si>
    <t xml:space="preserve">Sponsored research (new knowledge creation) separated from consultancy (applying existing knowledge)</t>
  </si>
  <si>
    <t xml:space="preserve">PPP normalization</t>
  </si>
  <si>
    <t xml:space="preserve">All figures converted to USD using World Bank PPP rates for the relevant year</t>
  </si>
  <si>
    <t xml:space="preserve">FTE definition consistency</t>
  </si>
  <si>
    <t xml:space="preserve">Academic FTE per THE guidelines; excludes admin/technical support staff</t>
  </si>
  <si>
    <t xml:space="preserve">5-year window alignment</t>
  </si>
  <si>
    <t xml:space="preserve">All 5 years cover same fiscal/calendar year definition consistently</t>
  </si>
  <si>
    <t xml:space="preserve">Cross-disciplinary project verification</t>
  </si>
  <si>
    <t xml:space="preserve">Each project classified as 'cross-disciplinary' verified as spanning 2+ departments in signed agreement</t>
  </si>
  <si>
    <t xml:space="preserve">Double-counting prevention</t>
  </si>
  <si>
    <t xml:space="preserve">Same funding not counted in multiple sub-categories or across sheets</t>
  </si>
  <si>
    <t xml:space="preserve">Industry sector classification</t>
  </si>
  <si>
    <t xml:space="preserve">All partners mapped to exactly one of 11 standard sectors; no 'unclassified' entries</t>
  </si>
  <si>
    <t xml:space="preserve">Entropy calculation validation</t>
  </si>
  <si>
    <t xml:space="preserve">Shannon entropy uses log₂; proportions sum to 100%; verified for 2–3 universities manually</t>
  </si>
  <si>
    <t xml:space="preserve">Joint centre active status</t>
  </si>
  <si>
    <t xml:space="preserve">All centres/chairs/labs marked 'Active' have produced output or received funding in past 3 years</t>
  </si>
  <si>
    <t xml:space="preserve">CAGR formula verification</t>
  </si>
  <si>
    <t xml:space="preserve">CAGR = (Year5/Year1)^(1/4) − 1; negative growth handled correctly; verified</t>
  </si>
  <si>
    <t xml:space="preserve">Pipeline value documentation</t>
  </si>
  <si>
    <t xml:space="preserve">Pipeline = signed agreements with future disbursement dates; backed by signed MoUs</t>
  </si>
  <si>
    <t xml:space="preserve">Multi-year agreement classification</t>
  </si>
  <si>
    <t xml:space="preserve">Multi-year = agreement duration ≥2 years with committed annual funding</t>
  </si>
  <si>
    <t xml:space="preserve">Consultancy detail log completeness</t>
  </si>
  <si>
    <t xml:space="preserve">All consultancy engagements above INR 1L / USD 2K threshold logged</t>
  </si>
  <si>
    <t xml:space="preserve">Ecosystem checklist evidence</t>
  </si>
  <si>
    <t xml:space="preserve">Each item marked 'Y' backed by verifiable institutional document or webpage</t>
  </si>
  <si>
    <t xml:space="preserve">CSR-to-R&amp;D distinction</t>
  </si>
  <si>
    <t xml:space="preserve">CSR funds converted to research clearly distinguished from philanthropic donations</t>
  </si>
  <si>
    <t xml:space="preserve">Sub-indicator weight validation</t>
  </si>
  <si>
    <t xml:space="preserve">Weights sum to 100% of Industry Funding component (11% of total ranking)</t>
  </si>
  <si>
    <t xml:space="preserve">Outlier detection</t>
  </si>
  <si>
    <t xml:space="preserve">Universities with industry income/FTE &gt;3 SD from mean flagged for verification</t>
  </si>
  <si>
    <t xml:space="preserve">Year-on-year trend check</t>
  </si>
  <si>
    <t xml:space="preserve">Compare current data with previous cycle; flag anomalous changes (&gt;30% shift)</t>
  </si>
  <si>
    <t xml:space="preserve">Reproducibility test</t>
  </si>
  <si>
    <t xml:space="preserve">All calculations reproducible by independent analyst using this workbook and financial records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</si>
</sst>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00"/>
    <numFmt numFmtId="167" formatCode="0.0"/>
    <numFmt numFmtId="168" formatCode="0.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D47A1"/>
        <bgColor rgb="FF3F51B5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5D9"/>
      </patternFill>
    </fill>
    <fill>
      <patternFill patternType="solid">
        <fgColor rgb="FF1A2E4F"/>
        <bgColor rgb="FF37474F"/>
      </patternFill>
    </fill>
    <fill>
      <patternFill patternType="solid">
        <fgColor rgb="FFC8102E"/>
        <bgColor rgb="FF993300"/>
      </patternFill>
    </fill>
    <fill>
      <patternFill patternType="solid">
        <fgColor rgb="FF548235"/>
        <bgColor rgb="FF808080"/>
      </patternFill>
    </fill>
    <fill>
      <patternFill patternType="solid">
        <fgColor rgb="FFE2EFDA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2F8F9D"/>
        <bgColor rgb="FF2E75B6"/>
      </patternFill>
    </fill>
    <fill>
      <patternFill patternType="solid">
        <fgColor rgb="FF3F51B5"/>
        <bgColor rgb="FF666699"/>
      </patternFill>
    </fill>
    <fill>
      <patternFill patternType="solid">
        <fgColor rgb="FF7030A0"/>
        <bgColor rgb="FF3F51B5"/>
      </patternFill>
    </fill>
    <fill>
      <patternFill patternType="solid">
        <fgColor rgb="FFBF8F00"/>
        <bgColor rgb="FFED7D31"/>
      </patternFill>
    </fill>
    <fill>
      <patternFill patternType="solid">
        <fgColor rgb="FF6D4C41"/>
        <bgColor rgb="FF404040"/>
      </patternFill>
    </fill>
    <fill>
      <patternFill patternType="solid">
        <fgColor rgb="FF37474F"/>
        <bgColor rgb="FF404040"/>
      </patternFill>
    </fill>
    <fill>
      <patternFill patternType="solid">
        <fgColor rgb="FFFFF5D9"/>
        <bgColor rgb="FFF2F2F2"/>
      </patternFill>
    </fill>
    <fill>
      <patternFill patternType="solid">
        <fgColor rgb="FF2E75B6"/>
        <bgColor rgb="FF2F8F9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808080"/>
      <rgbColor rgb="FF9999FF"/>
      <rgbColor rgb="FF7030A0"/>
      <rgbColor rgb="FFFFF5D9"/>
      <rgbColor rgb="FFF2F2F2"/>
      <rgbColor rgb="FF660066"/>
      <rgbColor rgb="FFFF8080"/>
      <rgbColor rgb="FF0D47A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7474F"/>
      <rgbColor rgb="FF993300"/>
      <rgbColor rgb="FF6D4C41"/>
      <rgbColor rgb="FF3F51B5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47A1"/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84.75" hidden="false" customHeight="true" outlineLevel="0" collapsed="false">
      <c r="A5" s="4" t="n">
        <v>1</v>
      </c>
      <c r="B5" s="5" t="s">
        <v>6</v>
      </c>
      <c r="C5" s="6" t="s">
        <v>7</v>
      </c>
      <c r="D5" s="7" t="s">
        <v>8</v>
      </c>
    </row>
    <row r="6" customFormat="false" ht="84.75" hidden="false" customHeight="true" outlineLevel="0" collapsed="false">
      <c r="A6" s="8" t="n">
        <v>2</v>
      </c>
      <c r="B6" s="9" t="s">
        <v>9</v>
      </c>
      <c r="C6" s="10" t="s">
        <v>10</v>
      </c>
      <c r="D6" s="11" t="s">
        <v>11</v>
      </c>
    </row>
    <row r="7" customFormat="false" ht="84.75" hidden="false" customHeight="true" outlineLevel="0" collapsed="false">
      <c r="A7" s="4" t="n">
        <v>3</v>
      </c>
      <c r="B7" s="5" t="s">
        <v>12</v>
      </c>
      <c r="C7" s="6" t="s">
        <v>13</v>
      </c>
      <c r="D7" s="7" t="s">
        <v>14</v>
      </c>
    </row>
    <row r="8" customFormat="false" ht="84.75" hidden="false" customHeight="true" outlineLevel="0" collapsed="false">
      <c r="A8" s="8" t="n">
        <v>4</v>
      </c>
      <c r="B8" s="9" t="s">
        <v>15</v>
      </c>
      <c r="C8" s="10" t="s">
        <v>16</v>
      </c>
      <c r="D8" s="11" t="s">
        <v>14</v>
      </c>
    </row>
    <row r="9" customFormat="false" ht="84.75" hidden="false" customHeight="true" outlineLevel="0" collapsed="false">
      <c r="A9" s="4" t="n">
        <v>5</v>
      </c>
      <c r="B9" s="5" t="s">
        <v>17</v>
      </c>
      <c r="C9" s="6" t="s">
        <v>18</v>
      </c>
      <c r="D9" s="7" t="s">
        <v>19</v>
      </c>
    </row>
    <row r="10" customFormat="false" ht="84.75" hidden="false" customHeight="true" outlineLevel="0" collapsed="false">
      <c r="A10" s="8" t="n">
        <v>6</v>
      </c>
      <c r="B10" s="9" t="s">
        <v>20</v>
      </c>
      <c r="C10" s="10" t="s">
        <v>21</v>
      </c>
      <c r="D10" s="11" t="s">
        <v>22</v>
      </c>
    </row>
    <row r="12" customFormat="false" ht="25.5" hidden="false" customHeight="true" outlineLevel="0" collapsed="false">
      <c r="A12" s="12" t="s">
        <v>23</v>
      </c>
      <c r="B12" s="12"/>
      <c r="C12" s="12"/>
      <c r="D12" s="12"/>
    </row>
    <row r="13" customFormat="false" ht="23.85" hidden="false" customHeight="true" outlineLevel="0" collapsed="false">
      <c r="A13" s="13" t="s">
        <v>24</v>
      </c>
      <c r="B13" s="13"/>
      <c r="C13" s="13"/>
      <c r="D13" s="13"/>
    </row>
    <row r="14" customFormat="false" ht="15" hidden="false" customHeight="true" outlineLevel="0" collapsed="false">
      <c r="A14" s="13" t="s">
        <v>25</v>
      </c>
      <c r="B14" s="13"/>
      <c r="C14" s="13"/>
      <c r="D14" s="13"/>
    </row>
    <row r="15" customFormat="false" ht="15" hidden="false" customHeight="true" outlineLevel="0" collapsed="false">
      <c r="A15" s="13" t="s">
        <v>26</v>
      </c>
      <c r="B15" s="13"/>
      <c r="C15" s="13"/>
      <c r="D15" s="13"/>
    </row>
    <row r="16" customFormat="false" ht="15" hidden="false" customHeight="true" outlineLevel="0" collapsed="false">
      <c r="A16" s="13" t="s">
        <v>27</v>
      </c>
      <c r="B16" s="13"/>
      <c r="C16" s="13"/>
      <c r="D16" s="13"/>
    </row>
    <row r="17" customFormat="false" ht="15" hidden="false" customHeight="true" outlineLevel="0" collapsed="false">
      <c r="A17" s="13" t="s">
        <v>28</v>
      </c>
      <c r="B17" s="13"/>
      <c r="C17" s="13"/>
      <c r="D17" s="13"/>
    </row>
    <row r="18" customFormat="false" ht="15" hidden="false" customHeight="true" outlineLevel="0" collapsed="false">
      <c r="A18" s="13" t="s">
        <v>29</v>
      </c>
      <c r="B18" s="13"/>
      <c r="C18" s="13"/>
      <c r="D18" s="13"/>
    </row>
    <row r="19" customFormat="false" ht="15" hidden="false" customHeight="true" outlineLevel="0" collapsed="false">
      <c r="A19" s="13" t="s">
        <v>30</v>
      </c>
      <c r="B19" s="13"/>
      <c r="C19" s="13"/>
      <c r="D19" s="13"/>
    </row>
    <row r="20" customFormat="false" ht="15" hidden="false" customHeight="true" outlineLevel="0" collapsed="false">
      <c r="A20" s="13" t="s">
        <v>31</v>
      </c>
      <c r="B20" s="13"/>
      <c r="C20" s="13"/>
      <c r="D20" s="13"/>
    </row>
  </sheetData>
  <mergeCells count="11">
    <mergeCell ref="A1:D1"/>
    <mergeCell ref="A2:D2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L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9" min="4" style="0" width="18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4"/>
  </cols>
  <sheetData>
    <row r="1" customFormat="false" ht="33.75" hidden="false" customHeight="true" outlineLevel="0" collapsed="false">
      <c r="A1" s="14" t="s">
        <v>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customFormat="false" ht="25.5" hidden="false" customHeight="true" outlineLevel="0" collapsed="false">
      <c r="A2" s="15" t="s">
        <v>33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customFormat="false" ht="23.85" hidden="false" customHeight="false" outlineLevel="0" collapsed="false">
      <c r="A3" s="16" t="s">
        <v>34</v>
      </c>
      <c r="B3" s="16" t="s">
        <v>35</v>
      </c>
      <c r="C3" s="16" t="s">
        <v>36</v>
      </c>
      <c r="D3" s="16" t="s">
        <v>37</v>
      </c>
      <c r="E3" s="16" t="s">
        <v>38</v>
      </c>
      <c r="F3" s="16" t="s">
        <v>39</v>
      </c>
      <c r="G3" s="16" t="s">
        <v>40</v>
      </c>
      <c r="H3" s="16" t="s">
        <v>41</v>
      </c>
      <c r="I3" s="16" t="s">
        <v>42</v>
      </c>
      <c r="J3" s="16" t="s">
        <v>43</v>
      </c>
      <c r="K3" s="16" t="s">
        <v>44</v>
      </c>
      <c r="L3" s="16" t="s">
        <v>45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8" t="n">
        <f aca="false">SUM(D4:H4)</f>
        <v>0</v>
      </c>
      <c r="J4" s="17"/>
      <c r="K4" s="18" t="n">
        <f aca="false">IF(J4&gt;0,I4/J4,0)</f>
        <v>0</v>
      </c>
      <c r="L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19"/>
      <c r="I5" s="20" t="n">
        <f aca="false">SUM(D5:H5)</f>
        <v>0</v>
      </c>
      <c r="J5" s="19"/>
      <c r="K5" s="20" t="n">
        <f aca="false">IF(J5&gt;0,I5/J5,0)</f>
        <v>0</v>
      </c>
      <c r="L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8" t="n">
        <f aca="false">SUM(D6:H6)</f>
        <v>0</v>
      </c>
      <c r="J6" s="17"/>
      <c r="K6" s="18" t="n">
        <f aca="false">IF(J6&gt;0,I6/J6,0)</f>
        <v>0</v>
      </c>
      <c r="L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19"/>
      <c r="I7" s="20" t="n">
        <f aca="false">SUM(D7:H7)</f>
        <v>0</v>
      </c>
      <c r="J7" s="19"/>
      <c r="K7" s="20" t="n">
        <f aca="false">IF(J7&gt;0,I7/J7,0)</f>
        <v>0</v>
      </c>
      <c r="L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8" t="n">
        <f aca="false">SUM(D8:H8)</f>
        <v>0</v>
      </c>
      <c r="J8" s="17"/>
      <c r="K8" s="18" t="n">
        <f aca="false">IF(J8&gt;0,I8/J8,0)</f>
        <v>0</v>
      </c>
      <c r="L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19"/>
      <c r="I9" s="20" t="n">
        <f aca="false">SUM(D9:H9)</f>
        <v>0</v>
      </c>
      <c r="J9" s="19"/>
      <c r="K9" s="20" t="n">
        <f aca="false">IF(J9&gt;0,I9/J9,0)</f>
        <v>0</v>
      </c>
      <c r="L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8" t="n">
        <f aca="false">SUM(D10:H10)</f>
        <v>0</v>
      </c>
      <c r="J10" s="17"/>
      <c r="K10" s="18" t="n">
        <f aca="false">IF(J10&gt;0,I10/J10,0)</f>
        <v>0</v>
      </c>
      <c r="L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19"/>
      <c r="I11" s="20" t="n">
        <f aca="false">SUM(D11:H11)</f>
        <v>0</v>
      </c>
      <c r="J11" s="19"/>
      <c r="K11" s="20" t="n">
        <f aca="false">IF(J11&gt;0,I11/J11,0)</f>
        <v>0</v>
      </c>
      <c r="L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8" t="n">
        <f aca="false">SUM(D12:H12)</f>
        <v>0</v>
      </c>
      <c r="J12" s="17"/>
      <c r="K12" s="18" t="n">
        <f aca="false">IF(J12&gt;0,I12/J12,0)</f>
        <v>0</v>
      </c>
      <c r="L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19"/>
      <c r="I13" s="20" t="n">
        <f aca="false">SUM(D13:H13)</f>
        <v>0</v>
      </c>
      <c r="J13" s="19"/>
      <c r="K13" s="20" t="n">
        <f aca="false">IF(J13&gt;0,I13/J13,0)</f>
        <v>0</v>
      </c>
      <c r="L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8" t="n">
        <f aca="false">SUM(D14:H14)</f>
        <v>0</v>
      </c>
      <c r="J14" s="17"/>
      <c r="K14" s="18" t="n">
        <f aca="false">IF(J14&gt;0,I14/J14,0)</f>
        <v>0</v>
      </c>
      <c r="L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19"/>
      <c r="I15" s="20" t="n">
        <f aca="false">SUM(D15:H15)</f>
        <v>0</v>
      </c>
      <c r="J15" s="19"/>
      <c r="K15" s="20" t="n">
        <f aca="false">IF(J15&gt;0,I15/J15,0)</f>
        <v>0</v>
      </c>
      <c r="L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8" t="n">
        <f aca="false">SUM(D16:H16)</f>
        <v>0</v>
      </c>
      <c r="J16" s="17"/>
      <c r="K16" s="18" t="n">
        <f aca="false">IF(J16&gt;0,I16/J16,0)</f>
        <v>0</v>
      </c>
      <c r="L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19"/>
      <c r="I17" s="20" t="n">
        <f aca="false">SUM(D17:H17)</f>
        <v>0</v>
      </c>
      <c r="J17" s="19"/>
      <c r="K17" s="20" t="n">
        <f aca="false">IF(J17&gt;0,I17/J17,0)</f>
        <v>0</v>
      </c>
      <c r="L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8" t="n">
        <f aca="false">SUM(D18:H18)</f>
        <v>0</v>
      </c>
      <c r="J18" s="17"/>
      <c r="K18" s="18" t="n">
        <f aca="false">IF(J18&gt;0,I18/J18,0)</f>
        <v>0</v>
      </c>
      <c r="L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19"/>
      <c r="I19" s="20" t="n">
        <f aca="false">SUM(D19:H19)</f>
        <v>0</v>
      </c>
      <c r="J19" s="19"/>
      <c r="K19" s="20" t="n">
        <f aca="false">IF(J19&gt;0,I19/J19,0)</f>
        <v>0</v>
      </c>
      <c r="L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8" t="n">
        <f aca="false">SUM(D20:H20)</f>
        <v>0</v>
      </c>
      <c r="J20" s="17"/>
      <c r="K20" s="18" t="n">
        <f aca="false">IF(J20&gt;0,I20/J20,0)</f>
        <v>0</v>
      </c>
      <c r="L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19"/>
      <c r="I21" s="20" t="n">
        <f aca="false">SUM(D21:H21)</f>
        <v>0</v>
      </c>
      <c r="J21" s="19"/>
      <c r="K21" s="20" t="n">
        <f aca="false">IF(J21&gt;0,I21/J21,0)</f>
        <v>0</v>
      </c>
      <c r="L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8" t="n">
        <f aca="false">SUM(D22:H22)</f>
        <v>0</v>
      </c>
      <c r="J22" s="17"/>
      <c r="K22" s="18" t="n">
        <f aca="false">IF(J22&gt;0,I22/J22,0)</f>
        <v>0</v>
      </c>
      <c r="L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19"/>
      <c r="I23" s="20" t="n">
        <f aca="false">SUM(D23:H23)</f>
        <v>0</v>
      </c>
      <c r="J23" s="19"/>
      <c r="K23" s="20" t="n">
        <f aca="false">IF(J23&gt;0,I23/J23,0)</f>
        <v>0</v>
      </c>
      <c r="L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8" t="n">
        <f aca="false">SUM(D24:H24)</f>
        <v>0</v>
      </c>
      <c r="J24" s="17"/>
      <c r="K24" s="18" t="n">
        <f aca="false">IF(J24&gt;0,I24/J24,0)</f>
        <v>0</v>
      </c>
      <c r="L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19"/>
      <c r="I25" s="20" t="n">
        <f aca="false">SUM(D25:H25)</f>
        <v>0</v>
      </c>
      <c r="J25" s="19"/>
      <c r="K25" s="20" t="n">
        <f aca="false">IF(J25&gt;0,I25/J25,0)</f>
        <v>0</v>
      </c>
      <c r="L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8" t="n">
        <f aca="false">SUM(D26:H26)</f>
        <v>0</v>
      </c>
      <c r="J26" s="17"/>
      <c r="K26" s="18" t="n">
        <f aca="false">IF(J26&gt;0,I26/J26,0)</f>
        <v>0</v>
      </c>
      <c r="L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19"/>
      <c r="I27" s="20" t="n">
        <f aca="false">SUM(D27:H27)</f>
        <v>0</v>
      </c>
      <c r="J27" s="19"/>
      <c r="K27" s="20" t="n">
        <f aca="false">IF(J27&gt;0,I27/J27,0)</f>
        <v>0</v>
      </c>
      <c r="L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8" t="n">
        <f aca="false">SUM(D28:H28)</f>
        <v>0</v>
      </c>
      <c r="J28" s="17"/>
      <c r="K28" s="18" t="n">
        <f aca="false">IF(J28&gt;0,I28/J28,0)</f>
        <v>0</v>
      </c>
      <c r="L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19"/>
      <c r="I29" s="20" t="n">
        <f aca="false">SUM(D29:H29)</f>
        <v>0</v>
      </c>
      <c r="J29" s="19"/>
      <c r="K29" s="20" t="n">
        <f aca="false">IF(J29&gt;0,I29/J29,0)</f>
        <v>0</v>
      </c>
      <c r="L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8" t="n">
        <f aca="false">SUM(D30:H30)</f>
        <v>0</v>
      </c>
      <c r="J30" s="17"/>
      <c r="K30" s="18" t="n">
        <f aca="false">IF(J30&gt;0,I30/J30,0)</f>
        <v>0</v>
      </c>
      <c r="L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19"/>
      <c r="I31" s="20" t="n">
        <f aca="false">SUM(D31:H31)</f>
        <v>0</v>
      </c>
      <c r="J31" s="19"/>
      <c r="K31" s="20" t="n">
        <f aca="false">IF(J31&gt;0,I31/J31,0)</f>
        <v>0</v>
      </c>
      <c r="L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8" t="n">
        <f aca="false">SUM(D32:H32)</f>
        <v>0</v>
      </c>
      <c r="J32" s="17"/>
      <c r="K32" s="18" t="n">
        <f aca="false">IF(J32&gt;0,I32/J32,0)</f>
        <v>0</v>
      </c>
      <c r="L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19"/>
      <c r="I33" s="20" t="n">
        <f aca="false">SUM(D33:H33)</f>
        <v>0</v>
      </c>
      <c r="J33" s="19"/>
      <c r="K33" s="20" t="n">
        <f aca="false">IF(J33&gt;0,I33/J33,0)</f>
        <v>0</v>
      </c>
      <c r="L33" s="19"/>
    </row>
    <row r="35" customFormat="false" ht="25.5" hidden="false" customHeight="true" outlineLevel="0" collapsed="false">
      <c r="A35" s="21" t="s">
        <v>46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customFormat="false" ht="15" hidden="false" customHeight="true" outlineLevel="0" collapsed="false">
      <c r="A36" s="22" t="s">
        <v>47</v>
      </c>
      <c r="B36" s="22"/>
      <c r="C36" s="22"/>
      <c r="D36" s="22"/>
      <c r="E36" s="22"/>
      <c r="F36" s="23" t="n">
        <f aca="false">SUM(I4:I33)</f>
        <v>0</v>
      </c>
      <c r="G36" s="24"/>
      <c r="H36" s="24"/>
      <c r="I36" s="24"/>
      <c r="J36" s="24"/>
      <c r="K36" s="24"/>
      <c r="L36" s="24"/>
    </row>
    <row r="37" customFormat="false" ht="15" hidden="false" customHeight="true" outlineLevel="0" collapsed="false">
      <c r="A37" s="22" t="s">
        <v>48</v>
      </c>
      <c r="B37" s="22"/>
      <c r="C37" s="22"/>
      <c r="D37" s="22"/>
      <c r="E37" s="22"/>
      <c r="F37" s="23" t="n">
        <f aca="false">IF(COUNTA(K4:K33)&gt;0,AVERAGE(K4:K33),0)</f>
        <v>0</v>
      </c>
      <c r="G37" s="24"/>
      <c r="H37" s="24"/>
      <c r="I37" s="24"/>
      <c r="J37" s="24"/>
      <c r="K37" s="24"/>
      <c r="L37" s="24"/>
    </row>
    <row r="38" customFormat="false" ht="15" hidden="false" customHeight="true" outlineLevel="0" collapsed="false">
      <c r="A38" s="22" t="s">
        <v>49</v>
      </c>
      <c r="B38" s="22"/>
      <c r="C38" s="22"/>
      <c r="D38" s="22"/>
      <c r="E38" s="22"/>
      <c r="F38" s="23" t="n">
        <f aca="false">MAX(K4:K33)</f>
        <v>0</v>
      </c>
      <c r="G38" s="24"/>
      <c r="H38" s="24"/>
      <c r="I38" s="24"/>
      <c r="J38" s="24"/>
      <c r="K38" s="24"/>
      <c r="L38" s="24"/>
    </row>
    <row r="39" customFormat="false" ht="15" hidden="false" customHeight="true" outlineLevel="0" collapsed="false">
      <c r="A39" s="22" t="s">
        <v>50</v>
      </c>
      <c r="B39" s="22"/>
      <c r="C39" s="22"/>
      <c r="D39" s="22"/>
      <c r="E39" s="22"/>
      <c r="F39" s="23" t="n">
        <f aca="false">MEDIAN(K4:K33)</f>
        <v>0</v>
      </c>
      <c r="G39" s="24"/>
      <c r="H39" s="24"/>
      <c r="I39" s="24"/>
      <c r="J39" s="24"/>
      <c r="K39" s="24"/>
      <c r="L39" s="24"/>
    </row>
  </sheetData>
  <mergeCells count="7">
    <mergeCell ref="A1:L1"/>
    <mergeCell ref="A2:L2"/>
    <mergeCell ref="A35:L35"/>
    <mergeCell ref="A36:E36"/>
    <mergeCell ref="A37:E37"/>
    <mergeCell ref="A38:E38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P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14" min="3" style="0" width="14"/>
    <col collapsed="false" customWidth="true" hidden="false" outlineLevel="0" max="15" min="15" style="0" width="16"/>
    <col collapsed="false" customWidth="true" hidden="false" outlineLevel="0" max="16" min="16" style="0" width="14"/>
  </cols>
  <sheetData>
    <row r="1" customFormat="false" ht="33.75" hidden="false" customHeight="true" outlineLevel="0" collapsed="false">
      <c r="A1" s="25" t="s">
        <v>51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customFormat="false" ht="25.5" hidden="false" customHeight="true" outlineLevel="0" collapsed="false">
      <c r="A2" s="26" t="s">
        <v>52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customFormat="false" ht="23.85" hidden="false" customHeight="false" outlineLevel="0" collapsed="false">
      <c r="A3" s="27" t="s">
        <v>34</v>
      </c>
      <c r="B3" s="27" t="s">
        <v>35</v>
      </c>
      <c r="C3" s="27" t="s">
        <v>36</v>
      </c>
      <c r="D3" s="27" t="s">
        <v>53</v>
      </c>
      <c r="E3" s="27" t="s">
        <v>54</v>
      </c>
      <c r="F3" s="27" t="s">
        <v>55</v>
      </c>
      <c r="G3" s="27" t="s">
        <v>56</v>
      </c>
      <c r="H3" s="27" t="s">
        <v>57</v>
      </c>
      <c r="I3" s="27" t="s">
        <v>58</v>
      </c>
      <c r="J3" s="27" t="s">
        <v>59</v>
      </c>
      <c r="K3" s="27" t="s">
        <v>60</v>
      </c>
      <c r="L3" s="27" t="s">
        <v>61</v>
      </c>
      <c r="M3" s="27" t="s">
        <v>62</v>
      </c>
      <c r="N3" s="27" t="s">
        <v>63</v>
      </c>
      <c r="O3" s="27" t="s">
        <v>64</v>
      </c>
      <c r="P3" s="27" t="s">
        <v>65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28" t="n">
        <f aca="false">SUM(D4:N4)</f>
        <v>0</v>
      </c>
      <c r="P4" s="29" t="n">
        <f aca="false">IFERROR(IF(O4&gt;0,-SUMPRODUCT(IF(D4:N4&gt;0,(D4:N4/O4)*LOG(D4:N4/O4,2),0)),0),0)</f>
        <v>0</v>
      </c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30" t="n">
        <f aca="false">SUM(D5:N5)</f>
        <v>0</v>
      </c>
      <c r="P5" s="31" t="n">
        <f aca="false">IFERROR(IF(O5&gt;0,-SUMPRODUCT(IF(D5:N5&gt;0,(D5:N5/O5)*LOG(D5:N5/O5,2),0)),0),0)</f>
        <v>0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28" t="n">
        <f aca="false">SUM(D6:N6)</f>
        <v>0</v>
      </c>
      <c r="P6" s="29" t="n">
        <f aca="false">IFERROR(IF(O6&gt;0,-SUMPRODUCT(IF(D6:N6&gt;0,(D6:N6/O6)*LOG(D6:N6/O6,2),0)),0),0)</f>
        <v>0</v>
      </c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30" t="n">
        <f aca="false">SUM(D7:N7)</f>
        <v>0</v>
      </c>
      <c r="P7" s="31" t="n">
        <f aca="false">IFERROR(IF(O7&gt;0,-SUMPRODUCT(IF(D7:N7&gt;0,(D7:N7/O7)*LOG(D7:N7/O7,2),0)),0),0)</f>
        <v>0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28" t="n">
        <f aca="false">SUM(D8:N8)</f>
        <v>0</v>
      </c>
      <c r="P8" s="29" t="n">
        <f aca="false">IFERROR(IF(O8&gt;0,-SUMPRODUCT(IF(D8:N8&gt;0,(D8:N8/O8)*LOG(D8:N8/O8,2),0)),0),0)</f>
        <v>0</v>
      </c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30" t="n">
        <f aca="false">SUM(D9:N9)</f>
        <v>0</v>
      </c>
      <c r="P9" s="31" t="n">
        <f aca="false">IFERROR(IF(O9&gt;0,-SUMPRODUCT(IF(D9:N9&gt;0,(D9:N9/O9)*LOG(D9:N9/O9,2),0)),0),0)</f>
        <v>0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28" t="n">
        <f aca="false">SUM(D10:N10)</f>
        <v>0</v>
      </c>
      <c r="P10" s="29" t="n">
        <f aca="false">IFERROR(IF(O10&gt;0,-SUMPRODUCT(IF(D10:N10&gt;0,(D10:N10/O10)*LOG(D10:N10/O10,2),0)),0),0)</f>
        <v>0</v>
      </c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30" t="n">
        <f aca="false">SUM(D11:N11)</f>
        <v>0</v>
      </c>
      <c r="P11" s="31" t="n">
        <f aca="false">IFERROR(IF(O11&gt;0,-SUMPRODUCT(IF(D11:N11&gt;0,(D11:N11/O11)*LOG(D11:N11/O11,2),0)),0),0)</f>
        <v>0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28" t="n">
        <f aca="false">SUM(D12:N12)</f>
        <v>0</v>
      </c>
      <c r="P12" s="29" t="n">
        <f aca="false">IFERROR(IF(O12&gt;0,-SUMPRODUCT(IF(D12:N12&gt;0,(D12:N12/O12)*LOG(D12:N12/O12,2),0)),0),0)</f>
        <v>0</v>
      </c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30" t="n">
        <f aca="false">SUM(D13:N13)</f>
        <v>0</v>
      </c>
      <c r="P13" s="31" t="n">
        <f aca="false">IFERROR(IF(O13&gt;0,-SUMPRODUCT(IF(D13:N13&gt;0,(D13:N13/O13)*LOG(D13:N13/O13,2),0)),0),0)</f>
        <v>0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28" t="n">
        <f aca="false">SUM(D14:N14)</f>
        <v>0</v>
      </c>
      <c r="P14" s="29" t="n">
        <f aca="false">IFERROR(IF(O14&gt;0,-SUMPRODUCT(IF(D14:N14&gt;0,(D14:N14/O14)*LOG(D14:N14/O14,2),0)),0),0)</f>
        <v>0</v>
      </c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30" t="n">
        <f aca="false">SUM(D15:N15)</f>
        <v>0</v>
      </c>
      <c r="P15" s="31" t="n">
        <f aca="false">IFERROR(IF(O15&gt;0,-SUMPRODUCT(IF(D15:N15&gt;0,(D15:N15/O15)*LOG(D15:N15/O15,2),0)),0),0)</f>
        <v>0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28" t="n">
        <f aca="false">SUM(D16:N16)</f>
        <v>0</v>
      </c>
      <c r="P16" s="29" t="n">
        <f aca="false">IFERROR(IF(O16&gt;0,-SUMPRODUCT(IF(D16:N16&gt;0,(D16:N16/O16)*LOG(D16:N16/O16,2),0)),0),0)</f>
        <v>0</v>
      </c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30" t="n">
        <f aca="false">SUM(D17:N17)</f>
        <v>0</v>
      </c>
      <c r="P17" s="31" t="n">
        <f aca="false">IFERROR(IF(O17&gt;0,-SUMPRODUCT(IF(D17:N17&gt;0,(D17:N17/O17)*LOG(D17:N17/O17,2),0)),0),0)</f>
        <v>0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28" t="n">
        <f aca="false">SUM(D18:N18)</f>
        <v>0</v>
      </c>
      <c r="P18" s="29" t="n">
        <f aca="false">IFERROR(IF(O18&gt;0,-SUMPRODUCT(IF(D18:N18&gt;0,(D18:N18/O18)*LOG(D18:N18/O18,2),0)),0),0)</f>
        <v>0</v>
      </c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30" t="n">
        <f aca="false">SUM(D19:N19)</f>
        <v>0</v>
      </c>
      <c r="P19" s="31" t="n">
        <f aca="false">IFERROR(IF(O19&gt;0,-SUMPRODUCT(IF(D19:N19&gt;0,(D19:N19/O19)*LOG(D19:N19/O19,2),0)),0),0)</f>
        <v>0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28" t="n">
        <f aca="false">SUM(D20:N20)</f>
        <v>0</v>
      </c>
      <c r="P20" s="29" t="n">
        <f aca="false">IFERROR(IF(O20&gt;0,-SUMPRODUCT(IF(D20:N20&gt;0,(D20:N20/O20)*LOG(D20:N20/O20,2),0)),0),0)</f>
        <v>0</v>
      </c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30" t="n">
        <f aca="false">SUM(D21:N21)</f>
        <v>0</v>
      </c>
      <c r="P21" s="31" t="n">
        <f aca="false">IFERROR(IF(O21&gt;0,-SUMPRODUCT(IF(D21:N21&gt;0,(D21:N21/O21)*LOG(D21:N21/O21,2),0)),0),0)</f>
        <v>0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28" t="n">
        <f aca="false">SUM(D22:N22)</f>
        <v>0</v>
      </c>
      <c r="P22" s="29" t="n">
        <f aca="false">IFERROR(IF(O22&gt;0,-SUMPRODUCT(IF(D22:N22&gt;0,(D22:N22/O22)*LOG(D22:N22/O22,2),0)),0),0)</f>
        <v>0</v>
      </c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30" t="n">
        <f aca="false">SUM(D23:N23)</f>
        <v>0</v>
      </c>
      <c r="P23" s="31" t="n">
        <f aca="false">IFERROR(IF(O23&gt;0,-SUMPRODUCT(IF(D23:N23&gt;0,(D23:N23/O23)*LOG(D23:N23/O23,2),0)),0),0)</f>
        <v>0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28" t="n">
        <f aca="false">SUM(D24:N24)</f>
        <v>0</v>
      </c>
      <c r="P24" s="29" t="n">
        <f aca="false">IFERROR(IF(O24&gt;0,-SUMPRODUCT(IF(D24:N24&gt;0,(D24:N24/O24)*LOG(D24:N24/O24,2),0)),0),0)</f>
        <v>0</v>
      </c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30" t="n">
        <f aca="false">SUM(D25:N25)</f>
        <v>0</v>
      </c>
      <c r="P25" s="31" t="n">
        <f aca="false">IFERROR(IF(O25&gt;0,-SUMPRODUCT(IF(D25:N25&gt;0,(D25:N25/O25)*LOG(D25:N25/O25,2),0)),0),0)</f>
        <v>0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28" t="n">
        <f aca="false">SUM(D26:N26)</f>
        <v>0</v>
      </c>
      <c r="P26" s="29" t="n">
        <f aca="false">IFERROR(IF(O26&gt;0,-SUMPRODUCT(IF(D26:N26&gt;0,(D26:N26/O26)*LOG(D26:N26/O26,2),0)),0),0)</f>
        <v>0</v>
      </c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30" t="n">
        <f aca="false">SUM(D27:N27)</f>
        <v>0</v>
      </c>
      <c r="P27" s="31" t="n">
        <f aca="false">IFERROR(IF(O27&gt;0,-SUMPRODUCT(IF(D27:N27&gt;0,(D27:N27/O27)*LOG(D27:N27/O27,2),0)),0),0)</f>
        <v>0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28" t="n">
        <f aca="false">SUM(D28:N28)</f>
        <v>0</v>
      </c>
      <c r="P28" s="29" t="n">
        <f aca="false">IFERROR(IF(O28&gt;0,-SUMPRODUCT(IF(D28:N28&gt;0,(D28:N28/O28)*LOG(D28:N28/O28,2),0)),0),0)</f>
        <v>0</v>
      </c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30" t="n">
        <f aca="false">SUM(D29:N29)</f>
        <v>0</v>
      </c>
      <c r="P29" s="31" t="n">
        <f aca="false">IFERROR(IF(O29&gt;0,-SUMPRODUCT(IF(D29:N29&gt;0,(D29:N29/O29)*LOG(D29:N29/O29,2),0)),0),0)</f>
        <v>0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28" t="n">
        <f aca="false">SUM(D30:N30)</f>
        <v>0</v>
      </c>
      <c r="P30" s="29" t="n">
        <f aca="false">IFERROR(IF(O30&gt;0,-SUMPRODUCT(IF(D30:N30&gt;0,(D30:N30/O30)*LOG(D30:N30/O30,2),0)),0),0)</f>
        <v>0</v>
      </c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30" t="n">
        <f aca="false">SUM(D31:N31)</f>
        <v>0</v>
      </c>
      <c r="P31" s="31" t="n">
        <f aca="false">IFERROR(IF(O31&gt;0,-SUMPRODUCT(IF(D31:N31&gt;0,(D31:N31/O31)*LOG(D31:N31/O31,2),0)),0),0)</f>
        <v>0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28" t="n">
        <f aca="false">SUM(D32:N32)</f>
        <v>0</v>
      </c>
      <c r="P32" s="29" t="n">
        <f aca="false">IFERROR(IF(O32&gt;0,-SUMPRODUCT(IF(D32:N32&gt;0,(D32:N32/O32)*LOG(D32:N32/O32,2),0)),0),0)</f>
        <v>0</v>
      </c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30" t="n">
        <f aca="false">SUM(D33:N33)</f>
        <v>0</v>
      </c>
      <c r="P33" s="31" t="n">
        <f aca="false">IFERROR(IF(O33&gt;0,-SUMPRODUCT(IF(D33:N33&gt;0,(D33:N33/O33)*LOG(D33:N33/O33,2),0)),0),0)</f>
        <v>0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J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7" min="4" style="0" width="20"/>
    <col collapsed="false" customWidth="true" hidden="false" outlineLevel="0" max="9" min="8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32" t="s">
        <v>66</v>
      </c>
      <c r="B1" s="32"/>
      <c r="C1" s="32"/>
      <c r="D1" s="32"/>
      <c r="E1" s="32"/>
      <c r="F1" s="32"/>
      <c r="G1" s="32"/>
      <c r="H1" s="32"/>
      <c r="I1" s="32"/>
      <c r="J1" s="32"/>
    </row>
    <row r="2" customFormat="false" ht="25.5" hidden="false" customHeight="true" outlineLevel="0" collapsed="false">
      <c r="A2" s="33" t="s">
        <v>67</v>
      </c>
      <c r="B2" s="33"/>
      <c r="C2" s="33"/>
      <c r="D2" s="33"/>
      <c r="E2" s="33"/>
      <c r="F2" s="33"/>
      <c r="G2" s="33"/>
      <c r="H2" s="33"/>
      <c r="I2" s="33"/>
      <c r="J2" s="33"/>
    </row>
    <row r="3" customFormat="false" ht="23.85" hidden="false" customHeight="false" outlineLevel="0" collapsed="false">
      <c r="A3" s="34" t="s">
        <v>34</v>
      </c>
      <c r="B3" s="34" t="s">
        <v>35</v>
      </c>
      <c r="C3" s="34" t="s">
        <v>36</v>
      </c>
      <c r="D3" s="34" t="s">
        <v>68</v>
      </c>
      <c r="E3" s="34" t="s">
        <v>69</v>
      </c>
      <c r="F3" s="34" t="s">
        <v>70</v>
      </c>
      <c r="G3" s="34" t="s">
        <v>71</v>
      </c>
      <c r="H3" s="34" t="s">
        <v>72</v>
      </c>
      <c r="I3" s="34" t="s">
        <v>73</v>
      </c>
      <c r="J3" s="34" t="s">
        <v>45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8" t="n">
        <f aca="false">SUM(E4:G4)</f>
        <v>0</v>
      </c>
      <c r="I4" s="35" t="n">
        <f aca="false">IF(D4&gt;0,H4/D4*100,0)</f>
        <v>0</v>
      </c>
      <c r="J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20" t="n">
        <f aca="false">SUM(E5:G5)</f>
        <v>0</v>
      </c>
      <c r="I5" s="36" t="n">
        <f aca="false">IF(D5&gt;0,H5/D5*100,0)</f>
        <v>0</v>
      </c>
      <c r="J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8" t="n">
        <f aca="false">SUM(E6:G6)</f>
        <v>0</v>
      </c>
      <c r="I6" s="35" t="n">
        <f aca="false">IF(D6&gt;0,H6/D6*100,0)</f>
        <v>0</v>
      </c>
      <c r="J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20" t="n">
        <f aca="false">SUM(E7:G7)</f>
        <v>0</v>
      </c>
      <c r="I7" s="36" t="n">
        <f aca="false">IF(D7&gt;0,H7/D7*100,0)</f>
        <v>0</v>
      </c>
      <c r="J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8" t="n">
        <f aca="false">SUM(E8:G8)</f>
        <v>0</v>
      </c>
      <c r="I8" s="35" t="n">
        <f aca="false">IF(D8&gt;0,H8/D8*100,0)</f>
        <v>0</v>
      </c>
      <c r="J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20" t="n">
        <f aca="false">SUM(E9:G9)</f>
        <v>0</v>
      </c>
      <c r="I9" s="36" t="n">
        <f aca="false">IF(D9&gt;0,H9/D9*100,0)</f>
        <v>0</v>
      </c>
      <c r="J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8" t="n">
        <f aca="false">SUM(E10:G10)</f>
        <v>0</v>
      </c>
      <c r="I10" s="35" t="n">
        <f aca="false">IF(D10&gt;0,H10/D10*100,0)</f>
        <v>0</v>
      </c>
      <c r="J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20" t="n">
        <f aca="false">SUM(E11:G11)</f>
        <v>0</v>
      </c>
      <c r="I11" s="36" t="n">
        <f aca="false">IF(D11&gt;0,H11/D11*100,0)</f>
        <v>0</v>
      </c>
      <c r="J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8" t="n">
        <f aca="false">SUM(E12:G12)</f>
        <v>0</v>
      </c>
      <c r="I12" s="35" t="n">
        <f aca="false">IF(D12&gt;0,H12/D12*100,0)</f>
        <v>0</v>
      </c>
      <c r="J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20" t="n">
        <f aca="false">SUM(E13:G13)</f>
        <v>0</v>
      </c>
      <c r="I13" s="36" t="n">
        <f aca="false">IF(D13&gt;0,H13/D13*100,0)</f>
        <v>0</v>
      </c>
      <c r="J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8" t="n">
        <f aca="false">SUM(E14:G14)</f>
        <v>0</v>
      </c>
      <c r="I14" s="35" t="n">
        <f aca="false">IF(D14&gt;0,H14/D14*100,0)</f>
        <v>0</v>
      </c>
      <c r="J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20" t="n">
        <f aca="false">SUM(E15:G15)</f>
        <v>0</v>
      </c>
      <c r="I15" s="36" t="n">
        <f aca="false">IF(D15&gt;0,H15/D15*100,0)</f>
        <v>0</v>
      </c>
      <c r="J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8" t="n">
        <f aca="false">SUM(E16:G16)</f>
        <v>0</v>
      </c>
      <c r="I16" s="35" t="n">
        <f aca="false">IF(D16&gt;0,H16/D16*100,0)</f>
        <v>0</v>
      </c>
      <c r="J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20" t="n">
        <f aca="false">SUM(E17:G17)</f>
        <v>0</v>
      </c>
      <c r="I17" s="36" t="n">
        <f aca="false">IF(D17&gt;0,H17/D17*100,0)</f>
        <v>0</v>
      </c>
      <c r="J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8" t="n">
        <f aca="false">SUM(E18:G18)</f>
        <v>0</v>
      </c>
      <c r="I18" s="35" t="n">
        <f aca="false">IF(D18&gt;0,H18/D18*100,0)</f>
        <v>0</v>
      </c>
      <c r="J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20" t="n">
        <f aca="false">SUM(E19:G19)</f>
        <v>0</v>
      </c>
      <c r="I19" s="36" t="n">
        <f aca="false">IF(D19&gt;0,H19/D19*100,0)</f>
        <v>0</v>
      </c>
      <c r="J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8" t="n">
        <f aca="false">SUM(E20:G20)</f>
        <v>0</v>
      </c>
      <c r="I20" s="35" t="n">
        <f aca="false">IF(D20&gt;0,H20/D20*100,0)</f>
        <v>0</v>
      </c>
      <c r="J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20" t="n">
        <f aca="false">SUM(E21:G21)</f>
        <v>0</v>
      </c>
      <c r="I21" s="36" t="n">
        <f aca="false">IF(D21&gt;0,H21/D21*100,0)</f>
        <v>0</v>
      </c>
      <c r="J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8" t="n">
        <f aca="false">SUM(E22:G22)</f>
        <v>0</v>
      </c>
      <c r="I22" s="35" t="n">
        <f aca="false">IF(D22&gt;0,H22/D22*100,0)</f>
        <v>0</v>
      </c>
      <c r="J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20" t="n">
        <f aca="false">SUM(E23:G23)</f>
        <v>0</v>
      </c>
      <c r="I23" s="36" t="n">
        <f aca="false">IF(D23&gt;0,H23/D23*100,0)</f>
        <v>0</v>
      </c>
      <c r="J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8" t="n">
        <f aca="false">SUM(E24:G24)</f>
        <v>0</v>
      </c>
      <c r="I24" s="35" t="n">
        <f aca="false">IF(D24&gt;0,H24/D24*100,0)</f>
        <v>0</v>
      </c>
      <c r="J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20" t="n">
        <f aca="false">SUM(E25:G25)</f>
        <v>0</v>
      </c>
      <c r="I25" s="36" t="n">
        <f aca="false">IF(D25&gt;0,H25/D25*100,0)</f>
        <v>0</v>
      </c>
      <c r="J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8" t="n">
        <f aca="false">SUM(E26:G26)</f>
        <v>0</v>
      </c>
      <c r="I26" s="35" t="n">
        <f aca="false">IF(D26&gt;0,H26/D26*100,0)</f>
        <v>0</v>
      </c>
      <c r="J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20" t="n">
        <f aca="false">SUM(E27:G27)</f>
        <v>0</v>
      </c>
      <c r="I27" s="36" t="n">
        <f aca="false">IF(D27&gt;0,H27/D27*100,0)</f>
        <v>0</v>
      </c>
      <c r="J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8" t="n">
        <f aca="false">SUM(E28:G28)</f>
        <v>0</v>
      </c>
      <c r="I28" s="35" t="n">
        <f aca="false">IF(D28&gt;0,H28/D28*100,0)</f>
        <v>0</v>
      </c>
      <c r="J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20" t="n">
        <f aca="false">SUM(E29:G29)</f>
        <v>0</v>
      </c>
      <c r="I29" s="36" t="n">
        <f aca="false">IF(D29&gt;0,H29/D29*100,0)</f>
        <v>0</v>
      </c>
      <c r="J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8" t="n">
        <f aca="false">SUM(E30:G30)</f>
        <v>0</v>
      </c>
      <c r="I30" s="35" t="n">
        <f aca="false">IF(D30&gt;0,H30/D30*100,0)</f>
        <v>0</v>
      </c>
      <c r="J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20" t="n">
        <f aca="false">SUM(E31:G31)</f>
        <v>0</v>
      </c>
      <c r="I31" s="36" t="n">
        <f aca="false">IF(D31&gt;0,H31/D31*100,0)</f>
        <v>0</v>
      </c>
      <c r="J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8" t="n">
        <f aca="false">SUM(E32:G32)</f>
        <v>0</v>
      </c>
      <c r="I32" s="35" t="n">
        <f aca="false">IF(D32&gt;0,H32/D32*100,0)</f>
        <v>0</v>
      </c>
      <c r="J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20" t="n">
        <f aca="false">SUM(E33:G33)</f>
        <v>0</v>
      </c>
      <c r="I33" s="36" t="n">
        <f aca="false">IF(D33&gt;0,H33/D33*100,0)</f>
        <v>0</v>
      </c>
      <c r="J33" s="19"/>
    </row>
    <row r="35" customFormat="false" ht="25.5" hidden="false" customHeight="true" outlineLevel="0" collapsed="false">
      <c r="A35" s="37" t="s">
        <v>74</v>
      </c>
      <c r="B35" s="37"/>
      <c r="C35" s="37"/>
      <c r="D35" s="37"/>
      <c r="E35" s="37"/>
      <c r="F35" s="37"/>
      <c r="G35" s="37"/>
      <c r="H35" s="37"/>
      <c r="I35" s="37"/>
      <c r="J35" s="37"/>
    </row>
    <row r="36" customFormat="false" ht="23.85" hidden="false" customHeight="false" outlineLevel="0" collapsed="false">
      <c r="A36" s="38" t="s">
        <v>34</v>
      </c>
      <c r="B36" s="38" t="s">
        <v>75</v>
      </c>
      <c r="C36" s="38" t="s">
        <v>76</v>
      </c>
      <c r="D36" s="38" t="s">
        <v>77</v>
      </c>
      <c r="E36" s="38" t="s">
        <v>78</v>
      </c>
      <c r="F36" s="38" t="s">
        <v>79</v>
      </c>
      <c r="G36" s="38" t="s">
        <v>80</v>
      </c>
      <c r="H36" s="38" t="s">
        <v>81</v>
      </c>
      <c r="I36" s="38" t="s">
        <v>82</v>
      </c>
      <c r="J36" s="38" t="s">
        <v>35</v>
      </c>
    </row>
    <row r="37" customFormat="false" ht="15" hidden="false" customHeight="false" outlineLevel="0" collapsed="false">
      <c r="A37" s="4" t="n">
        <v>1</v>
      </c>
      <c r="B37" s="19"/>
      <c r="C37" s="19"/>
      <c r="D37" s="19"/>
      <c r="E37" s="19"/>
      <c r="F37" s="19"/>
      <c r="G37" s="19"/>
      <c r="H37" s="19"/>
      <c r="I37" s="19"/>
      <c r="J37" s="19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</v>
      </c>
      <c r="B39" s="19"/>
      <c r="C39" s="19"/>
      <c r="D39" s="19"/>
      <c r="E39" s="19"/>
      <c r="F39" s="19"/>
      <c r="G39" s="19"/>
      <c r="H39" s="19"/>
      <c r="I39" s="19"/>
      <c r="J39" s="19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5</v>
      </c>
      <c r="B41" s="19"/>
      <c r="C41" s="19"/>
      <c r="D41" s="19"/>
      <c r="E41" s="19"/>
      <c r="F41" s="19"/>
      <c r="G41" s="19"/>
      <c r="H41" s="19"/>
      <c r="I41" s="19"/>
      <c r="J41" s="19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7</v>
      </c>
      <c r="B43" s="19"/>
      <c r="C43" s="19"/>
      <c r="D43" s="19"/>
      <c r="E43" s="19"/>
      <c r="F43" s="19"/>
      <c r="G43" s="19"/>
      <c r="H43" s="19"/>
      <c r="I43" s="19"/>
      <c r="J43" s="19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4" t="n">
        <v>9</v>
      </c>
      <c r="B45" s="19"/>
      <c r="C45" s="19"/>
      <c r="D45" s="19"/>
      <c r="E45" s="19"/>
      <c r="F45" s="19"/>
      <c r="G45" s="19"/>
      <c r="H45" s="19"/>
      <c r="I45" s="19"/>
      <c r="J45" s="19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4" t="n">
        <v>11</v>
      </c>
      <c r="B47" s="19"/>
      <c r="C47" s="19"/>
      <c r="D47" s="19"/>
      <c r="E47" s="19"/>
      <c r="F47" s="19"/>
      <c r="G47" s="19"/>
      <c r="H47" s="19"/>
      <c r="I47" s="19"/>
      <c r="J47" s="19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4" t="n">
        <v>13</v>
      </c>
      <c r="B49" s="19"/>
      <c r="C49" s="19"/>
      <c r="D49" s="19"/>
      <c r="E49" s="19"/>
      <c r="F49" s="19"/>
      <c r="G49" s="19"/>
      <c r="H49" s="19"/>
      <c r="I49" s="19"/>
      <c r="J49" s="19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4" t="n">
        <v>15</v>
      </c>
      <c r="B51" s="19"/>
      <c r="C51" s="19"/>
      <c r="D51" s="19"/>
      <c r="E51" s="19"/>
      <c r="F51" s="19"/>
      <c r="G51" s="19"/>
      <c r="H51" s="19"/>
      <c r="I51" s="19"/>
      <c r="J51" s="19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4" t="n">
        <v>17</v>
      </c>
      <c r="B53" s="19"/>
      <c r="C53" s="19"/>
      <c r="D53" s="19"/>
      <c r="E53" s="19"/>
      <c r="F53" s="19"/>
      <c r="G53" s="19"/>
      <c r="H53" s="19"/>
      <c r="I53" s="19"/>
      <c r="J53" s="19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  <c r="J54" s="17"/>
    </row>
    <row r="55" customFormat="false" ht="15" hidden="false" customHeight="false" outlineLevel="0" collapsed="false">
      <c r="A55" s="4" t="n">
        <v>19</v>
      </c>
      <c r="B55" s="19"/>
      <c r="C55" s="19"/>
      <c r="D55" s="19"/>
      <c r="E55" s="19"/>
      <c r="F55" s="19"/>
      <c r="G55" s="19"/>
      <c r="H55" s="19"/>
      <c r="I55" s="19"/>
      <c r="J55" s="19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15" hidden="false" customHeight="false" outlineLevel="0" collapsed="false">
      <c r="A57" s="4" t="n">
        <v>21</v>
      </c>
      <c r="B57" s="19"/>
      <c r="C57" s="19"/>
      <c r="D57" s="19"/>
      <c r="E57" s="19"/>
      <c r="F57" s="19"/>
      <c r="G57" s="19"/>
      <c r="H57" s="19"/>
      <c r="I57" s="19"/>
      <c r="J57" s="19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4" t="n">
        <v>23</v>
      </c>
      <c r="B59" s="19"/>
      <c r="C59" s="19"/>
      <c r="D59" s="19"/>
      <c r="E59" s="19"/>
      <c r="F59" s="19"/>
      <c r="G59" s="19"/>
      <c r="H59" s="19"/>
      <c r="I59" s="19"/>
      <c r="J59" s="19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15" hidden="false" customHeight="false" outlineLevel="0" collapsed="false">
      <c r="A61" s="4" t="n">
        <v>25</v>
      </c>
      <c r="B61" s="19"/>
      <c r="C61" s="19"/>
      <c r="D61" s="19"/>
      <c r="E61" s="19"/>
      <c r="F61" s="19"/>
      <c r="G61" s="19"/>
      <c r="H61" s="19"/>
      <c r="I61" s="19"/>
      <c r="J61" s="19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  <c r="J62" s="17"/>
    </row>
    <row r="63" customFormat="false" ht="15" hidden="false" customHeight="false" outlineLevel="0" collapsed="false">
      <c r="A63" s="4" t="n">
        <v>27</v>
      </c>
      <c r="B63" s="19"/>
      <c r="C63" s="19"/>
      <c r="D63" s="19"/>
      <c r="E63" s="19"/>
      <c r="F63" s="19"/>
      <c r="G63" s="19"/>
      <c r="H63" s="19"/>
      <c r="I63" s="19"/>
      <c r="J63" s="19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  <c r="J64" s="17"/>
    </row>
    <row r="65" customFormat="false" ht="15" hidden="false" customHeight="false" outlineLevel="0" collapsed="false">
      <c r="A65" s="4" t="n">
        <v>29</v>
      </c>
      <c r="B65" s="19"/>
      <c r="C65" s="19"/>
      <c r="D65" s="19"/>
      <c r="E65" s="19"/>
      <c r="F65" s="19"/>
      <c r="G65" s="19"/>
      <c r="H65" s="19"/>
      <c r="I65" s="19"/>
      <c r="J65" s="19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  <c r="J66" s="17"/>
    </row>
    <row r="67" customFormat="false" ht="15" hidden="false" customHeight="false" outlineLevel="0" collapsed="false">
      <c r="A67" s="4" t="n">
        <v>31</v>
      </c>
      <c r="B67" s="19"/>
      <c r="C67" s="19"/>
      <c r="D67" s="19"/>
      <c r="E67" s="19"/>
      <c r="F67" s="19"/>
      <c r="G67" s="19"/>
      <c r="H67" s="19"/>
      <c r="I67" s="19"/>
      <c r="J67" s="19"/>
    </row>
    <row r="68" customFormat="false" ht="15" hidden="false" customHeight="false" outlineLevel="0" collapsed="false">
      <c r="A68" s="8" t="n">
        <v>32</v>
      </c>
      <c r="B68" s="17"/>
      <c r="C68" s="17"/>
      <c r="D68" s="17"/>
      <c r="E68" s="17"/>
      <c r="F68" s="17"/>
      <c r="G68" s="17"/>
      <c r="H68" s="17"/>
      <c r="I68" s="17"/>
      <c r="J68" s="17"/>
    </row>
    <row r="69" customFormat="false" ht="15" hidden="false" customHeight="false" outlineLevel="0" collapsed="false">
      <c r="A69" s="4" t="n">
        <v>33</v>
      </c>
      <c r="B69" s="19"/>
      <c r="C69" s="19"/>
      <c r="D69" s="19"/>
      <c r="E69" s="19"/>
      <c r="F69" s="19"/>
      <c r="G69" s="19"/>
      <c r="H69" s="19"/>
      <c r="I69" s="19"/>
      <c r="J69" s="19"/>
    </row>
    <row r="70" customFormat="false" ht="15" hidden="false" customHeight="false" outlineLevel="0" collapsed="false">
      <c r="A70" s="8" t="n">
        <v>34</v>
      </c>
      <c r="B70" s="17"/>
      <c r="C70" s="17"/>
      <c r="D70" s="17"/>
      <c r="E70" s="17"/>
      <c r="F70" s="17"/>
      <c r="G70" s="17"/>
      <c r="H70" s="17"/>
      <c r="I70" s="17"/>
      <c r="J70" s="17"/>
    </row>
    <row r="71" customFormat="false" ht="15" hidden="false" customHeight="false" outlineLevel="0" collapsed="false">
      <c r="A71" s="4" t="n">
        <v>35</v>
      </c>
      <c r="B71" s="19"/>
      <c r="C71" s="19"/>
      <c r="D71" s="19"/>
      <c r="E71" s="19"/>
      <c r="F71" s="19"/>
      <c r="G71" s="19"/>
      <c r="H71" s="19"/>
      <c r="I71" s="19"/>
      <c r="J71" s="19"/>
    </row>
    <row r="72" customFormat="false" ht="15" hidden="false" customHeight="false" outlineLevel="0" collapsed="false">
      <c r="A72" s="8" t="n">
        <v>36</v>
      </c>
      <c r="B72" s="17"/>
      <c r="C72" s="17"/>
      <c r="D72" s="17"/>
      <c r="E72" s="17"/>
      <c r="F72" s="17"/>
      <c r="G72" s="17"/>
      <c r="H72" s="17"/>
      <c r="I72" s="17"/>
      <c r="J72" s="17"/>
    </row>
    <row r="73" customFormat="false" ht="15" hidden="false" customHeight="false" outlineLevel="0" collapsed="false">
      <c r="A73" s="4" t="n">
        <v>37</v>
      </c>
      <c r="B73" s="19"/>
      <c r="C73" s="19"/>
      <c r="D73" s="19"/>
      <c r="E73" s="19"/>
      <c r="F73" s="19"/>
      <c r="G73" s="19"/>
      <c r="H73" s="19"/>
      <c r="I73" s="19"/>
      <c r="J73" s="19"/>
    </row>
    <row r="74" customFormat="false" ht="15" hidden="false" customHeight="false" outlineLevel="0" collapsed="false">
      <c r="A74" s="8" t="n">
        <v>38</v>
      </c>
      <c r="B74" s="17"/>
      <c r="C74" s="17"/>
      <c r="D74" s="17"/>
      <c r="E74" s="17"/>
      <c r="F74" s="17"/>
      <c r="G74" s="17"/>
      <c r="H74" s="17"/>
      <c r="I74" s="17"/>
      <c r="J74" s="17"/>
    </row>
    <row r="75" customFormat="false" ht="15" hidden="false" customHeight="false" outlineLevel="0" collapsed="false">
      <c r="A75" s="4" t="n">
        <v>39</v>
      </c>
      <c r="B75" s="19"/>
      <c r="C75" s="19"/>
      <c r="D75" s="19"/>
      <c r="E75" s="19"/>
      <c r="F75" s="19"/>
      <c r="G75" s="19"/>
      <c r="H75" s="19"/>
      <c r="I75" s="19"/>
      <c r="J75" s="19"/>
    </row>
    <row r="76" customFormat="false" ht="15" hidden="false" customHeight="false" outlineLevel="0" collapsed="false">
      <c r="A76" s="8" t="n">
        <v>40</v>
      </c>
      <c r="B76" s="17"/>
      <c r="C76" s="17"/>
      <c r="D76" s="17"/>
      <c r="E76" s="17"/>
      <c r="F76" s="17"/>
      <c r="G76" s="17"/>
      <c r="H76" s="17"/>
      <c r="I76" s="17"/>
      <c r="J76" s="17"/>
    </row>
    <row r="77" customFormat="false" ht="15" hidden="false" customHeight="false" outlineLevel="0" collapsed="false">
      <c r="A77" s="4" t="n">
        <v>41</v>
      </c>
      <c r="B77" s="19"/>
      <c r="C77" s="19"/>
      <c r="D77" s="19"/>
      <c r="E77" s="19"/>
      <c r="F77" s="19"/>
      <c r="G77" s="19"/>
      <c r="H77" s="19"/>
      <c r="I77" s="19"/>
      <c r="J77" s="19"/>
    </row>
    <row r="78" customFormat="false" ht="15" hidden="false" customHeight="false" outlineLevel="0" collapsed="false">
      <c r="A78" s="8" t="n">
        <v>42</v>
      </c>
      <c r="B78" s="17"/>
      <c r="C78" s="17"/>
      <c r="D78" s="17"/>
      <c r="E78" s="17"/>
      <c r="F78" s="17"/>
      <c r="G78" s="17"/>
      <c r="H78" s="17"/>
      <c r="I78" s="17"/>
      <c r="J78" s="17"/>
    </row>
    <row r="79" customFormat="false" ht="15" hidden="false" customHeight="false" outlineLevel="0" collapsed="false">
      <c r="A79" s="4" t="n">
        <v>43</v>
      </c>
      <c r="B79" s="19"/>
      <c r="C79" s="19"/>
      <c r="D79" s="19"/>
      <c r="E79" s="19"/>
      <c r="F79" s="19"/>
      <c r="G79" s="19"/>
      <c r="H79" s="19"/>
      <c r="I79" s="19"/>
      <c r="J79" s="19"/>
    </row>
    <row r="80" customFormat="false" ht="15" hidden="false" customHeight="false" outlineLevel="0" collapsed="false">
      <c r="A80" s="8" t="n">
        <v>44</v>
      </c>
      <c r="B80" s="17"/>
      <c r="C80" s="17"/>
      <c r="D80" s="17"/>
      <c r="E80" s="17"/>
      <c r="F80" s="17"/>
      <c r="G80" s="17"/>
      <c r="H80" s="17"/>
      <c r="I80" s="17"/>
      <c r="J80" s="17"/>
    </row>
    <row r="81" customFormat="false" ht="15" hidden="false" customHeight="false" outlineLevel="0" collapsed="false">
      <c r="A81" s="4" t="n">
        <v>45</v>
      </c>
      <c r="B81" s="19"/>
      <c r="C81" s="19"/>
      <c r="D81" s="19"/>
      <c r="E81" s="19"/>
      <c r="F81" s="19"/>
      <c r="G81" s="19"/>
      <c r="H81" s="19"/>
      <c r="I81" s="19"/>
      <c r="J81" s="19"/>
    </row>
    <row r="82" customFormat="false" ht="15" hidden="false" customHeight="false" outlineLevel="0" collapsed="false">
      <c r="A82" s="8" t="n">
        <v>46</v>
      </c>
      <c r="B82" s="17"/>
      <c r="C82" s="17"/>
      <c r="D82" s="17"/>
      <c r="E82" s="17"/>
      <c r="F82" s="17"/>
      <c r="G82" s="17"/>
      <c r="H82" s="17"/>
      <c r="I82" s="17"/>
      <c r="J82" s="17"/>
    </row>
    <row r="83" customFormat="false" ht="15" hidden="false" customHeight="false" outlineLevel="0" collapsed="false">
      <c r="A83" s="4" t="n">
        <v>47</v>
      </c>
      <c r="B83" s="19"/>
      <c r="C83" s="19"/>
      <c r="D83" s="19"/>
      <c r="E83" s="19"/>
      <c r="F83" s="19"/>
      <c r="G83" s="19"/>
      <c r="H83" s="19"/>
      <c r="I83" s="19"/>
      <c r="J83" s="19"/>
    </row>
    <row r="84" customFormat="false" ht="15" hidden="false" customHeight="false" outlineLevel="0" collapsed="false">
      <c r="A84" s="8" t="n">
        <v>48</v>
      </c>
      <c r="B84" s="17"/>
      <c r="C84" s="17"/>
      <c r="D84" s="17"/>
      <c r="E84" s="17"/>
      <c r="F84" s="17"/>
      <c r="G84" s="17"/>
      <c r="H84" s="17"/>
      <c r="I84" s="17"/>
      <c r="J84" s="17"/>
    </row>
    <row r="85" customFormat="false" ht="15" hidden="false" customHeight="false" outlineLevel="0" collapsed="false">
      <c r="A85" s="4" t="n">
        <v>49</v>
      </c>
      <c r="B85" s="19"/>
      <c r="C85" s="19"/>
      <c r="D85" s="19"/>
      <c r="E85" s="19"/>
      <c r="F85" s="19"/>
      <c r="G85" s="19"/>
      <c r="H85" s="19"/>
      <c r="I85" s="19"/>
      <c r="J85" s="19"/>
    </row>
    <row r="86" customFormat="false" ht="15" hidden="false" customHeight="false" outlineLevel="0" collapsed="false">
      <c r="A86" s="8" t="n">
        <v>50</v>
      </c>
      <c r="B86" s="17"/>
      <c r="C86" s="17"/>
      <c r="D86" s="17"/>
      <c r="E86" s="17"/>
      <c r="F86" s="17"/>
      <c r="G86" s="17"/>
      <c r="H86" s="17"/>
      <c r="I86" s="17"/>
      <c r="J86" s="17"/>
    </row>
  </sheetData>
  <mergeCells count="3">
    <mergeCell ref="A1:J1"/>
    <mergeCell ref="A2:J2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7" min="4" style="0" width="18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39" t="s">
        <v>83</v>
      </c>
      <c r="B1" s="39"/>
      <c r="C1" s="39"/>
      <c r="D1" s="39"/>
      <c r="E1" s="39"/>
      <c r="F1" s="39"/>
      <c r="G1" s="39"/>
      <c r="H1" s="39"/>
      <c r="I1" s="39"/>
      <c r="J1" s="39"/>
    </row>
    <row r="2" customFormat="false" ht="25.5" hidden="false" customHeight="true" outlineLevel="0" collapsed="false">
      <c r="A2" s="40" t="s">
        <v>84</v>
      </c>
      <c r="B2" s="40"/>
      <c r="C2" s="40"/>
      <c r="D2" s="40"/>
      <c r="E2" s="40"/>
      <c r="F2" s="40"/>
      <c r="G2" s="40"/>
      <c r="H2" s="40"/>
      <c r="I2" s="40"/>
      <c r="J2" s="40"/>
    </row>
    <row r="3" customFormat="false" ht="35.05" hidden="false" customHeight="false" outlineLevel="0" collapsed="false">
      <c r="A3" s="41" t="s">
        <v>34</v>
      </c>
      <c r="B3" s="41" t="s">
        <v>35</v>
      </c>
      <c r="C3" s="41" t="s">
        <v>36</v>
      </c>
      <c r="D3" s="41" t="s">
        <v>85</v>
      </c>
      <c r="E3" s="41" t="s">
        <v>86</v>
      </c>
      <c r="F3" s="41" t="s">
        <v>87</v>
      </c>
      <c r="G3" s="41" t="s">
        <v>88</v>
      </c>
      <c r="H3" s="41" t="s">
        <v>89</v>
      </c>
      <c r="I3" s="41" t="s">
        <v>90</v>
      </c>
      <c r="J3" s="41" t="s">
        <v>91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42" t="n">
        <f aca="false">'2. Funding by Sector'!P4</f>
        <v>0</v>
      </c>
      <c r="I4" s="43" t="n">
        <f aca="false">IFERROR(IF(MAX($H$4:$H$33)&gt;0,H4/MAX($H$4:$H$33)*100,0),0)</f>
        <v>0</v>
      </c>
      <c r="J4" s="11" t="str">
        <f aca="false">IF(I4&gt;=80,"Very High",IF(I4&gt;=60,"High",IF(I4&gt;=40,"Medium",IF(I4&gt;=20,"Low","Very Low"))))</f>
        <v>Very Low</v>
      </c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44" t="n">
        <f aca="false">'2. Funding by Sector'!P5</f>
        <v>0</v>
      </c>
      <c r="I5" s="45" t="n">
        <f aca="false">IFERROR(IF(MAX($H$4:$H$33)&gt;0,H5/MAX($H$4:$H$33)*100,0),0)</f>
        <v>0</v>
      </c>
      <c r="J5" s="7" t="str">
        <f aca="false">IF(I5&gt;=80,"Very High",IF(I5&gt;=60,"High",IF(I5&gt;=40,"Medium",IF(I5&gt;=20,"Low","Very Low"))))</f>
        <v>Very Low</v>
      </c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42" t="n">
        <f aca="false">'2. Funding by Sector'!P6</f>
        <v>0</v>
      </c>
      <c r="I6" s="43" t="n">
        <f aca="false">IFERROR(IF(MAX($H$4:$H$33)&gt;0,H6/MAX($H$4:$H$33)*100,0),0)</f>
        <v>0</v>
      </c>
      <c r="J6" s="11" t="str">
        <f aca="false">IF(I6&gt;=80,"Very High",IF(I6&gt;=60,"High",IF(I6&gt;=40,"Medium",IF(I6&gt;=20,"Low","Very Low"))))</f>
        <v>Very Low</v>
      </c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44" t="n">
        <f aca="false">'2. Funding by Sector'!P7</f>
        <v>0</v>
      </c>
      <c r="I7" s="45" t="n">
        <f aca="false">IFERROR(IF(MAX($H$4:$H$33)&gt;0,H7/MAX($H$4:$H$33)*100,0),0)</f>
        <v>0</v>
      </c>
      <c r="J7" s="7" t="str">
        <f aca="false">IF(I7&gt;=80,"Very High",IF(I7&gt;=60,"High",IF(I7&gt;=40,"Medium",IF(I7&gt;=20,"Low","Very Low"))))</f>
        <v>Very Low</v>
      </c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42" t="n">
        <f aca="false">'2. Funding by Sector'!P8</f>
        <v>0</v>
      </c>
      <c r="I8" s="43" t="n">
        <f aca="false">IFERROR(IF(MAX($H$4:$H$33)&gt;0,H8/MAX($H$4:$H$33)*100,0),0)</f>
        <v>0</v>
      </c>
      <c r="J8" s="11" t="str">
        <f aca="false">IF(I8&gt;=80,"Very High",IF(I8&gt;=60,"High",IF(I8&gt;=40,"Medium",IF(I8&gt;=20,"Low","Very Low"))))</f>
        <v>Very Low</v>
      </c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44" t="n">
        <f aca="false">'2. Funding by Sector'!P9</f>
        <v>0</v>
      </c>
      <c r="I9" s="45" t="n">
        <f aca="false">IFERROR(IF(MAX($H$4:$H$33)&gt;0,H9/MAX($H$4:$H$33)*100,0),0)</f>
        <v>0</v>
      </c>
      <c r="J9" s="7" t="str">
        <f aca="false">IF(I9&gt;=80,"Very High",IF(I9&gt;=60,"High",IF(I9&gt;=40,"Medium",IF(I9&gt;=20,"Low","Very Low"))))</f>
        <v>Very Low</v>
      </c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42" t="n">
        <f aca="false">'2. Funding by Sector'!P10</f>
        <v>0</v>
      </c>
      <c r="I10" s="43" t="n">
        <f aca="false">IFERROR(IF(MAX($H$4:$H$33)&gt;0,H10/MAX($H$4:$H$33)*100,0),0)</f>
        <v>0</v>
      </c>
      <c r="J10" s="11" t="str">
        <f aca="false">IF(I10&gt;=80,"Very High",IF(I10&gt;=60,"High",IF(I10&gt;=40,"Medium",IF(I10&gt;=20,"Low","Very Low"))))</f>
        <v>Very Low</v>
      </c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44" t="n">
        <f aca="false">'2. Funding by Sector'!P11</f>
        <v>0</v>
      </c>
      <c r="I11" s="45" t="n">
        <f aca="false">IFERROR(IF(MAX($H$4:$H$33)&gt;0,H11/MAX($H$4:$H$33)*100,0),0)</f>
        <v>0</v>
      </c>
      <c r="J11" s="7" t="str">
        <f aca="false">IF(I11&gt;=80,"Very High",IF(I11&gt;=60,"High",IF(I11&gt;=40,"Medium",IF(I11&gt;=20,"Low","Very Low"))))</f>
        <v>Very Low</v>
      </c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42" t="n">
        <f aca="false">'2. Funding by Sector'!P12</f>
        <v>0</v>
      </c>
      <c r="I12" s="43" t="n">
        <f aca="false">IFERROR(IF(MAX($H$4:$H$33)&gt;0,H12/MAX($H$4:$H$33)*100,0),0)</f>
        <v>0</v>
      </c>
      <c r="J12" s="11" t="str">
        <f aca="false">IF(I12&gt;=80,"Very High",IF(I12&gt;=60,"High",IF(I12&gt;=40,"Medium",IF(I12&gt;=20,"Low","Very Low"))))</f>
        <v>Very Low</v>
      </c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44" t="n">
        <f aca="false">'2. Funding by Sector'!P13</f>
        <v>0</v>
      </c>
      <c r="I13" s="45" t="n">
        <f aca="false">IFERROR(IF(MAX($H$4:$H$33)&gt;0,H13/MAX($H$4:$H$33)*100,0),0)</f>
        <v>0</v>
      </c>
      <c r="J13" s="7" t="str">
        <f aca="false">IF(I13&gt;=80,"Very High",IF(I13&gt;=60,"High",IF(I13&gt;=40,"Medium",IF(I13&gt;=20,"Low","Very Low"))))</f>
        <v>Very Low</v>
      </c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42" t="n">
        <f aca="false">'2. Funding by Sector'!P14</f>
        <v>0</v>
      </c>
      <c r="I14" s="43" t="n">
        <f aca="false">IFERROR(IF(MAX($H$4:$H$33)&gt;0,H14/MAX($H$4:$H$33)*100,0),0)</f>
        <v>0</v>
      </c>
      <c r="J14" s="11" t="str">
        <f aca="false">IF(I14&gt;=80,"Very High",IF(I14&gt;=60,"High",IF(I14&gt;=40,"Medium",IF(I14&gt;=20,"Low","Very Low"))))</f>
        <v>Very Low</v>
      </c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44" t="n">
        <f aca="false">'2. Funding by Sector'!P15</f>
        <v>0</v>
      </c>
      <c r="I15" s="45" t="n">
        <f aca="false">IFERROR(IF(MAX($H$4:$H$33)&gt;0,H15/MAX($H$4:$H$33)*100,0),0)</f>
        <v>0</v>
      </c>
      <c r="J15" s="7" t="str">
        <f aca="false">IF(I15&gt;=80,"Very High",IF(I15&gt;=60,"High",IF(I15&gt;=40,"Medium",IF(I15&gt;=20,"Low","Very Low"))))</f>
        <v>Very Low</v>
      </c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42" t="n">
        <f aca="false">'2. Funding by Sector'!P16</f>
        <v>0</v>
      </c>
      <c r="I16" s="43" t="n">
        <f aca="false">IFERROR(IF(MAX($H$4:$H$33)&gt;0,H16/MAX($H$4:$H$33)*100,0),0)</f>
        <v>0</v>
      </c>
      <c r="J16" s="11" t="str">
        <f aca="false">IF(I16&gt;=80,"Very High",IF(I16&gt;=60,"High",IF(I16&gt;=40,"Medium",IF(I16&gt;=20,"Low","Very Low"))))</f>
        <v>Very Low</v>
      </c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44" t="n">
        <f aca="false">'2. Funding by Sector'!P17</f>
        <v>0</v>
      </c>
      <c r="I17" s="45" t="n">
        <f aca="false">IFERROR(IF(MAX($H$4:$H$33)&gt;0,H17/MAX($H$4:$H$33)*100,0),0)</f>
        <v>0</v>
      </c>
      <c r="J17" s="7" t="str">
        <f aca="false">IF(I17&gt;=80,"Very High",IF(I17&gt;=60,"High",IF(I17&gt;=40,"Medium",IF(I17&gt;=20,"Low","Very Low"))))</f>
        <v>Very Low</v>
      </c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42" t="n">
        <f aca="false">'2. Funding by Sector'!P18</f>
        <v>0</v>
      </c>
      <c r="I18" s="43" t="n">
        <f aca="false">IFERROR(IF(MAX($H$4:$H$33)&gt;0,H18/MAX($H$4:$H$33)*100,0),0)</f>
        <v>0</v>
      </c>
      <c r="J18" s="11" t="str">
        <f aca="false">IF(I18&gt;=80,"Very High",IF(I18&gt;=60,"High",IF(I18&gt;=40,"Medium",IF(I18&gt;=20,"Low","Very Low"))))</f>
        <v>Very Low</v>
      </c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44" t="n">
        <f aca="false">'2. Funding by Sector'!P19</f>
        <v>0</v>
      </c>
      <c r="I19" s="45" t="n">
        <f aca="false">IFERROR(IF(MAX($H$4:$H$33)&gt;0,H19/MAX($H$4:$H$33)*100,0),0)</f>
        <v>0</v>
      </c>
      <c r="J19" s="7" t="str">
        <f aca="false">IF(I19&gt;=80,"Very High",IF(I19&gt;=60,"High",IF(I19&gt;=40,"Medium",IF(I19&gt;=20,"Low","Very Low"))))</f>
        <v>Very Low</v>
      </c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42" t="n">
        <f aca="false">'2. Funding by Sector'!P20</f>
        <v>0</v>
      </c>
      <c r="I20" s="43" t="n">
        <f aca="false">IFERROR(IF(MAX($H$4:$H$33)&gt;0,H20/MAX($H$4:$H$33)*100,0),0)</f>
        <v>0</v>
      </c>
      <c r="J20" s="11" t="str">
        <f aca="false">IF(I20&gt;=80,"Very High",IF(I20&gt;=60,"High",IF(I20&gt;=40,"Medium",IF(I20&gt;=20,"Low","Very Low"))))</f>
        <v>Very Low</v>
      </c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44" t="n">
        <f aca="false">'2. Funding by Sector'!P21</f>
        <v>0</v>
      </c>
      <c r="I21" s="45" t="n">
        <f aca="false">IFERROR(IF(MAX($H$4:$H$33)&gt;0,H21/MAX($H$4:$H$33)*100,0),0)</f>
        <v>0</v>
      </c>
      <c r="J21" s="7" t="str">
        <f aca="false">IF(I21&gt;=80,"Very High",IF(I21&gt;=60,"High",IF(I21&gt;=40,"Medium",IF(I21&gt;=20,"Low","Very Low"))))</f>
        <v>Very Low</v>
      </c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42" t="n">
        <f aca="false">'2. Funding by Sector'!P22</f>
        <v>0</v>
      </c>
      <c r="I22" s="43" t="n">
        <f aca="false">IFERROR(IF(MAX($H$4:$H$33)&gt;0,H22/MAX($H$4:$H$33)*100,0),0)</f>
        <v>0</v>
      </c>
      <c r="J22" s="11" t="str">
        <f aca="false">IF(I22&gt;=80,"Very High",IF(I22&gt;=60,"High",IF(I22&gt;=40,"Medium",IF(I22&gt;=20,"Low","Very Low"))))</f>
        <v>Very Low</v>
      </c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44" t="n">
        <f aca="false">'2. Funding by Sector'!P23</f>
        <v>0</v>
      </c>
      <c r="I23" s="45" t="n">
        <f aca="false">IFERROR(IF(MAX($H$4:$H$33)&gt;0,H23/MAX($H$4:$H$33)*100,0),0)</f>
        <v>0</v>
      </c>
      <c r="J23" s="7" t="str">
        <f aca="false">IF(I23&gt;=80,"Very High",IF(I23&gt;=60,"High",IF(I23&gt;=40,"Medium",IF(I23&gt;=20,"Low","Very Low"))))</f>
        <v>Very Low</v>
      </c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42" t="n">
        <f aca="false">'2. Funding by Sector'!P24</f>
        <v>0</v>
      </c>
      <c r="I24" s="43" t="n">
        <f aca="false">IFERROR(IF(MAX($H$4:$H$33)&gt;0,H24/MAX($H$4:$H$33)*100,0),0)</f>
        <v>0</v>
      </c>
      <c r="J24" s="11" t="str">
        <f aca="false">IF(I24&gt;=80,"Very High",IF(I24&gt;=60,"High",IF(I24&gt;=40,"Medium",IF(I24&gt;=20,"Low","Very Low"))))</f>
        <v>Very Low</v>
      </c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44" t="n">
        <f aca="false">'2. Funding by Sector'!P25</f>
        <v>0</v>
      </c>
      <c r="I25" s="45" t="n">
        <f aca="false">IFERROR(IF(MAX($H$4:$H$33)&gt;0,H25/MAX($H$4:$H$33)*100,0),0)</f>
        <v>0</v>
      </c>
      <c r="J25" s="7" t="str">
        <f aca="false">IF(I25&gt;=80,"Very High",IF(I25&gt;=60,"High",IF(I25&gt;=40,"Medium",IF(I25&gt;=20,"Low","Very Low"))))</f>
        <v>Very Low</v>
      </c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42" t="n">
        <f aca="false">'2. Funding by Sector'!P26</f>
        <v>0</v>
      </c>
      <c r="I26" s="43" t="n">
        <f aca="false">IFERROR(IF(MAX($H$4:$H$33)&gt;0,H26/MAX($H$4:$H$33)*100,0),0)</f>
        <v>0</v>
      </c>
      <c r="J26" s="11" t="str">
        <f aca="false">IF(I26&gt;=80,"Very High",IF(I26&gt;=60,"High",IF(I26&gt;=40,"Medium",IF(I26&gt;=20,"Low","Very Low"))))</f>
        <v>Very Low</v>
      </c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44" t="n">
        <f aca="false">'2. Funding by Sector'!P27</f>
        <v>0</v>
      </c>
      <c r="I27" s="45" t="n">
        <f aca="false">IFERROR(IF(MAX($H$4:$H$33)&gt;0,H27/MAX($H$4:$H$33)*100,0),0)</f>
        <v>0</v>
      </c>
      <c r="J27" s="7" t="str">
        <f aca="false">IF(I27&gt;=80,"Very High",IF(I27&gt;=60,"High",IF(I27&gt;=40,"Medium",IF(I27&gt;=20,"Low","Very Low"))))</f>
        <v>Very Low</v>
      </c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42" t="n">
        <f aca="false">'2. Funding by Sector'!P28</f>
        <v>0</v>
      </c>
      <c r="I28" s="43" t="n">
        <f aca="false">IFERROR(IF(MAX($H$4:$H$33)&gt;0,H28/MAX($H$4:$H$33)*100,0),0)</f>
        <v>0</v>
      </c>
      <c r="J28" s="11" t="str">
        <f aca="false">IF(I28&gt;=80,"Very High",IF(I28&gt;=60,"High",IF(I28&gt;=40,"Medium",IF(I28&gt;=20,"Low","Very Low"))))</f>
        <v>Very Low</v>
      </c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44" t="n">
        <f aca="false">'2. Funding by Sector'!P29</f>
        <v>0</v>
      </c>
      <c r="I29" s="45" t="n">
        <f aca="false">IFERROR(IF(MAX($H$4:$H$33)&gt;0,H29/MAX($H$4:$H$33)*100,0),0)</f>
        <v>0</v>
      </c>
      <c r="J29" s="7" t="str">
        <f aca="false">IF(I29&gt;=80,"Very High",IF(I29&gt;=60,"High",IF(I29&gt;=40,"Medium",IF(I29&gt;=20,"Low","Very Low"))))</f>
        <v>Very Low</v>
      </c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42" t="n">
        <f aca="false">'2. Funding by Sector'!P30</f>
        <v>0</v>
      </c>
      <c r="I30" s="43" t="n">
        <f aca="false">IFERROR(IF(MAX($H$4:$H$33)&gt;0,H30/MAX($H$4:$H$33)*100,0),0)</f>
        <v>0</v>
      </c>
      <c r="J30" s="11" t="str">
        <f aca="false">IF(I30&gt;=80,"Very High",IF(I30&gt;=60,"High",IF(I30&gt;=40,"Medium",IF(I30&gt;=20,"Low","Very Low"))))</f>
        <v>Very Low</v>
      </c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44" t="n">
        <f aca="false">'2. Funding by Sector'!P31</f>
        <v>0</v>
      </c>
      <c r="I31" s="45" t="n">
        <f aca="false">IFERROR(IF(MAX($H$4:$H$33)&gt;0,H31/MAX($H$4:$H$33)*100,0),0)</f>
        <v>0</v>
      </c>
      <c r="J31" s="7" t="str">
        <f aca="false">IF(I31&gt;=80,"Very High",IF(I31&gt;=60,"High",IF(I31&gt;=40,"Medium",IF(I31&gt;=20,"Low","Very Low"))))</f>
        <v>Very Low</v>
      </c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42" t="n">
        <f aca="false">'2. Funding by Sector'!P32</f>
        <v>0</v>
      </c>
      <c r="I32" s="43" t="n">
        <f aca="false">IFERROR(IF(MAX($H$4:$H$33)&gt;0,H32/MAX($H$4:$H$33)*100,0),0)</f>
        <v>0</v>
      </c>
      <c r="J32" s="11" t="str">
        <f aca="false">IF(I32&gt;=80,"Very High",IF(I32&gt;=60,"High",IF(I32&gt;=40,"Medium",IF(I32&gt;=20,"Low","Very Low"))))</f>
        <v>Very Low</v>
      </c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44" t="n">
        <f aca="false">'2. Funding by Sector'!P33</f>
        <v>0</v>
      </c>
      <c r="I33" s="45" t="n">
        <f aca="false">IFERROR(IF(MAX($H$4:$H$33)&gt;0,H33/MAX($H$4:$H$33)*100,0),0)</f>
        <v>0</v>
      </c>
      <c r="J33" s="7" t="str">
        <f aca="false">IF(I33&gt;=80,"Very High",IF(I33&gt;=60,"High",IF(I33&gt;=40,"Medium",IF(I33&gt;=20,"Low","Very Low"))))</f>
        <v>Very Low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J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4" min="3" style="0" width="24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46" t="s">
        <v>92</v>
      </c>
      <c r="B1" s="46"/>
      <c r="C1" s="46"/>
      <c r="D1" s="46"/>
      <c r="E1" s="46"/>
      <c r="F1" s="46"/>
      <c r="G1" s="46"/>
      <c r="H1" s="46"/>
      <c r="I1" s="46"/>
      <c r="J1" s="46"/>
    </row>
    <row r="2" customFormat="false" ht="25.5" hidden="false" customHeight="true" outlineLevel="0" collapsed="false">
      <c r="A2" s="47" t="s">
        <v>93</v>
      </c>
      <c r="B2" s="47"/>
      <c r="C2" s="47"/>
      <c r="D2" s="47"/>
      <c r="E2" s="47"/>
      <c r="F2" s="47"/>
      <c r="G2" s="47"/>
      <c r="H2" s="47"/>
      <c r="I2" s="47"/>
      <c r="J2" s="47"/>
    </row>
    <row r="3" customFormat="false" ht="23.85" hidden="false" customHeight="false" outlineLevel="0" collapsed="false">
      <c r="A3" s="48" t="s">
        <v>34</v>
      </c>
      <c r="B3" s="48" t="s">
        <v>94</v>
      </c>
      <c r="C3" s="48" t="s">
        <v>95</v>
      </c>
      <c r="D3" s="48" t="s">
        <v>96</v>
      </c>
      <c r="E3" s="48" t="s">
        <v>97</v>
      </c>
      <c r="F3" s="48" t="s">
        <v>98</v>
      </c>
      <c r="G3" s="48" t="s">
        <v>99</v>
      </c>
      <c r="H3" s="48" t="s">
        <v>100</v>
      </c>
      <c r="I3" s="48" t="s">
        <v>101</v>
      </c>
      <c r="J3" s="48" t="s">
        <v>35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17"/>
      <c r="J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19"/>
      <c r="I5" s="19"/>
      <c r="J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17"/>
      <c r="J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19"/>
      <c r="I7" s="19"/>
      <c r="J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19"/>
      <c r="I9" s="19"/>
      <c r="J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19"/>
      <c r="I11" s="19"/>
      <c r="J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19"/>
      <c r="I13" s="19"/>
      <c r="J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19"/>
      <c r="I15" s="19"/>
      <c r="J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19"/>
      <c r="I17" s="19"/>
      <c r="J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17"/>
      <c r="J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19"/>
      <c r="I19" s="19"/>
      <c r="J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19"/>
      <c r="I21" s="19"/>
      <c r="J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17"/>
      <c r="J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19"/>
      <c r="I23" s="19"/>
      <c r="J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17"/>
      <c r="J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19"/>
      <c r="I25" s="19"/>
      <c r="J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17"/>
      <c r="J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19"/>
      <c r="I27" s="19"/>
      <c r="J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17"/>
      <c r="J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19"/>
      <c r="I29" s="19"/>
      <c r="J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17"/>
      <c r="J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19"/>
      <c r="I31" s="19"/>
      <c r="J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17"/>
      <c r="J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19"/>
      <c r="I33" s="19"/>
      <c r="J33" s="19"/>
    </row>
    <row r="34" customFormat="false" ht="15" hidden="false" customHeight="false" outlineLevel="0" collapsed="false">
      <c r="A34" s="8" t="n">
        <v>31</v>
      </c>
      <c r="B34" s="17"/>
      <c r="C34" s="17"/>
      <c r="D34" s="17"/>
      <c r="E34" s="17"/>
      <c r="F34" s="17"/>
      <c r="G34" s="17"/>
      <c r="H34" s="17"/>
      <c r="I34" s="17"/>
      <c r="J34" s="17"/>
    </row>
    <row r="35" customFormat="false" ht="15" hidden="false" customHeight="false" outlineLevel="0" collapsed="false">
      <c r="A35" s="4" t="n">
        <v>32</v>
      </c>
      <c r="B35" s="19"/>
      <c r="C35" s="19"/>
      <c r="D35" s="19"/>
      <c r="E35" s="19"/>
      <c r="F35" s="19"/>
      <c r="G35" s="19"/>
      <c r="H35" s="19"/>
      <c r="I35" s="19"/>
      <c r="J35" s="19"/>
    </row>
    <row r="36" customFormat="false" ht="15" hidden="false" customHeight="false" outlineLevel="0" collapsed="false">
      <c r="A36" s="8" t="n">
        <v>33</v>
      </c>
      <c r="B36" s="17"/>
      <c r="C36" s="17"/>
      <c r="D36" s="17"/>
      <c r="E36" s="17"/>
      <c r="F36" s="17"/>
      <c r="G36" s="17"/>
      <c r="H36" s="17"/>
      <c r="I36" s="17"/>
      <c r="J36" s="17"/>
    </row>
    <row r="37" customFormat="false" ht="15" hidden="false" customHeight="false" outlineLevel="0" collapsed="false">
      <c r="A37" s="4" t="n">
        <v>34</v>
      </c>
      <c r="B37" s="19"/>
      <c r="C37" s="19"/>
      <c r="D37" s="19"/>
      <c r="E37" s="19"/>
      <c r="F37" s="19"/>
      <c r="G37" s="19"/>
      <c r="H37" s="19"/>
      <c r="I37" s="19"/>
      <c r="J37" s="19"/>
    </row>
    <row r="38" customFormat="false" ht="15" hidden="false" customHeight="false" outlineLevel="0" collapsed="false">
      <c r="A38" s="8" t="n">
        <v>35</v>
      </c>
      <c r="B38" s="17"/>
      <c r="C38" s="17"/>
      <c r="D38" s="17"/>
      <c r="E38" s="17"/>
      <c r="F38" s="17"/>
      <c r="G38" s="17"/>
      <c r="H38" s="17"/>
      <c r="I38" s="17"/>
      <c r="J38" s="17"/>
    </row>
    <row r="39" customFormat="false" ht="15" hidden="false" customHeight="false" outlineLevel="0" collapsed="false">
      <c r="A39" s="4" t="n">
        <v>36</v>
      </c>
      <c r="B39" s="19"/>
      <c r="C39" s="19"/>
      <c r="D39" s="19"/>
      <c r="E39" s="19"/>
      <c r="F39" s="19"/>
      <c r="G39" s="19"/>
      <c r="H39" s="19"/>
      <c r="I39" s="19"/>
      <c r="J39" s="19"/>
    </row>
    <row r="40" customFormat="false" ht="15" hidden="false" customHeight="false" outlineLevel="0" collapsed="false">
      <c r="A40" s="8" t="n">
        <v>37</v>
      </c>
      <c r="B40" s="17"/>
      <c r="C40" s="17"/>
      <c r="D40" s="17"/>
      <c r="E40" s="17"/>
      <c r="F40" s="17"/>
      <c r="G40" s="17"/>
      <c r="H40" s="17"/>
      <c r="I40" s="17"/>
      <c r="J40" s="17"/>
    </row>
    <row r="41" customFormat="false" ht="15" hidden="false" customHeight="false" outlineLevel="0" collapsed="false">
      <c r="A41" s="4" t="n">
        <v>38</v>
      </c>
      <c r="B41" s="19"/>
      <c r="C41" s="19"/>
      <c r="D41" s="19"/>
      <c r="E41" s="19"/>
      <c r="F41" s="19"/>
      <c r="G41" s="19"/>
      <c r="H41" s="19"/>
      <c r="I41" s="19"/>
      <c r="J41" s="19"/>
    </row>
    <row r="42" customFormat="false" ht="15" hidden="false" customHeight="false" outlineLevel="0" collapsed="false">
      <c r="A42" s="8" t="n">
        <v>39</v>
      </c>
      <c r="B42" s="17"/>
      <c r="C42" s="17"/>
      <c r="D42" s="17"/>
      <c r="E42" s="17"/>
      <c r="F42" s="17"/>
      <c r="G42" s="17"/>
      <c r="H42" s="17"/>
      <c r="I42" s="17"/>
      <c r="J42" s="17"/>
    </row>
    <row r="43" customFormat="false" ht="15" hidden="false" customHeight="false" outlineLevel="0" collapsed="false">
      <c r="A43" s="4" t="n">
        <v>40</v>
      </c>
      <c r="B43" s="19"/>
      <c r="C43" s="19"/>
      <c r="D43" s="19"/>
      <c r="E43" s="19"/>
      <c r="F43" s="19"/>
      <c r="G43" s="19"/>
      <c r="H43" s="19"/>
      <c r="I43" s="19"/>
      <c r="J43" s="19"/>
    </row>
    <row r="44" customFormat="false" ht="15" hidden="false" customHeight="false" outlineLevel="0" collapsed="false">
      <c r="A44" s="8" t="n">
        <v>41</v>
      </c>
      <c r="B44" s="17"/>
      <c r="C44" s="17"/>
      <c r="D44" s="17"/>
      <c r="E44" s="17"/>
      <c r="F44" s="17"/>
      <c r="G44" s="17"/>
      <c r="H44" s="17"/>
      <c r="I44" s="17"/>
      <c r="J44" s="17"/>
    </row>
    <row r="45" customFormat="false" ht="15" hidden="false" customHeight="false" outlineLevel="0" collapsed="false">
      <c r="A45" s="4" t="n">
        <v>42</v>
      </c>
      <c r="B45" s="19"/>
      <c r="C45" s="19"/>
      <c r="D45" s="19"/>
      <c r="E45" s="19"/>
      <c r="F45" s="19"/>
      <c r="G45" s="19"/>
      <c r="H45" s="19"/>
      <c r="I45" s="19"/>
      <c r="J45" s="19"/>
    </row>
    <row r="46" customFormat="false" ht="15" hidden="false" customHeight="false" outlineLevel="0" collapsed="false">
      <c r="A46" s="8" t="n">
        <v>43</v>
      </c>
      <c r="B46" s="17"/>
      <c r="C46" s="17"/>
      <c r="D46" s="17"/>
      <c r="E46" s="17"/>
      <c r="F46" s="17"/>
      <c r="G46" s="17"/>
      <c r="H46" s="17"/>
      <c r="I46" s="17"/>
      <c r="J46" s="17"/>
    </row>
    <row r="47" customFormat="false" ht="15" hidden="false" customHeight="false" outlineLevel="0" collapsed="false">
      <c r="A47" s="4" t="n">
        <v>44</v>
      </c>
      <c r="B47" s="19"/>
      <c r="C47" s="19"/>
      <c r="D47" s="19"/>
      <c r="E47" s="19"/>
      <c r="F47" s="19"/>
      <c r="G47" s="19"/>
      <c r="H47" s="19"/>
      <c r="I47" s="19"/>
      <c r="J47" s="19"/>
    </row>
    <row r="48" customFormat="false" ht="15" hidden="false" customHeight="false" outlineLevel="0" collapsed="false">
      <c r="A48" s="8" t="n">
        <v>45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4" t="n">
        <v>46</v>
      </c>
      <c r="B49" s="19"/>
      <c r="C49" s="19"/>
      <c r="D49" s="19"/>
      <c r="E49" s="19"/>
      <c r="F49" s="19"/>
      <c r="G49" s="19"/>
      <c r="H49" s="19"/>
      <c r="I49" s="19"/>
      <c r="J49" s="19"/>
    </row>
    <row r="50" customFormat="false" ht="15" hidden="false" customHeight="false" outlineLevel="0" collapsed="false">
      <c r="A50" s="8" t="n">
        <v>47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4" t="n">
        <v>48</v>
      </c>
      <c r="B51" s="19"/>
      <c r="C51" s="19"/>
      <c r="D51" s="19"/>
      <c r="E51" s="19"/>
      <c r="F51" s="19"/>
      <c r="G51" s="19"/>
      <c r="H51" s="19"/>
      <c r="I51" s="19"/>
      <c r="J51" s="19"/>
    </row>
    <row r="52" customFormat="false" ht="15" hidden="false" customHeight="false" outlineLevel="0" collapsed="false">
      <c r="A52" s="8" t="n">
        <v>49</v>
      </c>
      <c r="B52" s="17"/>
      <c r="C52" s="17"/>
      <c r="D52" s="17"/>
      <c r="E52" s="17"/>
      <c r="F52" s="17"/>
      <c r="G52" s="17"/>
      <c r="H52" s="17"/>
      <c r="I52" s="17"/>
      <c r="J52" s="17"/>
    </row>
    <row r="53" customFormat="false" ht="15" hidden="false" customHeight="false" outlineLevel="0" collapsed="false">
      <c r="A53" s="4" t="n">
        <v>50</v>
      </c>
      <c r="B53" s="19"/>
      <c r="C53" s="19"/>
      <c r="D53" s="19"/>
      <c r="E53" s="19"/>
      <c r="F53" s="19"/>
      <c r="G53" s="19"/>
      <c r="H53" s="19"/>
      <c r="I53" s="19"/>
      <c r="J53" s="19"/>
    </row>
    <row r="55" customFormat="false" ht="25.5" hidden="false" customHeight="true" outlineLevel="0" collapsed="false">
      <c r="A55" s="21" t="s">
        <v>102</v>
      </c>
      <c r="B55" s="21"/>
      <c r="C55" s="21"/>
      <c r="D55" s="21"/>
      <c r="E55" s="21"/>
      <c r="F55" s="21"/>
      <c r="G55" s="21"/>
      <c r="H55" s="21"/>
      <c r="I55" s="21"/>
      <c r="J55" s="21"/>
    </row>
    <row r="56" customFormat="false" ht="23.85" hidden="false" customHeight="false" outlineLevel="0" collapsed="false">
      <c r="A56" s="49" t="s">
        <v>34</v>
      </c>
      <c r="B56" s="49" t="s">
        <v>35</v>
      </c>
      <c r="C56" s="49" t="s">
        <v>103</v>
      </c>
      <c r="D56" s="49" t="s">
        <v>104</v>
      </c>
      <c r="E56" s="49" t="s">
        <v>105</v>
      </c>
      <c r="F56" s="49" t="s">
        <v>106</v>
      </c>
      <c r="G56" s="49" t="s">
        <v>107</v>
      </c>
      <c r="H56" s="49" t="s">
        <v>108</v>
      </c>
      <c r="I56" s="49" t="s">
        <v>109</v>
      </c>
      <c r="J56" s="49" t="s">
        <v>110</v>
      </c>
    </row>
    <row r="57" customFormat="false" ht="15" hidden="false" customHeight="false" outlineLevel="0" collapsed="false">
      <c r="A57" s="4" t="n">
        <v>1</v>
      </c>
      <c r="B57" s="19"/>
      <c r="C57" s="19"/>
      <c r="D57" s="19"/>
      <c r="E57" s="19"/>
      <c r="F57" s="19"/>
      <c r="G57" s="19"/>
      <c r="H57" s="19"/>
      <c r="I57" s="19"/>
      <c r="J57" s="19"/>
    </row>
    <row r="58" customFormat="false" ht="15" hidden="false" customHeight="false" outlineLevel="0" collapsed="false">
      <c r="A58" s="8" t="n">
        <v>2</v>
      </c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4" t="n">
        <v>3</v>
      </c>
      <c r="B59" s="19"/>
      <c r="C59" s="19"/>
      <c r="D59" s="19"/>
      <c r="E59" s="19"/>
      <c r="F59" s="19"/>
      <c r="G59" s="19"/>
      <c r="H59" s="19"/>
      <c r="I59" s="19"/>
      <c r="J59" s="19"/>
    </row>
    <row r="60" customFormat="false" ht="15" hidden="false" customHeight="false" outlineLevel="0" collapsed="false">
      <c r="A60" s="8" t="n">
        <v>4</v>
      </c>
      <c r="B60" s="17"/>
      <c r="C60" s="17"/>
      <c r="D60" s="17"/>
      <c r="E60" s="17"/>
      <c r="F60" s="17"/>
      <c r="G60" s="17"/>
      <c r="H60" s="17"/>
      <c r="I60" s="17"/>
      <c r="J60" s="17"/>
    </row>
    <row r="61" customFormat="false" ht="15" hidden="false" customHeight="false" outlineLevel="0" collapsed="false">
      <c r="A61" s="4" t="n">
        <v>5</v>
      </c>
      <c r="B61" s="19"/>
      <c r="C61" s="19"/>
      <c r="D61" s="19"/>
      <c r="E61" s="19"/>
      <c r="F61" s="19"/>
      <c r="G61" s="19"/>
      <c r="H61" s="19"/>
      <c r="I61" s="19"/>
      <c r="J61" s="19"/>
    </row>
    <row r="62" customFormat="false" ht="15" hidden="false" customHeight="false" outlineLevel="0" collapsed="false">
      <c r="A62" s="8" t="n">
        <v>6</v>
      </c>
      <c r="B62" s="17"/>
      <c r="C62" s="17"/>
      <c r="D62" s="17"/>
      <c r="E62" s="17"/>
      <c r="F62" s="17"/>
      <c r="G62" s="17"/>
      <c r="H62" s="17"/>
      <c r="I62" s="17"/>
      <c r="J62" s="17"/>
    </row>
    <row r="63" customFormat="false" ht="15" hidden="false" customHeight="false" outlineLevel="0" collapsed="false">
      <c r="A63" s="4" t="n">
        <v>7</v>
      </c>
      <c r="B63" s="19"/>
      <c r="C63" s="19"/>
      <c r="D63" s="19"/>
      <c r="E63" s="19"/>
      <c r="F63" s="19"/>
      <c r="G63" s="19"/>
      <c r="H63" s="19"/>
      <c r="I63" s="19"/>
      <c r="J63" s="19"/>
    </row>
    <row r="64" customFormat="false" ht="15" hidden="false" customHeight="false" outlineLevel="0" collapsed="false">
      <c r="A64" s="8" t="n">
        <v>8</v>
      </c>
      <c r="B64" s="17"/>
      <c r="C64" s="17"/>
      <c r="D64" s="17"/>
      <c r="E64" s="17"/>
      <c r="F64" s="17"/>
      <c r="G64" s="17"/>
      <c r="H64" s="17"/>
      <c r="I64" s="17"/>
      <c r="J64" s="17"/>
    </row>
    <row r="65" customFormat="false" ht="15" hidden="false" customHeight="false" outlineLevel="0" collapsed="false">
      <c r="A65" s="4" t="n">
        <v>9</v>
      </c>
      <c r="B65" s="19"/>
      <c r="C65" s="19"/>
      <c r="D65" s="19"/>
      <c r="E65" s="19"/>
      <c r="F65" s="19"/>
      <c r="G65" s="19"/>
      <c r="H65" s="19"/>
      <c r="I65" s="19"/>
      <c r="J65" s="19"/>
    </row>
    <row r="66" customFormat="false" ht="15" hidden="false" customHeight="false" outlineLevel="0" collapsed="false">
      <c r="A66" s="8" t="n">
        <v>10</v>
      </c>
      <c r="B66" s="17"/>
      <c r="C66" s="17"/>
      <c r="D66" s="17"/>
      <c r="E66" s="17"/>
      <c r="F66" s="17"/>
      <c r="G66" s="17"/>
      <c r="H66" s="17"/>
      <c r="I66" s="17"/>
      <c r="J66" s="17"/>
    </row>
    <row r="67" customFormat="false" ht="15" hidden="false" customHeight="false" outlineLevel="0" collapsed="false">
      <c r="A67" s="4" t="n">
        <v>11</v>
      </c>
      <c r="B67" s="19"/>
      <c r="C67" s="19"/>
      <c r="D67" s="19"/>
      <c r="E67" s="19"/>
      <c r="F67" s="19"/>
      <c r="G67" s="19"/>
      <c r="H67" s="19"/>
      <c r="I67" s="19"/>
      <c r="J67" s="19"/>
    </row>
    <row r="68" customFormat="false" ht="15" hidden="false" customHeight="false" outlineLevel="0" collapsed="false">
      <c r="A68" s="8" t="n">
        <v>12</v>
      </c>
      <c r="B68" s="17"/>
      <c r="C68" s="17"/>
      <c r="D68" s="17"/>
      <c r="E68" s="17"/>
      <c r="F68" s="17"/>
      <c r="G68" s="17"/>
      <c r="H68" s="17"/>
      <c r="I68" s="17"/>
      <c r="J68" s="17"/>
    </row>
    <row r="69" customFormat="false" ht="15" hidden="false" customHeight="false" outlineLevel="0" collapsed="false">
      <c r="A69" s="4" t="n">
        <v>13</v>
      </c>
      <c r="B69" s="19"/>
      <c r="C69" s="19"/>
      <c r="D69" s="19"/>
      <c r="E69" s="19"/>
      <c r="F69" s="19"/>
      <c r="G69" s="19"/>
      <c r="H69" s="19"/>
      <c r="I69" s="19"/>
      <c r="J69" s="19"/>
    </row>
    <row r="70" customFormat="false" ht="15" hidden="false" customHeight="false" outlineLevel="0" collapsed="false">
      <c r="A70" s="8" t="n">
        <v>14</v>
      </c>
      <c r="B70" s="17"/>
      <c r="C70" s="17"/>
      <c r="D70" s="17"/>
      <c r="E70" s="17"/>
      <c r="F70" s="17"/>
      <c r="G70" s="17"/>
      <c r="H70" s="17"/>
      <c r="I70" s="17"/>
      <c r="J70" s="17"/>
    </row>
    <row r="71" customFormat="false" ht="15" hidden="false" customHeight="false" outlineLevel="0" collapsed="false">
      <c r="A71" s="4" t="n">
        <v>15</v>
      </c>
      <c r="B71" s="19"/>
      <c r="C71" s="19"/>
      <c r="D71" s="19"/>
      <c r="E71" s="19"/>
      <c r="F71" s="19"/>
      <c r="G71" s="19"/>
      <c r="H71" s="19"/>
      <c r="I71" s="19"/>
      <c r="J71" s="19"/>
    </row>
    <row r="72" customFormat="false" ht="15" hidden="false" customHeight="false" outlineLevel="0" collapsed="false">
      <c r="A72" s="8" t="n">
        <v>16</v>
      </c>
      <c r="B72" s="17"/>
      <c r="C72" s="17"/>
      <c r="D72" s="17"/>
      <c r="E72" s="17"/>
      <c r="F72" s="17"/>
      <c r="G72" s="17"/>
      <c r="H72" s="17"/>
      <c r="I72" s="17"/>
      <c r="J72" s="17"/>
    </row>
    <row r="73" customFormat="false" ht="15" hidden="false" customHeight="false" outlineLevel="0" collapsed="false">
      <c r="A73" s="4" t="n">
        <v>17</v>
      </c>
      <c r="B73" s="19"/>
      <c r="C73" s="19"/>
      <c r="D73" s="19"/>
      <c r="E73" s="19"/>
      <c r="F73" s="19"/>
      <c r="G73" s="19"/>
      <c r="H73" s="19"/>
      <c r="I73" s="19"/>
      <c r="J73" s="19"/>
    </row>
    <row r="74" customFormat="false" ht="15" hidden="false" customHeight="false" outlineLevel="0" collapsed="false">
      <c r="A74" s="8" t="n">
        <v>18</v>
      </c>
      <c r="B74" s="17"/>
      <c r="C74" s="17"/>
      <c r="D74" s="17"/>
      <c r="E74" s="17"/>
      <c r="F74" s="17"/>
      <c r="G74" s="17"/>
      <c r="H74" s="17"/>
      <c r="I74" s="17"/>
      <c r="J74" s="17"/>
    </row>
    <row r="75" customFormat="false" ht="15" hidden="false" customHeight="false" outlineLevel="0" collapsed="false">
      <c r="A75" s="4" t="n">
        <v>19</v>
      </c>
      <c r="B75" s="19"/>
      <c r="C75" s="19"/>
      <c r="D75" s="19"/>
      <c r="E75" s="19"/>
      <c r="F75" s="19"/>
      <c r="G75" s="19"/>
      <c r="H75" s="19"/>
      <c r="I75" s="19"/>
      <c r="J75" s="19"/>
    </row>
    <row r="76" customFormat="false" ht="15" hidden="false" customHeight="false" outlineLevel="0" collapsed="false">
      <c r="A76" s="8" t="n">
        <v>20</v>
      </c>
      <c r="B76" s="17"/>
      <c r="C76" s="17"/>
      <c r="D76" s="17"/>
      <c r="E76" s="17"/>
      <c r="F76" s="17"/>
      <c r="G76" s="17"/>
      <c r="H76" s="17"/>
      <c r="I76" s="17"/>
      <c r="J76" s="17"/>
    </row>
  </sheetData>
  <mergeCells count="3">
    <mergeCell ref="A1:J1"/>
    <mergeCell ref="A2:J2"/>
    <mergeCell ref="A55:J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10" min="4" style="0" width="18"/>
    <col collapsed="false" customWidth="true" hidden="false" outlineLevel="0" max="11" min="11" style="0" width="14"/>
  </cols>
  <sheetData>
    <row r="1" customFormat="false" ht="33.75" hidden="false" customHeight="true" outlineLevel="0" collapsed="false">
      <c r="A1" s="50" t="s">
        <v>111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customFormat="false" ht="25.5" hidden="false" customHeight="true" outlineLevel="0" collapsed="false">
      <c r="A2" s="21" t="s">
        <v>112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customFormat="false" ht="35.05" hidden="false" customHeight="false" outlineLevel="0" collapsed="false">
      <c r="A3" s="49" t="s">
        <v>34</v>
      </c>
      <c r="B3" s="49" t="s">
        <v>35</v>
      </c>
      <c r="C3" s="49" t="s">
        <v>36</v>
      </c>
      <c r="D3" s="49" t="s">
        <v>113</v>
      </c>
      <c r="E3" s="49" t="s">
        <v>38</v>
      </c>
      <c r="F3" s="49" t="s">
        <v>39</v>
      </c>
      <c r="G3" s="49" t="s">
        <v>40</v>
      </c>
      <c r="H3" s="49" t="s">
        <v>41</v>
      </c>
      <c r="I3" s="49" t="s">
        <v>114</v>
      </c>
      <c r="J3" s="49" t="s">
        <v>115</v>
      </c>
      <c r="K3" s="49" t="s">
        <v>116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17"/>
      <c r="G4" s="17"/>
      <c r="H4" s="17"/>
      <c r="I4" s="43" t="n">
        <f aca="false">IFERROR(IF(AND(D4&gt;0,H4&gt;0),(H4/D4)^(1/4)-1,0)*100,0)</f>
        <v>0</v>
      </c>
      <c r="J4" s="17"/>
      <c r="K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19"/>
      <c r="G5" s="19"/>
      <c r="H5" s="19"/>
      <c r="I5" s="45" t="n">
        <f aca="false">IFERROR(IF(AND(D5&gt;0,H5&gt;0),(H5/D5)^(1/4)-1,0)*100,0)</f>
        <v>0</v>
      </c>
      <c r="J5" s="19"/>
      <c r="K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17"/>
      <c r="G6" s="17"/>
      <c r="H6" s="17"/>
      <c r="I6" s="43" t="n">
        <f aca="false">IFERROR(IF(AND(D6&gt;0,H6&gt;0),(H6/D6)^(1/4)-1,0)*100,0)</f>
        <v>0</v>
      </c>
      <c r="J6" s="17"/>
      <c r="K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19"/>
      <c r="G7" s="19"/>
      <c r="H7" s="19"/>
      <c r="I7" s="45" t="n">
        <f aca="false">IFERROR(IF(AND(D7&gt;0,H7&gt;0),(H7/D7)^(1/4)-1,0)*100,0)</f>
        <v>0</v>
      </c>
      <c r="J7" s="19"/>
      <c r="K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17"/>
      <c r="G8" s="17"/>
      <c r="H8" s="17"/>
      <c r="I8" s="43" t="n">
        <f aca="false">IFERROR(IF(AND(D8&gt;0,H8&gt;0),(H8/D8)^(1/4)-1,0)*100,0)</f>
        <v>0</v>
      </c>
      <c r="J8" s="17"/>
      <c r="K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19"/>
      <c r="G9" s="19"/>
      <c r="H9" s="19"/>
      <c r="I9" s="45" t="n">
        <f aca="false">IFERROR(IF(AND(D9&gt;0,H9&gt;0),(H9/D9)^(1/4)-1,0)*100,0)</f>
        <v>0</v>
      </c>
      <c r="J9" s="19"/>
      <c r="K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17"/>
      <c r="G10" s="17"/>
      <c r="H10" s="17"/>
      <c r="I10" s="43" t="n">
        <f aca="false">IFERROR(IF(AND(D10&gt;0,H10&gt;0),(H10/D10)^(1/4)-1,0)*100,0)</f>
        <v>0</v>
      </c>
      <c r="J10" s="17"/>
      <c r="K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19"/>
      <c r="G11" s="19"/>
      <c r="H11" s="19"/>
      <c r="I11" s="45" t="n">
        <f aca="false">IFERROR(IF(AND(D11&gt;0,H11&gt;0),(H11/D11)^(1/4)-1,0)*100,0)</f>
        <v>0</v>
      </c>
      <c r="J11" s="19"/>
      <c r="K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17"/>
      <c r="G12" s="17"/>
      <c r="H12" s="17"/>
      <c r="I12" s="43" t="n">
        <f aca="false">IFERROR(IF(AND(D12&gt;0,H12&gt;0),(H12/D12)^(1/4)-1,0)*100,0)</f>
        <v>0</v>
      </c>
      <c r="J12" s="17"/>
      <c r="K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19"/>
      <c r="G13" s="19"/>
      <c r="H13" s="19"/>
      <c r="I13" s="45" t="n">
        <f aca="false">IFERROR(IF(AND(D13&gt;0,H13&gt;0),(H13/D13)^(1/4)-1,0)*100,0)</f>
        <v>0</v>
      </c>
      <c r="J13" s="19"/>
      <c r="K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17"/>
      <c r="G14" s="17"/>
      <c r="H14" s="17"/>
      <c r="I14" s="43" t="n">
        <f aca="false">IFERROR(IF(AND(D14&gt;0,H14&gt;0),(H14/D14)^(1/4)-1,0)*100,0)</f>
        <v>0</v>
      </c>
      <c r="J14" s="17"/>
      <c r="K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19"/>
      <c r="G15" s="19"/>
      <c r="H15" s="19"/>
      <c r="I15" s="45" t="n">
        <f aca="false">IFERROR(IF(AND(D15&gt;0,H15&gt;0),(H15/D15)^(1/4)-1,0)*100,0)</f>
        <v>0</v>
      </c>
      <c r="J15" s="19"/>
      <c r="K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17"/>
      <c r="G16" s="17"/>
      <c r="H16" s="17"/>
      <c r="I16" s="43" t="n">
        <f aca="false">IFERROR(IF(AND(D16&gt;0,H16&gt;0),(H16/D16)^(1/4)-1,0)*100,0)</f>
        <v>0</v>
      </c>
      <c r="J16" s="17"/>
      <c r="K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19"/>
      <c r="G17" s="19"/>
      <c r="H17" s="19"/>
      <c r="I17" s="45" t="n">
        <f aca="false">IFERROR(IF(AND(D17&gt;0,H17&gt;0),(H17/D17)^(1/4)-1,0)*100,0)</f>
        <v>0</v>
      </c>
      <c r="J17" s="19"/>
      <c r="K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17"/>
      <c r="G18" s="17"/>
      <c r="H18" s="17"/>
      <c r="I18" s="43" t="n">
        <f aca="false">IFERROR(IF(AND(D18&gt;0,H18&gt;0),(H18/D18)^(1/4)-1,0)*100,0)</f>
        <v>0</v>
      </c>
      <c r="J18" s="17"/>
      <c r="K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19"/>
      <c r="G19" s="19"/>
      <c r="H19" s="19"/>
      <c r="I19" s="45" t="n">
        <f aca="false">IFERROR(IF(AND(D19&gt;0,H19&gt;0),(H19/D19)^(1/4)-1,0)*100,0)</f>
        <v>0</v>
      </c>
      <c r="J19" s="19"/>
      <c r="K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17"/>
      <c r="G20" s="17"/>
      <c r="H20" s="17"/>
      <c r="I20" s="43" t="n">
        <f aca="false">IFERROR(IF(AND(D20&gt;0,H20&gt;0),(H20/D20)^(1/4)-1,0)*100,0)</f>
        <v>0</v>
      </c>
      <c r="J20" s="17"/>
      <c r="K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19"/>
      <c r="G21" s="19"/>
      <c r="H21" s="19"/>
      <c r="I21" s="45" t="n">
        <f aca="false">IFERROR(IF(AND(D21&gt;0,H21&gt;0),(H21/D21)^(1/4)-1,0)*100,0)</f>
        <v>0</v>
      </c>
      <c r="J21" s="19"/>
      <c r="K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17"/>
      <c r="G22" s="17"/>
      <c r="H22" s="17"/>
      <c r="I22" s="43" t="n">
        <f aca="false">IFERROR(IF(AND(D22&gt;0,H22&gt;0),(H22/D22)^(1/4)-1,0)*100,0)</f>
        <v>0</v>
      </c>
      <c r="J22" s="17"/>
      <c r="K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19"/>
      <c r="G23" s="19"/>
      <c r="H23" s="19"/>
      <c r="I23" s="45" t="n">
        <f aca="false">IFERROR(IF(AND(D23&gt;0,H23&gt;0),(H23/D23)^(1/4)-1,0)*100,0)</f>
        <v>0</v>
      </c>
      <c r="J23" s="19"/>
      <c r="K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17"/>
      <c r="G24" s="17"/>
      <c r="H24" s="17"/>
      <c r="I24" s="43" t="n">
        <f aca="false">IFERROR(IF(AND(D24&gt;0,H24&gt;0),(H24/D24)^(1/4)-1,0)*100,0)</f>
        <v>0</v>
      </c>
      <c r="J24" s="17"/>
      <c r="K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19"/>
      <c r="G25" s="19"/>
      <c r="H25" s="19"/>
      <c r="I25" s="45" t="n">
        <f aca="false">IFERROR(IF(AND(D25&gt;0,H25&gt;0),(H25/D25)^(1/4)-1,0)*100,0)</f>
        <v>0</v>
      </c>
      <c r="J25" s="19"/>
      <c r="K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17"/>
      <c r="G26" s="17"/>
      <c r="H26" s="17"/>
      <c r="I26" s="43" t="n">
        <f aca="false">IFERROR(IF(AND(D26&gt;0,H26&gt;0),(H26/D26)^(1/4)-1,0)*100,0)</f>
        <v>0</v>
      </c>
      <c r="J26" s="17"/>
      <c r="K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19"/>
      <c r="G27" s="19"/>
      <c r="H27" s="19"/>
      <c r="I27" s="45" t="n">
        <f aca="false">IFERROR(IF(AND(D27&gt;0,H27&gt;0),(H27/D27)^(1/4)-1,0)*100,0)</f>
        <v>0</v>
      </c>
      <c r="J27" s="19"/>
      <c r="K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17"/>
      <c r="G28" s="17"/>
      <c r="H28" s="17"/>
      <c r="I28" s="43" t="n">
        <f aca="false">IFERROR(IF(AND(D28&gt;0,H28&gt;0),(H28/D28)^(1/4)-1,0)*100,0)</f>
        <v>0</v>
      </c>
      <c r="J28" s="17"/>
      <c r="K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19"/>
      <c r="G29" s="19"/>
      <c r="H29" s="19"/>
      <c r="I29" s="45" t="n">
        <f aca="false">IFERROR(IF(AND(D29&gt;0,H29&gt;0),(H29/D29)^(1/4)-1,0)*100,0)</f>
        <v>0</v>
      </c>
      <c r="J29" s="19"/>
      <c r="K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17"/>
      <c r="G30" s="17"/>
      <c r="H30" s="17"/>
      <c r="I30" s="43" t="n">
        <f aca="false">IFERROR(IF(AND(D30&gt;0,H30&gt;0),(H30/D30)^(1/4)-1,0)*100,0)</f>
        <v>0</v>
      </c>
      <c r="J30" s="17"/>
      <c r="K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19"/>
      <c r="G31" s="19"/>
      <c r="H31" s="19"/>
      <c r="I31" s="45" t="n">
        <f aca="false">IFERROR(IF(AND(D31&gt;0,H31&gt;0),(H31/D31)^(1/4)-1,0)*100,0)</f>
        <v>0</v>
      </c>
      <c r="J31" s="19"/>
      <c r="K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17"/>
      <c r="G32" s="17"/>
      <c r="H32" s="17"/>
      <c r="I32" s="43" t="n">
        <f aca="false">IFERROR(IF(AND(D32&gt;0,H32&gt;0),(H32/D32)^(1/4)-1,0)*100,0)</f>
        <v>0</v>
      </c>
      <c r="J32" s="17"/>
      <c r="K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19"/>
      <c r="G33" s="19"/>
      <c r="H33" s="19"/>
      <c r="I33" s="45" t="n">
        <f aca="false">IFERROR(IF(AND(D33&gt;0,H33&gt;0),(H33/D33)^(1/4)-1,0)*100,0)</f>
        <v>0</v>
      </c>
      <c r="J33" s="19"/>
      <c r="K33" s="19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C41"/>
    <pageSetUpPr fitToPage="false"/>
  </sheetPr>
  <dimension ref="A1:I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6" min="4" style="0" width="20"/>
    <col collapsed="false" customWidth="true" hidden="false" outlineLevel="0" max="8" min="7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51" t="s">
        <v>117</v>
      </c>
      <c r="B1" s="51"/>
      <c r="C1" s="51"/>
      <c r="D1" s="51"/>
      <c r="E1" s="51"/>
      <c r="F1" s="51"/>
      <c r="G1" s="51"/>
      <c r="H1" s="51"/>
      <c r="I1" s="51"/>
    </row>
    <row r="2" customFormat="false" ht="25.5" hidden="false" customHeight="true" outlineLevel="0" collapsed="false">
      <c r="A2" s="52" t="s">
        <v>118</v>
      </c>
      <c r="B2" s="52"/>
      <c r="C2" s="52"/>
      <c r="D2" s="52"/>
      <c r="E2" s="52"/>
      <c r="F2" s="52"/>
      <c r="G2" s="52"/>
      <c r="H2" s="52"/>
      <c r="I2" s="52"/>
    </row>
    <row r="3" customFormat="false" ht="35.05" hidden="false" customHeight="false" outlineLevel="0" collapsed="false">
      <c r="A3" s="53" t="s">
        <v>34</v>
      </c>
      <c r="B3" s="53" t="s">
        <v>35</v>
      </c>
      <c r="C3" s="53" t="s">
        <v>36</v>
      </c>
      <c r="D3" s="53" t="s">
        <v>119</v>
      </c>
      <c r="E3" s="53" t="s">
        <v>120</v>
      </c>
      <c r="F3" s="53" t="s">
        <v>121</v>
      </c>
      <c r="G3" s="53" t="s">
        <v>43</v>
      </c>
      <c r="H3" s="53" t="s">
        <v>122</v>
      </c>
      <c r="I3" s="53" t="s">
        <v>45</v>
      </c>
    </row>
    <row r="4" customFormat="false" ht="15" hidden="false" customHeight="false" outlineLevel="0" collapsed="false">
      <c r="A4" s="8" t="n">
        <v>1</v>
      </c>
      <c r="B4" s="17"/>
      <c r="C4" s="17"/>
      <c r="D4" s="17"/>
      <c r="E4" s="17"/>
      <c r="F4" s="35" t="n">
        <f aca="false">IF(D4&gt;0,E4/D4*100,0)</f>
        <v>0</v>
      </c>
      <c r="G4" s="17"/>
      <c r="H4" s="18" t="n">
        <f aca="false">IF(G4&gt;0,D4/G4,0)</f>
        <v>0</v>
      </c>
      <c r="I4" s="17"/>
    </row>
    <row r="5" customFormat="false" ht="15" hidden="false" customHeight="false" outlineLevel="0" collapsed="false">
      <c r="A5" s="4" t="n">
        <v>2</v>
      </c>
      <c r="B5" s="19"/>
      <c r="C5" s="19"/>
      <c r="D5" s="19"/>
      <c r="E5" s="19"/>
      <c r="F5" s="36" t="n">
        <f aca="false">IF(D5&gt;0,E5/D5*100,0)</f>
        <v>0</v>
      </c>
      <c r="G5" s="19"/>
      <c r="H5" s="20" t="n">
        <f aca="false">IF(G5&gt;0,D5/G5,0)</f>
        <v>0</v>
      </c>
      <c r="I5" s="19"/>
    </row>
    <row r="6" customFormat="false" ht="15" hidden="false" customHeight="false" outlineLevel="0" collapsed="false">
      <c r="A6" s="8" t="n">
        <v>3</v>
      </c>
      <c r="B6" s="17"/>
      <c r="C6" s="17"/>
      <c r="D6" s="17"/>
      <c r="E6" s="17"/>
      <c r="F6" s="35" t="n">
        <f aca="false">IF(D6&gt;0,E6/D6*100,0)</f>
        <v>0</v>
      </c>
      <c r="G6" s="17"/>
      <c r="H6" s="18" t="n">
        <f aca="false">IF(G6&gt;0,D6/G6,0)</f>
        <v>0</v>
      </c>
      <c r="I6" s="17"/>
    </row>
    <row r="7" customFormat="false" ht="15" hidden="false" customHeight="false" outlineLevel="0" collapsed="false">
      <c r="A7" s="4" t="n">
        <v>4</v>
      </c>
      <c r="B7" s="19"/>
      <c r="C7" s="19"/>
      <c r="D7" s="19"/>
      <c r="E7" s="19"/>
      <c r="F7" s="36" t="n">
        <f aca="false">IF(D7&gt;0,E7/D7*100,0)</f>
        <v>0</v>
      </c>
      <c r="G7" s="19"/>
      <c r="H7" s="20" t="n">
        <f aca="false">IF(G7&gt;0,D7/G7,0)</f>
        <v>0</v>
      </c>
      <c r="I7" s="19"/>
    </row>
    <row r="8" customFormat="false" ht="15" hidden="false" customHeight="false" outlineLevel="0" collapsed="false">
      <c r="A8" s="8" t="n">
        <v>5</v>
      </c>
      <c r="B8" s="17"/>
      <c r="C8" s="17"/>
      <c r="D8" s="17"/>
      <c r="E8" s="17"/>
      <c r="F8" s="35" t="n">
        <f aca="false">IF(D8&gt;0,E8/D8*100,0)</f>
        <v>0</v>
      </c>
      <c r="G8" s="17"/>
      <c r="H8" s="18" t="n">
        <f aca="false">IF(G8&gt;0,D8/G8,0)</f>
        <v>0</v>
      </c>
      <c r="I8" s="17"/>
    </row>
    <row r="9" customFormat="false" ht="15" hidden="false" customHeight="false" outlineLevel="0" collapsed="false">
      <c r="A9" s="4" t="n">
        <v>6</v>
      </c>
      <c r="B9" s="19"/>
      <c r="C9" s="19"/>
      <c r="D9" s="19"/>
      <c r="E9" s="19"/>
      <c r="F9" s="36" t="n">
        <f aca="false">IF(D9&gt;0,E9/D9*100,0)</f>
        <v>0</v>
      </c>
      <c r="G9" s="19"/>
      <c r="H9" s="20" t="n">
        <f aca="false">IF(G9&gt;0,D9/G9,0)</f>
        <v>0</v>
      </c>
      <c r="I9" s="19"/>
    </row>
    <row r="10" customFormat="false" ht="15" hidden="false" customHeight="false" outlineLevel="0" collapsed="false">
      <c r="A10" s="8" t="n">
        <v>7</v>
      </c>
      <c r="B10" s="17"/>
      <c r="C10" s="17"/>
      <c r="D10" s="17"/>
      <c r="E10" s="17"/>
      <c r="F10" s="35" t="n">
        <f aca="false">IF(D10&gt;0,E10/D10*100,0)</f>
        <v>0</v>
      </c>
      <c r="G10" s="17"/>
      <c r="H10" s="18" t="n">
        <f aca="false">IF(G10&gt;0,D10/G10,0)</f>
        <v>0</v>
      </c>
      <c r="I10" s="17"/>
    </row>
    <row r="11" customFormat="false" ht="15" hidden="false" customHeight="false" outlineLevel="0" collapsed="false">
      <c r="A11" s="4" t="n">
        <v>8</v>
      </c>
      <c r="B11" s="19"/>
      <c r="C11" s="19"/>
      <c r="D11" s="19"/>
      <c r="E11" s="19"/>
      <c r="F11" s="36" t="n">
        <f aca="false">IF(D11&gt;0,E11/D11*100,0)</f>
        <v>0</v>
      </c>
      <c r="G11" s="19"/>
      <c r="H11" s="20" t="n">
        <f aca="false">IF(G11&gt;0,D11/G11,0)</f>
        <v>0</v>
      </c>
      <c r="I11" s="19"/>
    </row>
    <row r="12" customFormat="false" ht="15" hidden="false" customHeight="false" outlineLevel="0" collapsed="false">
      <c r="A12" s="8" t="n">
        <v>9</v>
      </c>
      <c r="B12" s="17"/>
      <c r="C12" s="17"/>
      <c r="D12" s="17"/>
      <c r="E12" s="17"/>
      <c r="F12" s="35" t="n">
        <f aca="false">IF(D12&gt;0,E12/D12*100,0)</f>
        <v>0</v>
      </c>
      <c r="G12" s="17"/>
      <c r="H12" s="18" t="n">
        <f aca="false">IF(G12&gt;0,D12/G12,0)</f>
        <v>0</v>
      </c>
      <c r="I12" s="17"/>
    </row>
    <row r="13" customFormat="false" ht="15" hidden="false" customHeight="false" outlineLevel="0" collapsed="false">
      <c r="A13" s="4" t="n">
        <v>10</v>
      </c>
      <c r="B13" s="19"/>
      <c r="C13" s="19"/>
      <c r="D13" s="19"/>
      <c r="E13" s="19"/>
      <c r="F13" s="36" t="n">
        <f aca="false">IF(D13&gt;0,E13/D13*100,0)</f>
        <v>0</v>
      </c>
      <c r="G13" s="19"/>
      <c r="H13" s="20" t="n">
        <f aca="false">IF(G13&gt;0,D13/G13,0)</f>
        <v>0</v>
      </c>
      <c r="I13" s="19"/>
    </row>
    <row r="14" customFormat="false" ht="15" hidden="false" customHeight="false" outlineLevel="0" collapsed="false">
      <c r="A14" s="8" t="n">
        <v>11</v>
      </c>
      <c r="B14" s="17"/>
      <c r="C14" s="17"/>
      <c r="D14" s="17"/>
      <c r="E14" s="17"/>
      <c r="F14" s="35" t="n">
        <f aca="false">IF(D14&gt;0,E14/D14*100,0)</f>
        <v>0</v>
      </c>
      <c r="G14" s="17"/>
      <c r="H14" s="18" t="n">
        <f aca="false">IF(G14&gt;0,D14/G14,0)</f>
        <v>0</v>
      </c>
      <c r="I14" s="17"/>
    </row>
    <row r="15" customFormat="false" ht="15" hidden="false" customHeight="false" outlineLevel="0" collapsed="false">
      <c r="A15" s="4" t="n">
        <v>12</v>
      </c>
      <c r="B15" s="19"/>
      <c r="C15" s="19"/>
      <c r="D15" s="19"/>
      <c r="E15" s="19"/>
      <c r="F15" s="36" t="n">
        <f aca="false">IF(D15&gt;0,E15/D15*100,0)</f>
        <v>0</v>
      </c>
      <c r="G15" s="19"/>
      <c r="H15" s="20" t="n">
        <f aca="false">IF(G15&gt;0,D15/G15,0)</f>
        <v>0</v>
      </c>
      <c r="I15" s="19"/>
    </row>
    <row r="16" customFormat="false" ht="15" hidden="false" customHeight="false" outlineLevel="0" collapsed="false">
      <c r="A16" s="8" t="n">
        <v>13</v>
      </c>
      <c r="B16" s="17"/>
      <c r="C16" s="17"/>
      <c r="D16" s="17"/>
      <c r="E16" s="17"/>
      <c r="F16" s="35" t="n">
        <f aca="false">IF(D16&gt;0,E16/D16*100,0)</f>
        <v>0</v>
      </c>
      <c r="G16" s="17"/>
      <c r="H16" s="18" t="n">
        <f aca="false">IF(G16&gt;0,D16/G16,0)</f>
        <v>0</v>
      </c>
      <c r="I16" s="17"/>
    </row>
    <row r="17" customFormat="false" ht="15" hidden="false" customHeight="false" outlineLevel="0" collapsed="false">
      <c r="A17" s="4" t="n">
        <v>14</v>
      </c>
      <c r="B17" s="19"/>
      <c r="C17" s="19"/>
      <c r="D17" s="19"/>
      <c r="E17" s="19"/>
      <c r="F17" s="36" t="n">
        <f aca="false">IF(D17&gt;0,E17/D17*100,0)</f>
        <v>0</v>
      </c>
      <c r="G17" s="19"/>
      <c r="H17" s="20" t="n">
        <f aca="false">IF(G17&gt;0,D17/G17,0)</f>
        <v>0</v>
      </c>
      <c r="I17" s="19"/>
    </row>
    <row r="18" customFormat="false" ht="15" hidden="false" customHeight="false" outlineLevel="0" collapsed="false">
      <c r="A18" s="8" t="n">
        <v>15</v>
      </c>
      <c r="B18" s="17"/>
      <c r="C18" s="17"/>
      <c r="D18" s="17"/>
      <c r="E18" s="17"/>
      <c r="F18" s="35" t="n">
        <f aca="false">IF(D18&gt;0,E18/D18*100,0)</f>
        <v>0</v>
      </c>
      <c r="G18" s="17"/>
      <c r="H18" s="18" t="n">
        <f aca="false">IF(G18&gt;0,D18/G18,0)</f>
        <v>0</v>
      </c>
      <c r="I18" s="17"/>
    </row>
    <row r="19" customFormat="false" ht="15" hidden="false" customHeight="false" outlineLevel="0" collapsed="false">
      <c r="A19" s="4" t="n">
        <v>16</v>
      </c>
      <c r="B19" s="19"/>
      <c r="C19" s="19"/>
      <c r="D19" s="19"/>
      <c r="E19" s="19"/>
      <c r="F19" s="36" t="n">
        <f aca="false">IF(D19&gt;0,E19/D19*100,0)</f>
        <v>0</v>
      </c>
      <c r="G19" s="19"/>
      <c r="H19" s="20" t="n">
        <f aca="false">IF(G19&gt;0,D19/G19,0)</f>
        <v>0</v>
      </c>
      <c r="I19" s="19"/>
    </row>
    <row r="20" customFormat="false" ht="15" hidden="false" customHeight="false" outlineLevel="0" collapsed="false">
      <c r="A20" s="8" t="n">
        <v>17</v>
      </c>
      <c r="B20" s="17"/>
      <c r="C20" s="17"/>
      <c r="D20" s="17"/>
      <c r="E20" s="17"/>
      <c r="F20" s="35" t="n">
        <f aca="false">IF(D20&gt;0,E20/D20*100,0)</f>
        <v>0</v>
      </c>
      <c r="G20" s="17"/>
      <c r="H20" s="18" t="n">
        <f aca="false">IF(G20&gt;0,D20/G20,0)</f>
        <v>0</v>
      </c>
      <c r="I20" s="17"/>
    </row>
    <row r="21" customFormat="false" ht="15" hidden="false" customHeight="false" outlineLevel="0" collapsed="false">
      <c r="A21" s="4" t="n">
        <v>18</v>
      </c>
      <c r="B21" s="19"/>
      <c r="C21" s="19"/>
      <c r="D21" s="19"/>
      <c r="E21" s="19"/>
      <c r="F21" s="36" t="n">
        <f aca="false">IF(D21&gt;0,E21/D21*100,0)</f>
        <v>0</v>
      </c>
      <c r="G21" s="19"/>
      <c r="H21" s="20" t="n">
        <f aca="false">IF(G21&gt;0,D21/G21,0)</f>
        <v>0</v>
      </c>
      <c r="I21" s="19"/>
    </row>
    <row r="22" customFormat="false" ht="15" hidden="false" customHeight="false" outlineLevel="0" collapsed="false">
      <c r="A22" s="8" t="n">
        <v>19</v>
      </c>
      <c r="B22" s="17"/>
      <c r="C22" s="17"/>
      <c r="D22" s="17"/>
      <c r="E22" s="17"/>
      <c r="F22" s="35" t="n">
        <f aca="false">IF(D22&gt;0,E22/D22*100,0)</f>
        <v>0</v>
      </c>
      <c r="G22" s="17"/>
      <c r="H22" s="18" t="n">
        <f aca="false">IF(G22&gt;0,D22/G22,0)</f>
        <v>0</v>
      </c>
      <c r="I22" s="17"/>
    </row>
    <row r="23" customFormat="false" ht="15" hidden="false" customHeight="false" outlineLevel="0" collapsed="false">
      <c r="A23" s="4" t="n">
        <v>20</v>
      </c>
      <c r="B23" s="19"/>
      <c r="C23" s="19"/>
      <c r="D23" s="19"/>
      <c r="E23" s="19"/>
      <c r="F23" s="36" t="n">
        <f aca="false">IF(D23&gt;0,E23/D23*100,0)</f>
        <v>0</v>
      </c>
      <c r="G23" s="19"/>
      <c r="H23" s="20" t="n">
        <f aca="false">IF(G23&gt;0,D23/G23,0)</f>
        <v>0</v>
      </c>
      <c r="I23" s="19"/>
    </row>
    <row r="24" customFormat="false" ht="15" hidden="false" customHeight="false" outlineLevel="0" collapsed="false">
      <c r="A24" s="8" t="n">
        <v>21</v>
      </c>
      <c r="B24" s="17"/>
      <c r="C24" s="17"/>
      <c r="D24" s="17"/>
      <c r="E24" s="17"/>
      <c r="F24" s="35" t="n">
        <f aca="false">IF(D24&gt;0,E24/D24*100,0)</f>
        <v>0</v>
      </c>
      <c r="G24" s="17"/>
      <c r="H24" s="18" t="n">
        <f aca="false">IF(G24&gt;0,D24/G24,0)</f>
        <v>0</v>
      </c>
      <c r="I24" s="17"/>
    </row>
    <row r="25" customFormat="false" ht="15" hidden="false" customHeight="false" outlineLevel="0" collapsed="false">
      <c r="A25" s="4" t="n">
        <v>22</v>
      </c>
      <c r="B25" s="19"/>
      <c r="C25" s="19"/>
      <c r="D25" s="19"/>
      <c r="E25" s="19"/>
      <c r="F25" s="36" t="n">
        <f aca="false">IF(D25&gt;0,E25/D25*100,0)</f>
        <v>0</v>
      </c>
      <c r="G25" s="19"/>
      <c r="H25" s="20" t="n">
        <f aca="false">IF(G25&gt;0,D25/G25,0)</f>
        <v>0</v>
      </c>
      <c r="I25" s="19"/>
    </row>
    <row r="26" customFormat="false" ht="15" hidden="false" customHeight="false" outlineLevel="0" collapsed="false">
      <c r="A26" s="8" t="n">
        <v>23</v>
      </c>
      <c r="B26" s="17"/>
      <c r="C26" s="17"/>
      <c r="D26" s="17"/>
      <c r="E26" s="17"/>
      <c r="F26" s="35" t="n">
        <f aca="false">IF(D26&gt;0,E26/D26*100,0)</f>
        <v>0</v>
      </c>
      <c r="G26" s="17"/>
      <c r="H26" s="18" t="n">
        <f aca="false">IF(G26&gt;0,D26/G26,0)</f>
        <v>0</v>
      </c>
      <c r="I26" s="17"/>
    </row>
    <row r="27" customFormat="false" ht="15" hidden="false" customHeight="false" outlineLevel="0" collapsed="false">
      <c r="A27" s="4" t="n">
        <v>24</v>
      </c>
      <c r="B27" s="19"/>
      <c r="C27" s="19"/>
      <c r="D27" s="19"/>
      <c r="E27" s="19"/>
      <c r="F27" s="36" t="n">
        <f aca="false">IF(D27&gt;0,E27/D27*100,0)</f>
        <v>0</v>
      </c>
      <c r="G27" s="19"/>
      <c r="H27" s="20" t="n">
        <f aca="false">IF(G27&gt;0,D27/G27,0)</f>
        <v>0</v>
      </c>
      <c r="I27" s="19"/>
    </row>
    <row r="28" customFormat="false" ht="15" hidden="false" customHeight="false" outlineLevel="0" collapsed="false">
      <c r="A28" s="8" t="n">
        <v>25</v>
      </c>
      <c r="B28" s="17"/>
      <c r="C28" s="17"/>
      <c r="D28" s="17"/>
      <c r="E28" s="17"/>
      <c r="F28" s="35" t="n">
        <f aca="false">IF(D28&gt;0,E28/D28*100,0)</f>
        <v>0</v>
      </c>
      <c r="G28" s="17"/>
      <c r="H28" s="18" t="n">
        <f aca="false">IF(G28&gt;0,D28/G28,0)</f>
        <v>0</v>
      </c>
      <c r="I28" s="17"/>
    </row>
    <row r="29" customFormat="false" ht="15" hidden="false" customHeight="false" outlineLevel="0" collapsed="false">
      <c r="A29" s="4" t="n">
        <v>26</v>
      </c>
      <c r="B29" s="19"/>
      <c r="C29" s="19"/>
      <c r="D29" s="19"/>
      <c r="E29" s="19"/>
      <c r="F29" s="36" t="n">
        <f aca="false">IF(D29&gt;0,E29/D29*100,0)</f>
        <v>0</v>
      </c>
      <c r="G29" s="19"/>
      <c r="H29" s="20" t="n">
        <f aca="false">IF(G29&gt;0,D29/G29,0)</f>
        <v>0</v>
      </c>
      <c r="I29" s="19"/>
    </row>
    <row r="30" customFormat="false" ht="15" hidden="false" customHeight="false" outlineLevel="0" collapsed="false">
      <c r="A30" s="8" t="n">
        <v>27</v>
      </c>
      <c r="B30" s="17"/>
      <c r="C30" s="17"/>
      <c r="D30" s="17"/>
      <c r="E30" s="17"/>
      <c r="F30" s="35" t="n">
        <f aca="false">IF(D30&gt;0,E30/D30*100,0)</f>
        <v>0</v>
      </c>
      <c r="G30" s="17"/>
      <c r="H30" s="18" t="n">
        <f aca="false">IF(G30&gt;0,D30/G30,0)</f>
        <v>0</v>
      </c>
      <c r="I30" s="17"/>
    </row>
    <row r="31" customFormat="false" ht="15" hidden="false" customHeight="false" outlineLevel="0" collapsed="false">
      <c r="A31" s="4" t="n">
        <v>28</v>
      </c>
      <c r="B31" s="19"/>
      <c r="C31" s="19"/>
      <c r="D31" s="19"/>
      <c r="E31" s="19"/>
      <c r="F31" s="36" t="n">
        <f aca="false">IF(D31&gt;0,E31/D31*100,0)</f>
        <v>0</v>
      </c>
      <c r="G31" s="19"/>
      <c r="H31" s="20" t="n">
        <f aca="false">IF(G31&gt;0,D31/G31,0)</f>
        <v>0</v>
      </c>
      <c r="I31" s="19"/>
    </row>
    <row r="32" customFormat="false" ht="15" hidden="false" customHeight="false" outlineLevel="0" collapsed="false">
      <c r="A32" s="8" t="n">
        <v>29</v>
      </c>
      <c r="B32" s="17"/>
      <c r="C32" s="17"/>
      <c r="D32" s="17"/>
      <c r="E32" s="17"/>
      <c r="F32" s="35" t="n">
        <f aca="false">IF(D32&gt;0,E32/D32*100,0)</f>
        <v>0</v>
      </c>
      <c r="G32" s="17"/>
      <c r="H32" s="18" t="n">
        <f aca="false">IF(G32&gt;0,D32/G32,0)</f>
        <v>0</v>
      </c>
      <c r="I32" s="17"/>
    </row>
    <row r="33" customFormat="false" ht="15" hidden="false" customHeight="false" outlineLevel="0" collapsed="false">
      <c r="A33" s="4" t="n">
        <v>30</v>
      </c>
      <c r="B33" s="19"/>
      <c r="C33" s="19"/>
      <c r="D33" s="19"/>
      <c r="E33" s="19"/>
      <c r="F33" s="36" t="n">
        <f aca="false">IF(D33&gt;0,E33/D33*100,0)</f>
        <v>0</v>
      </c>
      <c r="G33" s="19"/>
      <c r="H33" s="20" t="n">
        <f aca="false">IF(G33&gt;0,D33/G33,0)</f>
        <v>0</v>
      </c>
      <c r="I33" s="19"/>
    </row>
    <row r="35" customFormat="false" ht="25.5" hidden="false" customHeight="true" outlineLevel="0" collapsed="false">
      <c r="A35" s="54" t="s">
        <v>123</v>
      </c>
      <c r="B35" s="54"/>
      <c r="C35" s="54"/>
      <c r="D35" s="54"/>
      <c r="E35" s="54"/>
      <c r="F35" s="54"/>
      <c r="G35" s="54"/>
      <c r="H35" s="54"/>
      <c r="I35" s="54"/>
    </row>
    <row r="36" customFormat="false" ht="23.85" hidden="false" customHeight="false" outlineLevel="0" collapsed="false">
      <c r="A36" s="55" t="s">
        <v>34</v>
      </c>
      <c r="B36" s="55" t="s">
        <v>124</v>
      </c>
      <c r="C36" s="55" t="s">
        <v>125</v>
      </c>
      <c r="D36" s="55" t="s">
        <v>77</v>
      </c>
      <c r="E36" s="55" t="s">
        <v>126</v>
      </c>
      <c r="F36" s="55" t="s">
        <v>127</v>
      </c>
      <c r="G36" s="55" t="s">
        <v>128</v>
      </c>
      <c r="H36" s="55" t="s">
        <v>129</v>
      </c>
      <c r="I36" s="55" t="s">
        <v>35</v>
      </c>
    </row>
    <row r="37" customFormat="false" ht="15" hidden="false" customHeight="false" outlineLevel="0" collapsed="false">
      <c r="A37" s="4" t="n">
        <v>1</v>
      </c>
      <c r="B37" s="19"/>
      <c r="C37" s="19"/>
      <c r="D37" s="19"/>
      <c r="E37" s="19"/>
      <c r="F37" s="19"/>
      <c r="G37" s="19"/>
      <c r="H37" s="19"/>
      <c r="I37" s="19"/>
    </row>
    <row r="38" customFormat="false" ht="15" hidden="false" customHeight="false" outlineLevel="0" collapsed="false">
      <c r="A38" s="8" t="n">
        <v>2</v>
      </c>
      <c r="B38" s="17"/>
      <c r="C38" s="17"/>
      <c r="D38" s="17"/>
      <c r="E38" s="17"/>
      <c r="F38" s="17"/>
      <c r="G38" s="17"/>
      <c r="H38" s="17"/>
      <c r="I38" s="17"/>
    </row>
    <row r="39" customFormat="false" ht="15" hidden="false" customHeight="false" outlineLevel="0" collapsed="false">
      <c r="A39" s="4" t="n">
        <v>3</v>
      </c>
      <c r="B39" s="19"/>
      <c r="C39" s="19"/>
      <c r="D39" s="19"/>
      <c r="E39" s="19"/>
      <c r="F39" s="19"/>
      <c r="G39" s="19"/>
      <c r="H39" s="19"/>
      <c r="I39" s="19"/>
    </row>
    <row r="40" customFormat="false" ht="15" hidden="false" customHeight="false" outlineLevel="0" collapsed="false">
      <c r="A40" s="8" t="n">
        <v>4</v>
      </c>
      <c r="B40" s="17"/>
      <c r="C40" s="17"/>
      <c r="D40" s="17"/>
      <c r="E40" s="17"/>
      <c r="F40" s="17"/>
      <c r="G40" s="17"/>
      <c r="H40" s="17"/>
      <c r="I40" s="17"/>
    </row>
    <row r="41" customFormat="false" ht="15" hidden="false" customHeight="false" outlineLevel="0" collapsed="false">
      <c r="A41" s="4" t="n">
        <v>5</v>
      </c>
      <c r="B41" s="19"/>
      <c r="C41" s="19"/>
      <c r="D41" s="19"/>
      <c r="E41" s="19"/>
      <c r="F41" s="19"/>
      <c r="G41" s="19"/>
      <c r="H41" s="19"/>
      <c r="I41" s="19"/>
    </row>
    <row r="42" customFormat="false" ht="15" hidden="false" customHeight="false" outlineLevel="0" collapsed="false">
      <c r="A42" s="8" t="n">
        <v>6</v>
      </c>
      <c r="B42" s="17"/>
      <c r="C42" s="17"/>
      <c r="D42" s="17"/>
      <c r="E42" s="17"/>
      <c r="F42" s="17"/>
      <c r="G42" s="17"/>
      <c r="H42" s="17"/>
      <c r="I42" s="17"/>
    </row>
    <row r="43" customFormat="false" ht="15" hidden="false" customHeight="false" outlineLevel="0" collapsed="false">
      <c r="A43" s="4" t="n">
        <v>7</v>
      </c>
      <c r="B43" s="19"/>
      <c r="C43" s="19"/>
      <c r="D43" s="19"/>
      <c r="E43" s="19"/>
      <c r="F43" s="19"/>
      <c r="G43" s="19"/>
      <c r="H43" s="19"/>
      <c r="I43" s="19"/>
    </row>
    <row r="44" customFormat="false" ht="15" hidden="false" customHeight="false" outlineLevel="0" collapsed="false">
      <c r="A44" s="8" t="n">
        <v>8</v>
      </c>
      <c r="B44" s="17"/>
      <c r="C44" s="17"/>
      <c r="D44" s="17"/>
      <c r="E44" s="17"/>
      <c r="F44" s="17"/>
      <c r="G44" s="17"/>
      <c r="H44" s="17"/>
      <c r="I44" s="17"/>
    </row>
    <row r="45" customFormat="false" ht="15" hidden="false" customHeight="false" outlineLevel="0" collapsed="false">
      <c r="A45" s="4" t="n">
        <v>9</v>
      </c>
      <c r="B45" s="19"/>
      <c r="C45" s="19"/>
      <c r="D45" s="19"/>
      <c r="E45" s="19"/>
      <c r="F45" s="19"/>
      <c r="G45" s="19"/>
      <c r="H45" s="19"/>
      <c r="I45" s="19"/>
    </row>
    <row r="46" customFormat="false" ht="15" hidden="false" customHeight="false" outlineLevel="0" collapsed="false">
      <c r="A46" s="8" t="n">
        <v>10</v>
      </c>
      <c r="B46" s="17"/>
      <c r="C46" s="17"/>
      <c r="D46" s="17"/>
      <c r="E46" s="17"/>
      <c r="F46" s="17"/>
      <c r="G46" s="17"/>
      <c r="H46" s="17"/>
      <c r="I46" s="17"/>
    </row>
    <row r="47" customFormat="false" ht="15" hidden="false" customHeight="false" outlineLevel="0" collapsed="false">
      <c r="A47" s="4" t="n">
        <v>11</v>
      </c>
      <c r="B47" s="19"/>
      <c r="C47" s="19"/>
      <c r="D47" s="19"/>
      <c r="E47" s="19"/>
      <c r="F47" s="19"/>
      <c r="G47" s="19"/>
      <c r="H47" s="19"/>
      <c r="I47" s="19"/>
    </row>
    <row r="48" customFormat="false" ht="15" hidden="false" customHeight="false" outlineLevel="0" collapsed="false">
      <c r="A48" s="8" t="n">
        <v>12</v>
      </c>
      <c r="B48" s="17"/>
      <c r="C48" s="17"/>
      <c r="D48" s="17"/>
      <c r="E48" s="17"/>
      <c r="F48" s="17"/>
      <c r="G48" s="17"/>
      <c r="H48" s="17"/>
      <c r="I48" s="17"/>
    </row>
    <row r="49" customFormat="false" ht="15" hidden="false" customHeight="false" outlineLevel="0" collapsed="false">
      <c r="A49" s="4" t="n">
        <v>13</v>
      </c>
      <c r="B49" s="19"/>
      <c r="C49" s="19"/>
      <c r="D49" s="19"/>
      <c r="E49" s="19"/>
      <c r="F49" s="19"/>
      <c r="G49" s="19"/>
      <c r="H49" s="19"/>
      <c r="I49" s="19"/>
    </row>
    <row r="50" customFormat="false" ht="15" hidden="false" customHeight="false" outlineLevel="0" collapsed="false">
      <c r="A50" s="8" t="n">
        <v>14</v>
      </c>
      <c r="B50" s="17"/>
      <c r="C50" s="17"/>
      <c r="D50" s="17"/>
      <c r="E50" s="17"/>
      <c r="F50" s="17"/>
      <c r="G50" s="17"/>
      <c r="H50" s="17"/>
      <c r="I50" s="17"/>
    </row>
    <row r="51" customFormat="false" ht="15" hidden="false" customHeight="false" outlineLevel="0" collapsed="false">
      <c r="A51" s="4" t="n">
        <v>15</v>
      </c>
      <c r="B51" s="19"/>
      <c r="C51" s="19"/>
      <c r="D51" s="19"/>
      <c r="E51" s="19"/>
      <c r="F51" s="19"/>
      <c r="G51" s="19"/>
      <c r="H51" s="19"/>
      <c r="I51" s="19"/>
    </row>
    <row r="52" customFormat="false" ht="15" hidden="false" customHeight="false" outlineLevel="0" collapsed="false">
      <c r="A52" s="8" t="n">
        <v>16</v>
      </c>
      <c r="B52" s="17"/>
      <c r="C52" s="17"/>
      <c r="D52" s="17"/>
      <c r="E52" s="17"/>
      <c r="F52" s="17"/>
      <c r="G52" s="17"/>
      <c r="H52" s="17"/>
      <c r="I52" s="17"/>
    </row>
    <row r="53" customFormat="false" ht="15" hidden="false" customHeight="false" outlineLevel="0" collapsed="false">
      <c r="A53" s="4" t="n">
        <v>17</v>
      </c>
      <c r="B53" s="19"/>
      <c r="C53" s="19"/>
      <c r="D53" s="19"/>
      <c r="E53" s="19"/>
      <c r="F53" s="19"/>
      <c r="G53" s="19"/>
      <c r="H53" s="19"/>
      <c r="I53" s="19"/>
    </row>
    <row r="54" customFormat="false" ht="15" hidden="false" customHeight="false" outlineLevel="0" collapsed="false">
      <c r="A54" s="8" t="n">
        <v>18</v>
      </c>
      <c r="B54" s="17"/>
      <c r="C54" s="17"/>
      <c r="D54" s="17"/>
      <c r="E54" s="17"/>
      <c r="F54" s="17"/>
      <c r="G54" s="17"/>
      <c r="H54" s="17"/>
      <c r="I54" s="17"/>
    </row>
    <row r="55" customFormat="false" ht="15" hidden="false" customHeight="false" outlineLevel="0" collapsed="false">
      <c r="A55" s="4" t="n">
        <v>19</v>
      </c>
      <c r="B55" s="19"/>
      <c r="C55" s="19"/>
      <c r="D55" s="19"/>
      <c r="E55" s="19"/>
      <c r="F55" s="19"/>
      <c r="G55" s="19"/>
      <c r="H55" s="19"/>
      <c r="I55" s="19"/>
    </row>
    <row r="56" customFormat="false" ht="15" hidden="false" customHeight="false" outlineLevel="0" collapsed="false">
      <c r="A56" s="8" t="n">
        <v>20</v>
      </c>
      <c r="B56" s="17"/>
      <c r="C56" s="17"/>
      <c r="D56" s="17"/>
      <c r="E56" s="17"/>
      <c r="F56" s="17"/>
      <c r="G56" s="17"/>
      <c r="H56" s="17"/>
      <c r="I56" s="17"/>
    </row>
    <row r="57" customFormat="false" ht="15" hidden="false" customHeight="false" outlineLevel="0" collapsed="false">
      <c r="A57" s="4" t="n">
        <v>21</v>
      </c>
      <c r="B57" s="19"/>
      <c r="C57" s="19"/>
      <c r="D57" s="19"/>
      <c r="E57" s="19"/>
      <c r="F57" s="19"/>
      <c r="G57" s="19"/>
      <c r="H57" s="19"/>
      <c r="I57" s="19"/>
    </row>
    <row r="58" customFormat="false" ht="15" hidden="false" customHeight="false" outlineLevel="0" collapsed="false">
      <c r="A58" s="8" t="n">
        <v>22</v>
      </c>
      <c r="B58" s="17"/>
      <c r="C58" s="17"/>
      <c r="D58" s="17"/>
      <c r="E58" s="17"/>
      <c r="F58" s="17"/>
      <c r="G58" s="17"/>
      <c r="H58" s="17"/>
      <c r="I58" s="17"/>
    </row>
    <row r="59" customFormat="false" ht="15" hidden="false" customHeight="false" outlineLevel="0" collapsed="false">
      <c r="A59" s="4" t="n">
        <v>23</v>
      </c>
      <c r="B59" s="19"/>
      <c r="C59" s="19"/>
      <c r="D59" s="19"/>
      <c r="E59" s="19"/>
      <c r="F59" s="19"/>
      <c r="G59" s="19"/>
      <c r="H59" s="19"/>
      <c r="I59" s="19"/>
    </row>
    <row r="60" customFormat="false" ht="15" hidden="false" customHeight="false" outlineLevel="0" collapsed="false">
      <c r="A60" s="8" t="n">
        <v>24</v>
      </c>
      <c r="B60" s="17"/>
      <c r="C60" s="17"/>
      <c r="D60" s="17"/>
      <c r="E60" s="17"/>
      <c r="F60" s="17"/>
      <c r="G60" s="17"/>
      <c r="H60" s="17"/>
      <c r="I60" s="17"/>
    </row>
    <row r="61" customFormat="false" ht="15" hidden="false" customHeight="false" outlineLevel="0" collapsed="false">
      <c r="A61" s="4" t="n">
        <v>25</v>
      </c>
      <c r="B61" s="19"/>
      <c r="C61" s="19"/>
      <c r="D61" s="19"/>
      <c r="E61" s="19"/>
      <c r="F61" s="19"/>
      <c r="G61" s="19"/>
      <c r="H61" s="19"/>
      <c r="I61" s="19"/>
    </row>
    <row r="62" customFormat="false" ht="15" hidden="false" customHeight="false" outlineLevel="0" collapsed="false">
      <c r="A62" s="8" t="n">
        <v>26</v>
      </c>
      <c r="B62" s="17"/>
      <c r="C62" s="17"/>
      <c r="D62" s="17"/>
      <c r="E62" s="17"/>
      <c r="F62" s="17"/>
      <c r="G62" s="17"/>
      <c r="H62" s="17"/>
      <c r="I62" s="17"/>
    </row>
    <row r="63" customFormat="false" ht="15" hidden="false" customHeight="false" outlineLevel="0" collapsed="false">
      <c r="A63" s="4" t="n">
        <v>27</v>
      </c>
      <c r="B63" s="19"/>
      <c r="C63" s="19"/>
      <c r="D63" s="19"/>
      <c r="E63" s="19"/>
      <c r="F63" s="19"/>
      <c r="G63" s="19"/>
      <c r="H63" s="19"/>
      <c r="I63" s="19"/>
    </row>
    <row r="64" customFormat="false" ht="15" hidden="false" customHeight="false" outlineLevel="0" collapsed="false">
      <c r="A64" s="8" t="n">
        <v>28</v>
      </c>
      <c r="B64" s="17"/>
      <c r="C64" s="17"/>
      <c r="D64" s="17"/>
      <c r="E64" s="17"/>
      <c r="F64" s="17"/>
      <c r="G64" s="17"/>
      <c r="H64" s="17"/>
      <c r="I64" s="17"/>
    </row>
    <row r="65" customFormat="false" ht="15" hidden="false" customHeight="false" outlineLevel="0" collapsed="false">
      <c r="A65" s="4" t="n">
        <v>29</v>
      </c>
      <c r="B65" s="19"/>
      <c r="C65" s="19"/>
      <c r="D65" s="19"/>
      <c r="E65" s="19"/>
      <c r="F65" s="19"/>
      <c r="G65" s="19"/>
      <c r="H65" s="19"/>
      <c r="I65" s="19"/>
    </row>
    <row r="66" customFormat="false" ht="15" hidden="false" customHeight="false" outlineLevel="0" collapsed="false">
      <c r="A66" s="8" t="n">
        <v>30</v>
      </c>
      <c r="B66" s="17"/>
      <c r="C66" s="17"/>
      <c r="D66" s="17"/>
      <c r="E66" s="17"/>
      <c r="F66" s="17"/>
      <c r="G66" s="17"/>
      <c r="H66" s="17"/>
      <c r="I66" s="17"/>
    </row>
    <row r="67" customFormat="false" ht="15" hidden="false" customHeight="false" outlineLevel="0" collapsed="false">
      <c r="A67" s="4" t="n">
        <v>31</v>
      </c>
      <c r="B67" s="19"/>
      <c r="C67" s="19"/>
      <c r="D67" s="19"/>
      <c r="E67" s="19"/>
      <c r="F67" s="19"/>
      <c r="G67" s="19"/>
      <c r="H67" s="19"/>
      <c r="I67" s="19"/>
    </row>
    <row r="68" customFormat="false" ht="15" hidden="false" customHeight="false" outlineLevel="0" collapsed="false">
      <c r="A68" s="8" t="n">
        <v>32</v>
      </c>
      <c r="B68" s="17"/>
      <c r="C68" s="17"/>
      <c r="D68" s="17"/>
      <c r="E68" s="17"/>
      <c r="F68" s="17"/>
      <c r="G68" s="17"/>
      <c r="H68" s="17"/>
      <c r="I68" s="17"/>
    </row>
    <row r="69" customFormat="false" ht="15" hidden="false" customHeight="false" outlineLevel="0" collapsed="false">
      <c r="A69" s="4" t="n">
        <v>33</v>
      </c>
      <c r="B69" s="19"/>
      <c r="C69" s="19"/>
      <c r="D69" s="19"/>
      <c r="E69" s="19"/>
      <c r="F69" s="19"/>
      <c r="G69" s="19"/>
      <c r="H69" s="19"/>
      <c r="I69" s="19"/>
    </row>
    <row r="70" customFormat="false" ht="15" hidden="false" customHeight="false" outlineLevel="0" collapsed="false">
      <c r="A70" s="8" t="n">
        <v>34</v>
      </c>
      <c r="B70" s="17"/>
      <c r="C70" s="17"/>
      <c r="D70" s="17"/>
      <c r="E70" s="17"/>
      <c r="F70" s="17"/>
      <c r="G70" s="17"/>
      <c r="H70" s="17"/>
      <c r="I70" s="17"/>
    </row>
    <row r="71" customFormat="false" ht="15" hidden="false" customHeight="false" outlineLevel="0" collapsed="false">
      <c r="A71" s="4" t="n">
        <v>35</v>
      </c>
      <c r="B71" s="19"/>
      <c r="C71" s="19"/>
      <c r="D71" s="19"/>
      <c r="E71" s="19"/>
      <c r="F71" s="19"/>
      <c r="G71" s="19"/>
      <c r="H71" s="19"/>
      <c r="I71" s="19"/>
    </row>
    <row r="72" customFormat="false" ht="15" hidden="false" customHeight="false" outlineLevel="0" collapsed="false">
      <c r="A72" s="8" t="n">
        <v>36</v>
      </c>
      <c r="B72" s="17"/>
      <c r="C72" s="17"/>
      <c r="D72" s="17"/>
      <c r="E72" s="17"/>
      <c r="F72" s="17"/>
      <c r="G72" s="17"/>
      <c r="H72" s="17"/>
      <c r="I72" s="17"/>
    </row>
    <row r="73" customFormat="false" ht="15" hidden="false" customHeight="false" outlineLevel="0" collapsed="false">
      <c r="A73" s="4" t="n">
        <v>37</v>
      </c>
      <c r="B73" s="19"/>
      <c r="C73" s="19"/>
      <c r="D73" s="19"/>
      <c r="E73" s="19"/>
      <c r="F73" s="19"/>
      <c r="G73" s="19"/>
      <c r="H73" s="19"/>
      <c r="I73" s="19"/>
    </row>
    <row r="74" customFormat="false" ht="15" hidden="false" customHeight="false" outlineLevel="0" collapsed="false">
      <c r="A74" s="8" t="n">
        <v>38</v>
      </c>
      <c r="B74" s="17"/>
      <c r="C74" s="17"/>
      <c r="D74" s="17"/>
      <c r="E74" s="17"/>
      <c r="F74" s="17"/>
      <c r="G74" s="17"/>
      <c r="H74" s="17"/>
      <c r="I74" s="17"/>
    </row>
    <row r="75" customFormat="false" ht="15" hidden="false" customHeight="false" outlineLevel="0" collapsed="false">
      <c r="A75" s="4" t="n">
        <v>39</v>
      </c>
      <c r="B75" s="19"/>
      <c r="C75" s="19"/>
      <c r="D75" s="19"/>
      <c r="E75" s="19"/>
      <c r="F75" s="19"/>
      <c r="G75" s="19"/>
      <c r="H75" s="19"/>
      <c r="I75" s="19"/>
    </row>
    <row r="76" customFormat="false" ht="15" hidden="false" customHeight="false" outlineLevel="0" collapsed="false">
      <c r="A76" s="8" t="n">
        <v>40</v>
      </c>
      <c r="B76" s="17"/>
      <c r="C76" s="17"/>
      <c r="D76" s="17"/>
      <c r="E76" s="17"/>
      <c r="F76" s="17"/>
      <c r="G76" s="17"/>
      <c r="H76" s="17"/>
      <c r="I76" s="17"/>
    </row>
  </sheetData>
  <mergeCells count="3">
    <mergeCell ref="A1:I1"/>
    <mergeCell ref="A2:I2"/>
    <mergeCell ref="A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1B5"/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33.75" hidden="false" customHeight="true" outlineLevel="0" collapsed="false">
      <c r="A1" s="56" t="s">
        <v>130</v>
      </c>
      <c r="B1" s="56"/>
      <c r="C1" s="56"/>
      <c r="D1" s="56"/>
      <c r="E1" s="56"/>
      <c r="F1" s="56"/>
      <c r="G1" s="56"/>
    </row>
    <row r="2" customFormat="false" ht="25.5" hidden="false" customHeight="true" outlineLevel="0" collapsed="false">
      <c r="A2" s="37" t="s">
        <v>131</v>
      </c>
      <c r="B2" s="37"/>
      <c r="C2" s="37"/>
      <c r="D2" s="37"/>
      <c r="E2" s="37"/>
      <c r="F2" s="37"/>
      <c r="G2" s="37"/>
    </row>
    <row r="3" customFormat="false" ht="15" hidden="false" customHeight="false" outlineLevel="0" collapsed="false">
      <c r="A3" s="38" t="s">
        <v>2</v>
      </c>
      <c r="B3" s="38" t="s">
        <v>35</v>
      </c>
      <c r="C3" s="38" t="s">
        <v>132</v>
      </c>
      <c r="D3" s="38" t="s">
        <v>133</v>
      </c>
      <c r="E3" s="38" t="s">
        <v>134</v>
      </c>
      <c r="F3" s="38" t="s">
        <v>97</v>
      </c>
      <c r="G3" s="38" t="s">
        <v>135</v>
      </c>
    </row>
    <row r="4" customFormat="false" ht="27.75" hidden="false" customHeight="true" outlineLevel="0" collapsed="false">
      <c r="A4" s="8" t="n">
        <v>1</v>
      </c>
      <c r="B4" s="17"/>
      <c r="C4" s="10" t="s">
        <v>136</v>
      </c>
      <c r="D4" s="17"/>
      <c r="E4" s="17"/>
      <c r="F4" s="17"/>
      <c r="G4" s="17"/>
    </row>
    <row r="5" customFormat="false" ht="27.75" hidden="false" customHeight="true" outlineLevel="0" collapsed="false">
      <c r="A5" s="4" t="n">
        <v>2</v>
      </c>
      <c r="B5" s="19"/>
      <c r="C5" s="6" t="s">
        <v>137</v>
      </c>
      <c r="D5" s="19"/>
      <c r="E5" s="19"/>
      <c r="F5" s="19"/>
      <c r="G5" s="19"/>
    </row>
    <row r="6" customFormat="false" ht="27.75" hidden="false" customHeight="true" outlineLevel="0" collapsed="false">
      <c r="A6" s="8" t="n">
        <v>3</v>
      </c>
      <c r="B6" s="17"/>
      <c r="C6" s="10" t="s">
        <v>138</v>
      </c>
      <c r="D6" s="17"/>
      <c r="E6" s="17"/>
      <c r="F6" s="17"/>
      <c r="G6" s="17"/>
    </row>
    <row r="7" customFormat="false" ht="27.75" hidden="false" customHeight="true" outlineLevel="0" collapsed="false">
      <c r="A7" s="4" t="n">
        <v>4</v>
      </c>
      <c r="B7" s="19"/>
      <c r="C7" s="6" t="s">
        <v>139</v>
      </c>
      <c r="D7" s="19"/>
      <c r="E7" s="19"/>
      <c r="F7" s="19"/>
      <c r="G7" s="19"/>
    </row>
    <row r="8" customFormat="false" ht="27.75" hidden="false" customHeight="true" outlineLevel="0" collapsed="false">
      <c r="A8" s="8" t="n">
        <v>5</v>
      </c>
      <c r="B8" s="17"/>
      <c r="C8" s="10" t="s">
        <v>140</v>
      </c>
      <c r="D8" s="17"/>
      <c r="E8" s="17"/>
      <c r="F8" s="17"/>
      <c r="G8" s="17"/>
    </row>
    <row r="9" customFormat="false" ht="27.75" hidden="false" customHeight="true" outlineLevel="0" collapsed="false">
      <c r="A9" s="4" t="n">
        <v>6</v>
      </c>
      <c r="B9" s="19"/>
      <c r="C9" s="6" t="s">
        <v>141</v>
      </c>
      <c r="D9" s="19"/>
      <c r="E9" s="19"/>
      <c r="F9" s="19"/>
      <c r="G9" s="19"/>
    </row>
    <row r="10" customFormat="false" ht="27.75" hidden="false" customHeight="true" outlineLevel="0" collapsed="false">
      <c r="A10" s="8" t="n">
        <v>7</v>
      </c>
      <c r="B10" s="17"/>
      <c r="C10" s="10" t="s">
        <v>142</v>
      </c>
      <c r="D10" s="17"/>
      <c r="E10" s="17"/>
      <c r="F10" s="17"/>
      <c r="G10" s="17"/>
    </row>
    <row r="11" customFormat="false" ht="27.75" hidden="false" customHeight="true" outlineLevel="0" collapsed="false">
      <c r="A11" s="4" t="n">
        <v>8</v>
      </c>
      <c r="B11" s="19"/>
      <c r="C11" s="6" t="s">
        <v>143</v>
      </c>
      <c r="D11" s="19"/>
      <c r="E11" s="19"/>
      <c r="F11" s="19"/>
      <c r="G11" s="19"/>
    </row>
    <row r="12" customFormat="false" ht="27.75" hidden="false" customHeight="true" outlineLevel="0" collapsed="false">
      <c r="A12" s="8" t="n">
        <v>9</v>
      </c>
      <c r="B12" s="17"/>
      <c r="C12" s="10" t="s">
        <v>144</v>
      </c>
      <c r="D12" s="17"/>
      <c r="E12" s="17"/>
      <c r="F12" s="17"/>
      <c r="G12" s="17"/>
    </row>
    <row r="13" customFormat="false" ht="27.75" hidden="false" customHeight="true" outlineLevel="0" collapsed="false">
      <c r="A13" s="4" t="n">
        <v>10</v>
      </c>
      <c r="B13" s="19"/>
      <c r="C13" s="6" t="s">
        <v>145</v>
      </c>
      <c r="D13" s="19"/>
      <c r="E13" s="19"/>
      <c r="F13" s="19"/>
      <c r="G13" s="19"/>
    </row>
    <row r="14" customFormat="false" ht="27.75" hidden="false" customHeight="true" outlineLevel="0" collapsed="false">
      <c r="A14" s="8" t="n">
        <v>11</v>
      </c>
      <c r="B14" s="17"/>
      <c r="C14" s="10" t="s">
        <v>146</v>
      </c>
      <c r="D14" s="17"/>
      <c r="E14" s="17"/>
      <c r="F14" s="17"/>
      <c r="G14" s="17"/>
    </row>
    <row r="15" customFormat="false" ht="27.75" hidden="false" customHeight="true" outlineLevel="0" collapsed="false">
      <c r="A15" s="4" t="n">
        <v>12</v>
      </c>
      <c r="B15" s="19"/>
      <c r="C15" s="6" t="s">
        <v>147</v>
      </c>
      <c r="D15" s="19"/>
      <c r="E15" s="19"/>
      <c r="F15" s="19"/>
      <c r="G15" s="19"/>
    </row>
    <row r="16" customFormat="false" ht="27.75" hidden="false" customHeight="true" outlineLevel="0" collapsed="false">
      <c r="A16" s="8" t="n">
        <v>13</v>
      </c>
      <c r="B16" s="17"/>
      <c r="C16" s="10" t="s">
        <v>148</v>
      </c>
      <c r="D16" s="17"/>
      <c r="E16" s="17"/>
      <c r="F16" s="17"/>
      <c r="G16" s="17"/>
    </row>
    <row r="17" customFormat="false" ht="27.75" hidden="false" customHeight="true" outlineLevel="0" collapsed="false">
      <c r="A17" s="4" t="n">
        <v>14</v>
      </c>
      <c r="B17" s="19"/>
      <c r="C17" s="6" t="s">
        <v>149</v>
      </c>
      <c r="D17" s="19"/>
      <c r="E17" s="19"/>
      <c r="F17" s="19"/>
      <c r="G17" s="19"/>
    </row>
    <row r="18" customFormat="false" ht="27.75" hidden="false" customHeight="true" outlineLevel="0" collapsed="false">
      <c r="A18" s="8" t="n">
        <v>15</v>
      </c>
      <c r="B18" s="17"/>
      <c r="C18" s="10" t="s">
        <v>150</v>
      </c>
      <c r="D18" s="17"/>
      <c r="E18" s="17"/>
      <c r="F18" s="17"/>
      <c r="G18" s="17"/>
    </row>
    <row r="19" customFormat="false" ht="27.75" hidden="false" customHeight="true" outlineLevel="0" collapsed="false">
      <c r="A19" s="4" t="n">
        <v>16</v>
      </c>
      <c r="B19" s="19"/>
      <c r="C19" s="6" t="s">
        <v>151</v>
      </c>
      <c r="D19" s="19"/>
      <c r="E19" s="19"/>
      <c r="F19" s="19"/>
      <c r="G19" s="19"/>
    </row>
    <row r="20" customFormat="false" ht="27.75" hidden="false" customHeight="true" outlineLevel="0" collapsed="false">
      <c r="A20" s="8" t="n">
        <v>17</v>
      </c>
      <c r="B20" s="17"/>
      <c r="C20" s="10" t="s">
        <v>152</v>
      </c>
      <c r="D20" s="17"/>
      <c r="E20" s="17"/>
      <c r="F20" s="17"/>
      <c r="G20" s="17"/>
    </row>
    <row r="21" customFormat="false" ht="27.75" hidden="false" customHeight="true" outlineLevel="0" collapsed="false">
      <c r="A21" s="4" t="n">
        <v>18</v>
      </c>
      <c r="B21" s="19"/>
      <c r="C21" s="6" t="s">
        <v>153</v>
      </c>
      <c r="D21" s="19"/>
      <c r="E21" s="19"/>
      <c r="F21" s="19"/>
      <c r="G21" s="19"/>
    </row>
    <row r="23" customFormat="false" ht="25.5" hidden="false" customHeight="true" outlineLevel="0" collapsed="false">
      <c r="A23" s="21" t="s">
        <v>154</v>
      </c>
      <c r="B23" s="21"/>
      <c r="C23" s="21"/>
      <c r="D23" s="21"/>
      <c r="E23" s="21"/>
      <c r="F23" s="21"/>
      <c r="G23" s="21"/>
    </row>
    <row r="24" customFormat="false" ht="15" hidden="false" customHeight="true" outlineLevel="0" collapsed="false">
      <c r="A24" s="22" t="s">
        <v>155</v>
      </c>
      <c r="B24" s="22"/>
      <c r="C24" s="22"/>
      <c r="D24" s="57" t="n">
        <f aca="false">COUNTIF(D4:D21,"Y")</f>
        <v>0</v>
      </c>
      <c r="E24" s="24"/>
      <c r="F24" s="24"/>
      <c r="G24" s="24"/>
    </row>
    <row r="25" customFormat="false" ht="15" hidden="false" customHeight="true" outlineLevel="0" collapsed="false">
      <c r="A25" s="22" t="s">
        <v>156</v>
      </c>
      <c r="B25" s="22"/>
      <c r="C25" s="22"/>
      <c r="D25" s="57" t="n">
        <f aca="false">IFERROR(COUNTIF(D4:D21,"Y")/18*100,0)</f>
        <v>0</v>
      </c>
      <c r="E25" s="24"/>
      <c r="F25" s="24"/>
      <c r="G25" s="24"/>
    </row>
  </sheetData>
  <mergeCells count="5">
    <mergeCell ref="A1:G1"/>
    <mergeCell ref="A2:G2"/>
    <mergeCell ref="A23:G23"/>
    <mergeCell ref="A24:C24"/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8" min="3" style="0" width="16"/>
    <col collapsed="false" customWidth="true" hidden="false" outlineLevel="0" max="9" min="9" style="0" width="20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58" t="s">
        <v>157</v>
      </c>
      <c r="B1" s="58"/>
      <c r="C1" s="58"/>
      <c r="D1" s="58"/>
      <c r="E1" s="58"/>
      <c r="F1" s="58"/>
      <c r="G1" s="58"/>
      <c r="H1" s="58"/>
      <c r="I1" s="58"/>
      <c r="J1" s="58"/>
    </row>
    <row r="2" customFormat="false" ht="25.5" hidden="false" customHeight="true" outlineLevel="0" collapsed="false">
      <c r="A2" s="15" t="s">
        <v>158</v>
      </c>
      <c r="B2" s="15"/>
      <c r="C2" s="15"/>
      <c r="D2" s="15"/>
      <c r="E2" s="15"/>
      <c r="F2" s="15"/>
      <c r="G2" s="15"/>
      <c r="H2" s="15"/>
      <c r="I2" s="15"/>
      <c r="J2" s="15"/>
    </row>
    <row r="3" customFormat="false" ht="23.85" hidden="false" customHeight="false" outlineLevel="0" collapsed="false">
      <c r="A3" s="59" t="s">
        <v>34</v>
      </c>
      <c r="B3" s="59" t="s">
        <v>35</v>
      </c>
      <c r="C3" s="59" t="s">
        <v>159</v>
      </c>
      <c r="D3" s="59" t="s">
        <v>160</v>
      </c>
      <c r="E3" s="59" t="s">
        <v>161</v>
      </c>
      <c r="F3" s="59" t="s">
        <v>162</v>
      </c>
      <c r="G3" s="59" t="s">
        <v>163</v>
      </c>
      <c r="H3" s="59" t="s">
        <v>164</v>
      </c>
      <c r="I3" s="59" t="s">
        <v>165</v>
      </c>
      <c r="J3" s="59" t="s">
        <v>166</v>
      </c>
    </row>
    <row r="4" customFormat="false" ht="15" hidden="false" customHeight="false" outlineLevel="0" collapsed="false">
      <c r="B4" s="60" t="s">
        <v>167</v>
      </c>
      <c r="C4" s="61" t="n">
        <v>0.3636</v>
      </c>
      <c r="D4" s="61" t="n">
        <v>0.2273</v>
      </c>
      <c r="E4" s="61" t="n">
        <v>0.1364</v>
      </c>
      <c r="F4" s="61" t="n">
        <v>0.1364</v>
      </c>
      <c r="G4" s="61" t="n">
        <v>0.0909</v>
      </c>
      <c r="H4" s="61" t="n">
        <v>0.0455</v>
      </c>
    </row>
    <row r="5" customFormat="false" ht="15" hidden="false" customHeight="false" outlineLevel="0" collapsed="false">
      <c r="A5" s="4" t="n">
        <v>1</v>
      </c>
      <c r="B5" s="19"/>
      <c r="C5" s="62"/>
      <c r="D5" s="62"/>
      <c r="E5" s="62"/>
      <c r="F5" s="62"/>
      <c r="G5" s="62"/>
      <c r="H5" s="62"/>
      <c r="I5" s="45" t="n">
        <f aca="false">C5*$C$4+D5*$D$4+E5*$E$4+F5*$F$4+G5*$G$4+H5*$H$4</f>
        <v>0</v>
      </c>
      <c r="J5" s="7" t="n">
        <f aca="false">IFERROR(RANK(I5,$I$5:$I$34,0),"")</f>
        <v>1</v>
      </c>
    </row>
    <row r="6" customFormat="false" ht="15" hidden="false" customHeight="false" outlineLevel="0" collapsed="false">
      <c r="A6" s="8" t="n">
        <v>2</v>
      </c>
      <c r="B6" s="17"/>
      <c r="C6" s="63"/>
      <c r="D6" s="63"/>
      <c r="E6" s="63"/>
      <c r="F6" s="63"/>
      <c r="G6" s="63"/>
      <c r="H6" s="63"/>
      <c r="I6" s="43" t="n">
        <f aca="false">C6*$C$4+D6*$D$4+E6*$E$4+F6*$F$4+G6*$G$4+H6*$H$4</f>
        <v>0</v>
      </c>
      <c r="J6" s="11" t="n">
        <f aca="false">IFERROR(RANK(I6,$I$5:$I$34,0),"")</f>
        <v>1</v>
      </c>
    </row>
    <row r="7" customFormat="false" ht="15" hidden="false" customHeight="false" outlineLevel="0" collapsed="false">
      <c r="A7" s="4" t="n">
        <v>3</v>
      </c>
      <c r="B7" s="19"/>
      <c r="C7" s="62"/>
      <c r="D7" s="62"/>
      <c r="E7" s="62"/>
      <c r="F7" s="62"/>
      <c r="G7" s="62"/>
      <c r="H7" s="62"/>
      <c r="I7" s="45" t="n">
        <f aca="false">C7*$C$4+D7*$D$4+E7*$E$4+F7*$F$4+G7*$G$4+H7*$H$4</f>
        <v>0</v>
      </c>
      <c r="J7" s="7" t="n">
        <f aca="false">IFERROR(RANK(I7,$I$5:$I$34,0),"")</f>
        <v>1</v>
      </c>
    </row>
    <row r="8" customFormat="false" ht="15" hidden="false" customHeight="false" outlineLevel="0" collapsed="false">
      <c r="A8" s="8" t="n">
        <v>4</v>
      </c>
      <c r="B8" s="17"/>
      <c r="C8" s="63"/>
      <c r="D8" s="63"/>
      <c r="E8" s="63"/>
      <c r="F8" s="63"/>
      <c r="G8" s="63"/>
      <c r="H8" s="63"/>
      <c r="I8" s="43" t="n">
        <f aca="false">C8*$C$4+D8*$D$4+E8*$E$4+F8*$F$4+G8*$G$4+H8*$H$4</f>
        <v>0</v>
      </c>
      <c r="J8" s="11" t="n">
        <f aca="false">IFERROR(RANK(I8,$I$5:$I$34,0),"")</f>
        <v>1</v>
      </c>
    </row>
    <row r="9" customFormat="false" ht="15" hidden="false" customHeight="false" outlineLevel="0" collapsed="false">
      <c r="A9" s="4" t="n">
        <v>5</v>
      </c>
      <c r="B9" s="19"/>
      <c r="C9" s="62"/>
      <c r="D9" s="62"/>
      <c r="E9" s="62"/>
      <c r="F9" s="62"/>
      <c r="G9" s="62"/>
      <c r="H9" s="62"/>
      <c r="I9" s="45" t="n">
        <f aca="false">C9*$C$4+D9*$D$4+E9*$E$4+F9*$F$4+G9*$G$4+H9*$H$4</f>
        <v>0</v>
      </c>
      <c r="J9" s="7" t="n">
        <f aca="false">IFERROR(RANK(I9,$I$5:$I$34,0),"")</f>
        <v>1</v>
      </c>
    </row>
    <row r="10" customFormat="false" ht="15" hidden="false" customHeight="false" outlineLevel="0" collapsed="false">
      <c r="A10" s="8" t="n">
        <v>6</v>
      </c>
      <c r="B10" s="17"/>
      <c r="C10" s="63"/>
      <c r="D10" s="63"/>
      <c r="E10" s="63"/>
      <c r="F10" s="63"/>
      <c r="G10" s="63"/>
      <c r="H10" s="63"/>
      <c r="I10" s="43" t="n">
        <f aca="false">C10*$C$4+D10*$D$4+E10*$E$4+F10*$F$4+G10*$G$4+H10*$H$4</f>
        <v>0</v>
      </c>
      <c r="J10" s="11" t="n">
        <f aca="false">IFERROR(RANK(I10,$I$5:$I$34,0),"")</f>
        <v>1</v>
      </c>
    </row>
    <row r="11" customFormat="false" ht="15" hidden="false" customHeight="false" outlineLevel="0" collapsed="false">
      <c r="A11" s="4" t="n">
        <v>7</v>
      </c>
      <c r="B11" s="19"/>
      <c r="C11" s="62"/>
      <c r="D11" s="62"/>
      <c r="E11" s="62"/>
      <c r="F11" s="62"/>
      <c r="G11" s="62"/>
      <c r="H11" s="62"/>
      <c r="I11" s="45" t="n">
        <f aca="false">C11*$C$4+D11*$D$4+E11*$E$4+F11*$F$4+G11*$G$4+H11*$H$4</f>
        <v>0</v>
      </c>
      <c r="J11" s="7" t="n">
        <f aca="false">IFERROR(RANK(I11,$I$5:$I$34,0),"")</f>
        <v>1</v>
      </c>
    </row>
    <row r="12" customFormat="false" ht="15" hidden="false" customHeight="false" outlineLevel="0" collapsed="false">
      <c r="A12" s="8" t="n">
        <v>8</v>
      </c>
      <c r="B12" s="17"/>
      <c r="C12" s="63"/>
      <c r="D12" s="63"/>
      <c r="E12" s="63"/>
      <c r="F12" s="63"/>
      <c r="G12" s="63"/>
      <c r="H12" s="63"/>
      <c r="I12" s="43" t="n">
        <f aca="false">C12*$C$4+D12*$D$4+E12*$E$4+F12*$F$4+G12*$G$4+H12*$H$4</f>
        <v>0</v>
      </c>
      <c r="J12" s="11" t="n">
        <f aca="false">IFERROR(RANK(I12,$I$5:$I$34,0),"")</f>
        <v>1</v>
      </c>
    </row>
    <row r="13" customFormat="false" ht="15" hidden="false" customHeight="false" outlineLevel="0" collapsed="false">
      <c r="A13" s="4" t="n">
        <v>9</v>
      </c>
      <c r="B13" s="19"/>
      <c r="C13" s="62"/>
      <c r="D13" s="62"/>
      <c r="E13" s="62"/>
      <c r="F13" s="62"/>
      <c r="G13" s="62"/>
      <c r="H13" s="62"/>
      <c r="I13" s="45" t="n">
        <f aca="false">C13*$C$4+D13*$D$4+E13*$E$4+F13*$F$4+G13*$G$4+H13*$H$4</f>
        <v>0</v>
      </c>
      <c r="J13" s="7" t="n">
        <f aca="false">IFERROR(RANK(I13,$I$5:$I$34,0),"")</f>
        <v>1</v>
      </c>
    </row>
    <row r="14" customFormat="false" ht="15" hidden="false" customHeight="false" outlineLevel="0" collapsed="false">
      <c r="A14" s="8" t="n">
        <v>10</v>
      </c>
      <c r="B14" s="17"/>
      <c r="C14" s="63"/>
      <c r="D14" s="63"/>
      <c r="E14" s="63"/>
      <c r="F14" s="63"/>
      <c r="G14" s="63"/>
      <c r="H14" s="63"/>
      <c r="I14" s="43" t="n">
        <f aca="false">C14*$C$4+D14*$D$4+E14*$E$4+F14*$F$4+G14*$G$4+H14*$H$4</f>
        <v>0</v>
      </c>
      <c r="J14" s="11" t="n">
        <f aca="false">IFERROR(RANK(I14,$I$5:$I$34,0),"")</f>
        <v>1</v>
      </c>
    </row>
    <row r="15" customFormat="false" ht="15" hidden="false" customHeight="false" outlineLevel="0" collapsed="false">
      <c r="A15" s="4" t="n">
        <v>11</v>
      </c>
      <c r="B15" s="19"/>
      <c r="C15" s="62"/>
      <c r="D15" s="62"/>
      <c r="E15" s="62"/>
      <c r="F15" s="62"/>
      <c r="G15" s="62"/>
      <c r="H15" s="62"/>
      <c r="I15" s="45" t="n">
        <f aca="false">C15*$C$4+D15*$D$4+E15*$E$4+F15*$F$4+G15*$G$4+H15*$H$4</f>
        <v>0</v>
      </c>
      <c r="J15" s="7" t="n">
        <f aca="false">IFERROR(RANK(I15,$I$5:$I$34,0),"")</f>
        <v>1</v>
      </c>
    </row>
    <row r="16" customFormat="false" ht="15" hidden="false" customHeight="false" outlineLevel="0" collapsed="false">
      <c r="A16" s="8" t="n">
        <v>12</v>
      </c>
      <c r="B16" s="17"/>
      <c r="C16" s="63"/>
      <c r="D16" s="63"/>
      <c r="E16" s="63"/>
      <c r="F16" s="63"/>
      <c r="G16" s="63"/>
      <c r="H16" s="63"/>
      <c r="I16" s="43" t="n">
        <f aca="false">C16*$C$4+D16*$D$4+E16*$E$4+F16*$F$4+G16*$G$4+H16*$H$4</f>
        <v>0</v>
      </c>
      <c r="J16" s="11" t="n">
        <f aca="false">IFERROR(RANK(I16,$I$5:$I$34,0),"")</f>
        <v>1</v>
      </c>
    </row>
    <row r="17" customFormat="false" ht="15" hidden="false" customHeight="false" outlineLevel="0" collapsed="false">
      <c r="A17" s="4" t="n">
        <v>13</v>
      </c>
      <c r="B17" s="19"/>
      <c r="C17" s="62"/>
      <c r="D17" s="62"/>
      <c r="E17" s="62"/>
      <c r="F17" s="62"/>
      <c r="G17" s="62"/>
      <c r="H17" s="62"/>
      <c r="I17" s="45" t="n">
        <f aca="false">C17*$C$4+D17*$D$4+E17*$E$4+F17*$F$4+G17*$G$4+H17*$H$4</f>
        <v>0</v>
      </c>
      <c r="J17" s="7" t="n">
        <f aca="false">IFERROR(RANK(I17,$I$5:$I$34,0),"")</f>
        <v>1</v>
      </c>
    </row>
    <row r="18" customFormat="false" ht="15" hidden="false" customHeight="false" outlineLevel="0" collapsed="false">
      <c r="A18" s="8" t="n">
        <v>14</v>
      </c>
      <c r="B18" s="17"/>
      <c r="C18" s="63"/>
      <c r="D18" s="63"/>
      <c r="E18" s="63"/>
      <c r="F18" s="63"/>
      <c r="G18" s="63"/>
      <c r="H18" s="63"/>
      <c r="I18" s="43" t="n">
        <f aca="false">C18*$C$4+D18*$D$4+E18*$E$4+F18*$F$4+G18*$G$4+H18*$H$4</f>
        <v>0</v>
      </c>
      <c r="J18" s="11" t="n">
        <f aca="false">IFERROR(RANK(I18,$I$5:$I$34,0),"")</f>
        <v>1</v>
      </c>
    </row>
    <row r="19" customFormat="false" ht="15" hidden="false" customHeight="false" outlineLevel="0" collapsed="false">
      <c r="A19" s="4" t="n">
        <v>15</v>
      </c>
      <c r="B19" s="19"/>
      <c r="C19" s="62"/>
      <c r="D19" s="62"/>
      <c r="E19" s="62"/>
      <c r="F19" s="62"/>
      <c r="G19" s="62"/>
      <c r="H19" s="62"/>
      <c r="I19" s="45" t="n">
        <f aca="false">C19*$C$4+D19*$D$4+E19*$E$4+F19*$F$4+G19*$G$4+H19*$H$4</f>
        <v>0</v>
      </c>
      <c r="J19" s="7" t="n">
        <f aca="false">IFERROR(RANK(I19,$I$5:$I$34,0),"")</f>
        <v>1</v>
      </c>
    </row>
    <row r="20" customFormat="false" ht="15" hidden="false" customHeight="false" outlineLevel="0" collapsed="false">
      <c r="A20" s="8" t="n">
        <v>16</v>
      </c>
      <c r="B20" s="17"/>
      <c r="C20" s="63"/>
      <c r="D20" s="63"/>
      <c r="E20" s="63"/>
      <c r="F20" s="63"/>
      <c r="G20" s="63"/>
      <c r="H20" s="63"/>
      <c r="I20" s="43" t="n">
        <f aca="false">C20*$C$4+D20*$D$4+E20*$E$4+F20*$F$4+G20*$G$4+H20*$H$4</f>
        <v>0</v>
      </c>
      <c r="J20" s="11" t="n">
        <f aca="false">IFERROR(RANK(I20,$I$5:$I$34,0),"")</f>
        <v>1</v>
      </c>
    </row>
    <row r="21" customFormat="false" ht="15" hidden="false" customHeight="false" outlineLevel="0" collapsed="false">
      <c r="A21" s="4" t="n">
        <v>17</v>
      </c>
      <c r="B21" s="19"/>
      <c r="C21" s="62"/>
      <c r="D21" s="62"/>
      <c r="E21" s="62"/>
      <c r="F21" s="62"/>
      <c r="G21" s="62"/>
      <c r="H21" s="62"/>
      <c r="I21" s="45" t="n">
        <f aca="false">C21*$C$4+D21*$D$4+E21*$E$4+F21*$F$4+G21*$G$4+H21*$H$4</f>
        <v>0</v>
      </c>
      <c r="J21" s="7" t="n">
        <f aca="false">IFERROR(RANK(I21,$I$5:$I$34,0),"")</f>
        <v>1</v>
      </c>
    </row>
    <row r="22" customFormat="false" ht="15" hidden="false" customHeight="false" outlineLevel="0" collapsed="false">
      <c r="A22" s="8" t="n">
        <v>18</v>
      </c>
      <c r="B22" s="17"/>
      <c r="C22" s="63"/>
      <c r="D22" s="63"/>
      <c r="E22" s="63"/>
      <c r="F22" s="63"/>
      <c r="G22" s="63"/>
      <c r="H22" s="63"/>
      <c r="I22" s="43" t="n">
        <f aca="false">C22*$C$4+D22*$D$4+E22*$E$4+F22*$F$4+G22*$G$4+H22*$H$4</f>
        <v>0</v>
      </c>
      <c r="J22" s="11" t="n">
        <f aca="false">IFERROR(RANK(I22,$I$5:$I$34,0),"")</f>
        <v>1</v>
      </c>
    </row>
    <row r="23" customFormat="false" ht="15" hidden="false" customHeight="false" outlineLevel="0" collapsed="false">
      <c r="A23" s="4" t="n">
        <v>19</v>
      </c>
      <c r="B23" s="19"/>
      <c r="C23" s="62"/>
      <c r="D23" s="62"/>
      <c r="E23" s="62"/>
      <c r="F23" s="62"/>
      <c r="G23" s="62"/>
      <c r="H23" s="62"/>
      <c r="I23" s="45" t="n">
        <f aca="false">C23*$C$4+D23*$D$4+E23*$E$4+F23*$F$4+G23*$G$4+H23*$H$4</f>
        <v>0</v>
      </c>
      <c r="J23" s="7" t="n">
        <f aca="false">IFERROR(RANK(I23,$I$5:$I$34,0),"")</f>
        <v>1</v>
      </c>
    </row>
    <row r="24" customFormat="false" ht="15" hidden="false" customHeight="false" outlineLevel="0" collapsed="false">
      <c r="A24" s="8" t="n">
        <v>20</v>
      </c>
      <c r="B24" s="17"/>
      <c r="C24" s="63"/>
      <c r="D24" s="63"/>
      <c r="E24" s="63"/>
      <c r="F24" s="63"/>
      <c r="G24" s="63"/>
      <c r="H24" s="63"/>
      <c r="I24" s="43" t="n">
        <f aca="false">C24*$C$4+D24*$D$4+E24*$E$4+F24*$F$4+G24*$G$4+H24*$H$4</f>
        <v>0</v>
      </c>
      <c r="J24" s="11" t="n">
        <f aca="false">IFERROR(RANK(I24,$I$5:$I$34,0),"")</f>
        <v>1</v>
      </c>
    </row>
    <row r="25" customFormat="false" ht="15" hidden="false" customHeight="false" outlineLevel="0" collapsed="false">
      <c r="A25" s="4" t="n">
        <v>21</v>
      </c>
      <c r="B25" s="19"/>
      <c r="C25" s="62"/>
      <c r="D25" s="62"/>
      <c r="E25" s="62"/>
      <c r="F25" s="62"/>
      <c r="G25" s="62"/>
      <c r="H25" s="62"/>
      <c r="I25" s="45" t="n">
        <f aca="false">C25*$C$4+D25*$D$4+E25*$E$4+F25*$F$4+G25*$G$4+H25*$H$4</f>
        <v>0</v>
      </c>
      <c r="J25" s="7" t="n">
        <f aca="false">IFERROR(RANK(I25,$I$5:$I$34,0),"")</f>
        <v>1</v>
      </c>
    </row>
    <row r="26" customFormat="false" ht="15" hidden="false" customHeight="false" outlineLevel="0" collapsed="false">
      <c r="A26" s="8" t="n">
        <v>22</v>
      </c>
      <c r="B26" s="17"/>
      <c r="C26" s="63"/>
      <c r="D26" s="63"/>
      <c r="E26" s="63"/>
      <c r="F26" s="63"/>
      <c r="G26" s="63"/>
      <c r="H26" s="63"/>
      <c r="I26" s="43" t="n">
        <f aca="false">C26*$C$4+D26*$D$4+E26*$E$4+F26*$F$4+G26*$G$4+H26*$H$4</f>
        <v>0</v>
      </c>
      <c r="J26" s="11" t="n">
        <f aca="false">IFERROR(RANK(I26,$I$5:$I$34,0),"")</f>
        <v>1</v>
      </c>
    </row>
    <row r="27" customFormat="false" ht="15" hidden="false" customHeight="false" outlineLevel="0" collapsed="false">
      <c r="A27" s="4" t="n">
        <v>23</v>
      </c>
      <c r="B27" s="19"/>
      <c r="C27" s="62"/>
      <c r="D27" s="62"/>
      <c r="E27" s="62"/>
      <c r="F27" s="62"/>
      <c r="G27" s="62"/>
      <c r="H27" s="62"/>
      <c r="I27" s="45" t="n">
        <f aca="false">C27*$C$4+D27*$D$4+E27*$E$4+F27*$F$4+G27*$G$4+H27*$H$4</f>
        <v>0</v>
      </c>
      <c r="J27" s="7" t="n">
        <f aca="false">IFERROR(RANK(I27,$I$5:$I$34,0),"")</f>
        <v>1</v>
      </c>
    </row>
    <row r="28" customFormat="false" ht="15" hidden="false" customHeight="false" outlineLevel="0" collapsed="false">
      <c r="A28" s="8" t="n">
        <v>24</v>
      </c>
      <c r="B28" s="17"/>
      <c r="C28" s="63"/>
      <c r="D28" s="63"/>
      <c r="E28" s="63"/>
      <c r="F28" s="63"/>
      <c r="G28" s="63"/>
      <c r="H28" s="63"/>
      <c r="I28" s="43" t="n">
        <f aca="false">C28*$C$4+D28*$D$4+E28*$E$4+F28*$F$4+G28*$G$4+H28*$H$4</f>
        <v>0</v>
      </c>
      <c r="J28" s="11" t="n">
        <f aca="false">IFERROR(RANK(I28,$I$5:$I$34,0),"")</f>
        <v>1</v>
      </c>
    </row>
    <row r="29" customFormat="false" ht="15" hidden="false" customHeight="false" outlineLevel="0" collapsed="false">
      <c r="A29" s="4" t="n">
        <v>25</v>
      </c>
      <c r="B29" s="19"/>
      <c r="C29" s="62"/>
      <c r="D29" s="62"/>
      <c r="E29" s="62"/>
      <c r="F29" s="62"/>
      <c r="G29" s="62"/>
      <c r="H29" s="62"/>
      <c r="I29" s="45" t="n">
        <f aca="false">C29*$C$4+D29*$D$4+E29*$E$4+F29*$F$4+G29*$G$4+H29*$H$4</f>
        <v>0</v>
      </c>
      <c r="J29" s="7" t="n">
        <f aca="false">IFERROR(RANK(I29,$I$5:$I$34,0),"")</f>
        <v>1</v>
      </c>
    </row>
    <row r="30" customFormat="false" ht="15" hidden="false" customHeight="false" outlineLevel="0" collapsed="false">
      <c r="A30" s="8" t="n">
        <v>26</v>
      </c>
      <c r="B30" s="17"/>
      <c r="C30" s="63"/>
      <c r="D30" s="63"/>
      <c r="E30" s="63"/>
      <c r="F30" s="63"/>
      <c r="G30" s="63"/>
      <c r="H30" s="63"/>
      <c r="I30" s="43" t="n">
        <f aca="false">C30*$C$4+D30*$D$4+E30*$E$4+F30*$F$4+G30*$G$4+H30*$H$4</f>
        <v>0</v>
      </c>
      <c r="J30" s="11" t="n">
        <f aca="false">IFERROR(RANK(I30,$I$5:$I$34,0),"")</f>
        <v>1</v>
      </c>
    </row>
    <row r="31" customFormat="false" ht="15" hidden="false" customHeight="false" outlineLevel="0" collapsed="false">
      <c r="A31" s="4" t="n">
        <v>27</v>
      </c>
      <c r="B31" s="19"/>
      <c r="C31" s="62"/>
      <c r="D31" s="62"/>
      <c r="E31" s="62"/>
      <c r="F31" s="62"/>
      <c r="G31" s="62"/>
      <c r="H31" s="62"/>
      <c r="I31" s="45" t="n">
        <f aca="false">C31*$C$4+D31*$D$4+E31*$E$4+F31*$F$4+G31*$G$4+H31*$H$4</f>
        <v>0</v>
      </c>
      <c r="J31" s="7" t="n">
        <f aca="false">IFERROR(RANK(I31,$I$5:$I$34,0),"")</f>
        <v>1</v>
      </c>
    </row>
    <row r="32" customFormat="false" ht="15" hidden="false" customHeight="false" outlineLevel="0" collapsed="false">
      <c r="A32" s="8" t="n">
        <v>28</v>
      </c>
      <c r="B32" s="17"/>
      <c r="C32" s="63"/>
      <c r="D32" s="63"/>
      <c r="E32" s="63"/>
      <c r="F32" s="63"/>
      <c r="G32" s="63"/>
      <c r="H32" s="63"/>
      <c r="I32" s="43" t="n">
        <f aca="false">C32*$C$4+D32*$D$4+E32*$E$4+F32*$F$4+G32*$G$4+H32*$H$4</f>
        <v>0</v>
      </c>
      <c r="J32" s="11" t="n">
        <f aca="false">IFERROR(RANK(I32,$I$5:$I$34,0),"")</f>
        <v>1</v>
      </c>
    </row>
    <row r="33" customFormat="false" ht="15" hidden="false" customHeight="false" outlineLevel="0" collapsed="false">
      <c r="A33" s="4" t="n">
        <v>29</v>
      </c>
      <c r="B33" s="19"/>
      <c r="C33" s="62"/>
      <c r="D33" s="62"/>
      <c r="E33" s="62"/>
      <c r="F33" s="62"/>
      <c r="G33" s="62"/>
      <c r="H33" s="62"/>
      <c r="I33" s="45" t="n">
        <f aca="false">C33*$C$4+D33*$D$4+E33*$E$4+F33*$F$4+G33*$G$4+H33*$H$4</f>
        <v>0</v>
      </c>
      <c r="J33" s="7" t="n">
        <f aca="false">IFERROR(RANK(I33,$I$5:$I$34,0),"")</f>
        <v>1</v>
      </c>
    </row>
    <row r="34" customFormat="false" ht="15" hidden="false" customHeight="false" outlineLevel="0" collapsed="false">
      <c r="A34" s="8" t="n">
        <v>30</v>
      </c>
      <c r="B34" s="17"/>
      <c r="C34" s="63"/>
      <c r="D34" s="63"/>
      <c r="E34" s="63"/>
      <c r="F34" s="63"/>
      <c r="G34" s="63"/>
      <c r="H34" s="63"/>
      <c r="I34" s="43" t="n">
        <f aca="false">C34*$C$4+D34*$D$4+E34*$E$4+F34*$F$4+G34*$G$4+H34*$H$4</f>
        <v>0</v>
      </c>
      <c r="J34" s="11" t="n">
        <f aca="false">IFERROR(RANK(I34,$I$5:$I$34,0),"")</f>
        <v>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8" min="3" style="0" width="14"/>
    <col collapsed="false" customWidth="true" hidden="false" outlineLevel="0" max="9" min="9" style="0" width="18"/>
    <col collapsed="false" customWidth="true" hidden="false" outlineLevel="0" max="10" min="10" style="0" width="22"/>
  </cols>
  <sheetData>
    <row r="1" customFormat="false" ht="33.75" hidden="false" customHeight="true" outlineLevel="0" collapsed="false">
      <c r="A1" s="25" t="s">
        <v>168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25.5" hidden="false" customHeight="true" outlineLevel="0" collapsed="false">
      <c r="A2" s="26" t="s">
        <v>169</v>
      </c>
      <c r="B2" s="26"/>
      <c r="C2" s="26"/>
      <c r="D2" s="26"/>
      <c r="E2" s="26"/>
      <c r="F2" s="26"/>
      <c r="G2" s="26"/>
      <c r="H2" s="26"/>
      <c r="I2" s="26"/>
      <c r="J2" s="26"/>
    </row>
    <row r="3" customFormat="false" ht="15" hidden="false" customHeight="false" outlineLevel="0" collapsed="false">
      <c r="A3" s="27" t="s">
        <v>34</v>
      </c>
      <c r="B3" s="27" t="s">
        <v>170</v>
      </c>
      <c r="C3" s="27" t="s">
        <v>171</v>
      </c>
      <c r="D3" s="27" t="s">
        <v>172</v>
      </c>
      <c r="E3" s="27" t="s">
        <v>173</v>
      </c>
      <c r="F3" s="27" t="s">
        <v>174</v>
      </c>
      <c r="G3" s="27" t="s">
        <v>175</v>
      </c>
      <c r="H3" s="27" t="s">
        <v>176</v>
      </c>
      <c r="I3" s="27" t="s">
        <v>177</v>
      </c>
      <c r="J3" s="27" t="s">
        <v>178</v>
      </c>
    </row>
    <row r="4" customFormat="false" ht="15" hidden="false" customHeight="false" outlineLevel="0" collapsed="false">
      <c r="A4" s="64" t="n">
        <v>1</v>
      </c>
      <c r="B4" s="65" t="s">
        <v>179</v>
      </c>
      <c r="C4" s="66"/>
      <c r="D4" s="66"/>
      <c r="E4" s="66"/>
      <c r="F4" s="66"/>
      <c r="G4" s="66"/>
      <c r="H4" s="66"/>
      <c r="I4" s="66"/>
      <c r="J4" s="64" t="s">
        <v>180</v>
      </c>
    </row>
    <row r="5" customFormat="false" ht="15" hidden="false" customHeight="false" outlineLevel="0" collapsed="false">
      <c r="A5" s="4" t="n">
        <v>2</v>
      </c>
      <c r="B5" s="5" t="s">
        <v>181</v>
      </c>
      <c r="C5" s="19"/>
      <c r="D5" s="19"/>
      <c r="E5" s="19"/>
      <c r="F5" s="19"/>
      <c r="G5" s="19"/>
      <c r="H5" s="19"/>
      <c r="I5" s="19"/>
      <c r="J5" s="4" t="s">
        <v>182</v>
      </c>
    </row>
    <row r="6" customFormat="false" ht="15" hidden="false" customHeight="false" outlineLevel="0" collapsed="false">
      <c r="A6" s="8" t="n">
        <v>3</v>
      </c>
      <c r="B6" s="9" t="s">
        <v>183</v>
      </c>
      <c r="C6" s="17"/>
      <c r="D6" s="17"/>
      <c r="E6" s="17"/>
      <c r="F6" s="17"/>
      <c r="G6" s="17"/>
      <c r="H6" s="17"/>
      <c r="I6" s="17"/>
      <c r="J6" s="8" t="s">
        <v>184</v>
      </c>
    </row>
    <row r="7" customFormat="false" ht="15" hidden="false" customHeight="false" outlineLevel="0" collapsed="false">
      <c r="A7" s="4" t="n">
        <v>4</v>
      </c>
      <c r="B7" s="5" t="s">
        <v>185</v>
      </c>
      <c r="C7" s="19"/>
      <c r="D7" s="19"/>
      <c r="E7" s="19"/>
      <c r="F7" s="19"/>
      <c r="G7" s="19"/>
      <c r="H7" s="19"/>
      <c r="I7" s="19"/>
      <c r="J7" s="4" t="s">
        <v>186</v>
      </c>
    </row>
    <row r="8" customFormat="false" ht="15" hidden="false" customHeight="false" outlineLevel="0" collapsed="false">
      <c r="A8" s="8" t="n">
        <v>1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false" outlineLevel="0" collapsed="false">
      <c r="A9" s="4" t="n">
        <v>2</v>
      </c>
      <c r="B9" s="19"/>
      <c r="C9" s="19"/>
      <c r="D9" s="19"/>
      <c r="E9" s="19"/>
      <c r="F9" s="19"/>
      <c r="G9" s="19"/>
      <c r="H9" s="19"/>
      <c r="I9" s="19"/>
      <c r="J9" s="19"/>
    </row>
    <row r="10" customFormat="false" ht="15" hidden="false" customHeight="false" outlineLevel="0" collapsed="false">
      <c r="A10" s="8" t="n">
        <v>3</v>
      </c>
      <c r="B10" s="17"/>
      <c r="C10" s="17"/>
      <c r="D10" s="17"/>
      <c r="E10" s="17"/>
      <c r="F10" s="17"/>
      <c r="G10" s="17"/>
      <c r="H10" s="17"/>
      <c r="I10" s="17"/>
      <c r="J10" s="17"/>
    </row>
    <row r="11" customFormat="false" ht="15" hidden="false" customHeight="false" outlineLevel="0" collapsed="false">
      <c r="A11" s="4" t="n">
        <v>4</v>
      </c>
      <c r="B11" s="19"/>
      <c r="C11" s="19"/>
      <c r="D11" s="19"/>
      <c r="E11" s="19"/>
      <c r="F11" s="19"/>
      <c r="G11" s="19"/>
      <c r="H11" s="19"/>
      <c r="I11" s="19"/>
      <c r="J11" s="19"/>
    </row>
    <row r="12" customFormat="false" ht="15" hidden="false" customHeight="false" outlineLevel="0" collapsed="false">
      <c r="A12" s="8" t="n">
        <v>5</v>
      </c>
      <c r="B12" s="17"/>
      <c r="C12" s="17"/>
      <c r="D12" s="17"/>
      <c r="E12" s="17"/>
      <c r="F12" s="17"/>
      <c r="G12" s="17"/>
      <c r="H12" s="17"/>
      <c r="I12" s="17"/>
      <c r="J12" s="17"/>
    </row>
    <row r="13" customFormat="false" ht="15" hidden="false" customHeight="false" outlineLevel="0" collapsed="false">
      <c r="A13" s="4" t="n">
        <v>6</v>
      </c>
      <c r="B13" s="19"/>
      <c r="C13" s="19"/>
      <c r="D13" s="19"/>
      <c r="E13" s="19"/>
      <c r="F13" s="19"/>
      <c r="G13" s="19"/>
      <c r="H13" s="19"/>
      <c r="I13" s="19"/>
      <c r="J13" s="19"/>
    </row>
    <row r="14" customFormat="false" ht="15" hidden="false" customHeight="false" outlineLevel="0" collapsed="false">
      <c r="A14" s="8" t="n">
        <v>7</v>
      </c>
      <c r="B14" s="17"/>
      <c r="C14" s="17"/>
      <c r="D14" s="17"/>
      <c r="E14" s="17"/>
      <c r="F14" s="17"/>
      <c r="G14" s="17"/>
      <c r="H14" s="17"/>
      <c r="I14" s="17"/>
      <c r="J14" s="17"/>
    </row>
    <row r="15" customFormat="false" ht="15" hidden="false" customHeight="false" outlineLevel="0" collapsed="false">
      <c r="A15" s="4" t="n">
        <v>8</v>
      </c>
      <c r="B15" s="19"/>
      <c r="C15" s="19"/>
      <c r="D15" s="19"/>
      <c r="E15" s="19"/>
      <c r="F15" s="19"/>
      <c r="G15" s="19"/>
      <c r="H15" s="19"/>
      <c r="I15" s="19"/>
      <c r="J15" s="19"/>
    </row>
    <row r="16" customFormat="false" ht="15" hidden="false" customHeight="false" outlineLevel="0" collapsed="false">
      <c r="A16" s="8" t="n">
        <v>9</v>
      </c>
      <c r="B16" s="17"/>
      <c r="C16" s="17"/>
      <c r="D16" s="17"/>
      <c r="E16" s="17"/>
      <c r="F16" s="17"/>
      <c r="G16" s="17"/>
      <c r="H16" s="17"/>
      <c r="I16" s="17"/>
      <c r="J16" s="17"/>
    </row>
    <row r="17" customFormat="false" ht="15" hidden="false" customHeight="false" outlineLevel="0" collapsed="false">
      <c r="A17" s="4" t="n">
        <v>10</v>
      </c>
      <c r="B17" s="19"/>
      <c r="C17" s="19"/>
      <c r="D17" s="19"/>
      <c r="E17" s="19"/>
      <c r="F17" s="19"/>
      <c r="G17" s="19"/>
      <c r="H17" s="19"/>
      <c r="I17" s="19"/>
      <c r="J17" s="19"/>
    </row>
    <row r="18" customFormat="false" ht="15" hidden="false" customHeight="false" outlineLevel="0" collapsed="false">
      <c r="A18" s="8" t="n">
        <v>11</v>
      </c>
      <c r="B18" s="17"/>
      <c r="C18" s="17"/>
      <c r="D18" s="17"/>
      <c r="E18" s="17"/>
      <c r="F18" s="17"/>
      <c r="G18" s="17"/>
      <c r="H18" s="17"/>
      <c r="I18" s="17"/>
      <c r="J18" s="17"/>
    </row>
    <row r="19" customFormat="false" ht="15" hidden="false" customHeight="false" outlineLevel="0" collapsed="false">
      <c r="A19" s="4" t="n">
        <v>12</v>
      </c>
      <c r="B19" s="19"/>
      <c r="C19" s="19"/>
      <c r="D19" s="19"/>
      <c r="E19" s="19"/>
      <c r="F19" s="19"/>
      <c r="G19" s="19"/>
      <c r="H19" s="19"/>
      <c r="I19" s="19"/>
      <c r="J19" s="19"/>
    </row>
    <row r="20" customFormat="false" ht="15" hidden="false" customHeight="false" outlineLevel="0" collapsed="false">
      <c r="A20" s="8" t="n">
        <v>13</v>
      </c>
      <c r="B20" s="17"/>
      <c r="C20" s="17"/>
      <c r="D20" s="17"/>
      <c r="E20" s="17"/>
      <c r="F20" s="17"/>
      <c r="G20" s="17"/>
      <c r="H20" s="17"/>
      <c r="I20" s="17"/>
      <c r="J20" s="17"/>
    </row>
    <row r="21" customFormat="false" ht="15" hidden="false" customHeight="false" outlineLevel="0" collapsed="false">
      <c r="A21" s="4" t="n">
        <v>14</v>
      </c>
      <c r="B21" s="19"/>
      <c r="C21" s="19"/>
      <c r="D21" s="19"/>
      <c r="E21" s="19"/>
      <c r="F21" s="19"/>
      <c r="G21" s="19"/>
      <c r="H21" s="19"/>
      <c r="I21" s="19"/>
      <c r="J21" s="19"/>
    </row>
    <row r="22" customFormat="false" ht="15" hidden="false" customHeight="false" outlineLevel="0" collapsed="false">
      <c r="A22" s="8" t="n">
        <v>15</v>
      </c>
      <c r="B22" s="17"/>
      <c r="C22" s="17"/>
      <c r="D22" s="17"/>
      <c r="E22" s="17"/>
      <c r="F22" s="17"/>
      <c r="G22" s="17"/>
      <c r="H22" s="17"/>
      <c r="I22" s="17"/>
      <c r="J22" s="1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14" t="s">
        <v>187</v>
      </c>
      <c r="B1" s="14"/>
      <c r="C1" s="14"/>
      <c r="D1" s="14"/>
      <c r="E1" s="14"/>
      <c r="F1" s="14"/>
    </row>
    <row r="2" customFormat="false" ht="25.5" hidden="false" customHeight="true" outlineLevel="0" collapsed="false">
      <c r="A2" s="67" t="s">
        <v>188</v>
      </c>
      <c r="B2" s="67"/>
      <c r="C2" s="67"/>
      <c r="D2" s="67"/>
      <c r="E2" s="67"/>
      <c r="F2" s="67"/>
    </row>
    <row r="3" customFormat="false" ht="15" hidden="false" customHeight="false" outlineLevel="0" collapsed="false">
      <c r="A3" s="16" t="s">
        <v>2</v>
      </c>
      <c r="B3" s="16" t="s">
        <v>189</v>
      </c>
      <c r="C3" s="16" t="s">
        <v>190</v>
      </c>
      <c r="D3" s="16" t="s">
        <v>191</v>
      </c>
      <c r="E3" s="16" t="s">
        <v>192</v>
      </c>
      <c r="F3" s="16" t="s">
        <v>193</v>
      </c>
    </row>
    <row r="4" customFormat="false" ht="31.5" hidden="false" customHeight="true" outlineLevel="0" collapsed="false">
      <c r="A4" s="8" t="n">
        <v>1</v>
      </c>
      <c r="B4" s="9" t="s">
        <v>194</v>
      </c>
      <c r="C4" s="10" t="s">
        <v>195</v>
      </c>
      <c r="D4" s="17"/>
      <c r="E4" s="17"/>
      <c r="F4" s="17"/>
    </row>
    <row r="5" customFormat="false" ht="31.5" hidden="false" customHeight="true" outlineLevel="0" collapsed="false">
      <c r="A5" s="4" t="n">
        <v>2</v>
      </c>
      <c r="B5" s="5" t="s">
        <v>196</v>
      </c>
      <c r="C5" s="6" t="s">
        <v>197</v>
      </c>
      <c r="D5" s="19"/>
      <c r="E5" s="19"/>
      <c r="F5" s="19"/>
    </row>
    <row r="6" customFormat="false" ht="31.5" hidden="false" customHeight="true" outlineLevel="0" collapsed="false">
      <c r="A6" s="8" t="n">
        <v>3</v>
      </c>
      <c r="B6" s="9" t="s">
        <v>198</v>
      </c>
      <c r="C6" s="10" t="s">
        <v>199</v>
      </c>
      <c r="D6" s="17"/>
      <c r="E6" s="17"/>
      <c r="F6" s="17"/>
    </row>
    <row r="7" customFormat="false" ht="31.5" hidden="false" customHeight="true" outlineLevel="0" collapsed="false">
      <c r="A7" s="4" t="n">
        <v>4</v>
      </c>
      <c r="B7" s="5" t="s">
        <v>200</v>
      </c>
      <c r="C7" s="6" t="s">
        <v>201</v>
      </c>
      <c r="D7" s="19"/>
      <c r="E7" s="19"/>
      <c r="F7" s="19"/>
    </row>
    <row r="8" customFormat="false" ht="31.5" hidden="false" customHeight="true" outlineLevel="0" collapsed="false">
      <c r="A8" s="8" t="n">
        <v>5</v>
      </c>
      <c r="B8" s="9" t="s">
        <v>202</v>
      </c>
      <c r="C8" s="10" t="s">
        <v>203</v>
      </c>
      <c r="D8" s="17"/>
      <c r="E8" s="17"/>
      <c r="F8" s="17"/>
    </row>
    <row r="9" customFormat="false" ht="31.5" hidden="false" customHeight="true" outlineLevel="0" collapsed="false">
      <c r="A9" s="4" t="n">
        <v>6</v>
      </c>
      <c r="B9" s="5" t="s">
        <v>204</v>
      </c>
      <c r="C9" s="6" t="s">
        <v>205</v>
      </c>
      <c r="D9" s="19"/>
      <c r="E9" s="19"/>
      <c r="F9" s="19"/>
    </row>
    <row r="10" customFormat="false" ht="31.5" hidden="false" customHeight="true" outlineLevel="0" collapsed="false">
      <c r="A10" s="8" t="n">
        <v>7</v>
      </c>
      <c r="B10" s="9" t="s">
        <v>206</v>
      </c>
      <c r="C10" s="10" t="s">
        <v>207</v>
      </c>
      <c r="D10" s="17"/>
      <c r="E10" s="17"/>
      <c r="F10" s="17"/>
    </row>
    <row r="11" customFormat="false" ht="31.5" hidden="false" customHeight="true" outlineLevel="0" collapsed="false">
      <c r="A11" s="4" t="n">
        <v>8</v>
      </c>
      <c r="B11" s="5" t="s">
        <v>208</v>
      </c>
      <c r="C11" s="6" t="s">
        <v>209</v>
      </c>
      <c r="D11" s="19"/>
      <c r="E11" s="19"/>
      <c r="F11" s="19"/>
    </row>
    <row r="12" customFormat="false" ht="31.5" hidden="false" customHeight="true" outlineLevel="0" collapsed="false">
      <c r="A12" s="8" t="n">
        <v>9</v>
      </c>
      <c r="B12" s="9" t="s">
        <v>210</v>
      </c>
      <c r="C12" s="10" t="s">
        <v>211</v>
      </c>
      <c r="D12" s="17"/>
      <c r="E12" s="17"/>
      <c r="F12" s="17"/>
    </row>
    <row r="13" customFormat="false" ht="31.5" hidden="false" customHeight="true" outlineLevel="0" collapsed="false">
      <c r="A13" s="4" t="n">
        <v>10</v>
      </c>
      <c r="B13" s="5" t="s">
        <v>212</v>
      </c>
      <c r="C13" s="6" t="s">
        <v>213</v>
      </c>
      <c r="D13" s="19"/>
      <c r="E13" s="19"/>
      <c r="F13" s="19"/>
    </row>
    <row r="14" customFormat="false" ht="31.5" hidden="false" customHeight="true" outlineLevel="0" collapsed="false">
      <c r="A14" s="8" t="n">
        <v>11</v>
      </c>
      <c r="B14" s="9" t="s">
        <v>214</v>
      </c>
      <c r="C14" s="10" t="s">
        <v>215</v>
      </c>
      <c r="D14" s="17"/>
      <c r="E14" s="17"/>
      <c r="F14" s="17"/>
    </row>
    <row r="15" customFormat="false" ht="31.5" hidden="false" customHeight="true" outlineLevel="0" collapsed="false">
      <c r="A15" s="4" t="n">
        <v>12</v>
      </c>
      <c r="B15" s="5" t="s">
        <v>216</v>
      </c>
      <c r="C15" s="6" t="s">
        <v>217</v>
      </c>
      <c r="D15" s="19"/>
      <c r="E15" s="19"/>
      <c r="F15" s="19"/>
    </row>
    <row r="16" customFormat="false" ht="31.5" hidden="false" customHeight="true" outlineLevel="0" collapsed="false">
      <c r="A16" s="8" t="n">
        <v>13</v>
      </c>
      <c r="B16" s="9" t="s">
        <v>218</v>
      </c>
      <c r="C16" s="10" t="s">
        <v>219</v>
      </c>
      <c r="D16" s="17"/>
      <c r="E16" s="17"/>
      <c r="F16" s="17"/>
    </row>
    <row r="17" customFormat="false" ht="31.5" hidden="false" customHeight="true" outlineLevel="0" collapsed="false">
      <c r="A17" s="4" t="n">
        <v>14</v>
      </c>
      <c r="B17" s="5" t="s">
        <v>220</v>
      </c>
      <c r="C17" s="6" t="s">
        <v>221</v>
      </c>
      <c r="D17" s="19"/>
      <c r="E17" s="19"/>
      <c r="F17" s="19"/>
    </row>
    <row r="18" customFormat="false" ht="31.5" hidden="false" customHeight="true" outlineLevel="0" collapsed="false">
      <c r="A18" s="8" t="n">
        <v>15</v>
      </c>
      <c r="B18" s="9" t="s">
        <v>222</v>
      </c>
      <c r="C18" s="10" t="s">
        <v>223</v>
      </c>
      <c r="D18" s="17"/>
      <c r="E18" s="17"/>
      <c r="F18" s="17"/>
    </row>
    <row r="19" customFormat="false" ht="31.5" hidden="false" customHeight="true" outlineLevel="0" collapsed="false">
      <c r="A19" s="4" t="n">
        <v>16</v>
      </c>
      <c r="B19" s="5" t="s">
        <v>224</v>
      </c>
      <c r="C19" s="6" t="s">
        <v>225</v>
      </c>
      <c r="D19" s="19"/>
      <c r="E19" s="19"/>
      <c r="F19" s="19"/>
    </row>
    <row r="20" customFormat="false" ht="31.5" hidden="false" customHeight="true" outlineLevel="0" collapsed="false">
      <c r="A20" s="8" t="n">
        <v>17</v>
      </c>
      <c r="B20" s="9" t="s">
        <v>226</v>
      </c>
      <c r="C20" s="10" t="s">
        <v>227</v>
      </c>
      <c r="D20" s="17"/>
      <c r="E20" s="17"/>
      <c r="F20" s="17"/>
    </row>
    <row r="21" customFormat="false" ht="31.5" hidden="false" customHeight="true" outlineLevel="0" collapsed="false">
      <c r="A21" s="4" t="n">
        <v>18</v>
      </c>
      <c r="B21" s="5" t="s">
        <v>228</v>
      </c>
      <c r="C21" s="6" t="s">
        <v>229</v>
      </c>
      <c r="D21" s="19"/>
      <c r="E21" s="19"/>
      <c r="F21" s="19"/>
    </row>
    <row r="22" customFormat="false" ht="31.5" hidden="false" customHeight="true" outlineLevel="0" collapsed="false">
      <c r="A22" s="8" t="n">
        <v>19</v>
      </c>
      <c r="B22" s="9" t="s">
        <v>230</v>
      </c>
      <c r="C22" s="10" t="s">
        <v>231</v>
      </c>
      <c r="D22" s="17"/>
      <c r="E22" s="17"/>
      <c r="F22" s="17"/>
    </row>
    <row r="23" customFormat="false" ht="31.5" hidden="false" customHeight="true" outlineLevel="0" collapsed="false">
      <c r="A23" s="4" t="n">
        <v>20</v>
      </c>
      <c r="B23" s="5" t="s">
        <v>232</v>
      </c>
      <c r="C23" s="6" t="s">
        <v>233</v>
      </c>
      <c r="D23" s="19"/>
      <c r="E23" s="19"/>
      <c r="F23" s="1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2026-05-05T04:38:49Z</dcterms:created>
  <dc:creator>openpyxl</dc:creator>
  <dc:description/>
  <dc:language>en-US</dc:language>
  <cp:lastModifiedBy/>
  <dcterms:modified xsi:type="dcterms:W3CDTF">2026-05-05T04:38:49Z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