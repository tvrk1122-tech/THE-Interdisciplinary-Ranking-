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Admin Units" sheetId="2" state="visible" r:id="rId4"/>
    <sheet name="2. Grant Management" sheetId="3" state="visible" r:id="rId5"/>
    <sheet name="3. Governance" sheetId="4" state="visible" r:id="rId6"/>
    <sheet name="4. Process Efficiency" sheetId="5" state="visible" r:id="rId7"/>
    <sheet name="5. Staff Training" sheetId="6" state="visible" r:id="rId8"/>
    <sheet name="6. Readiness Checklist" sheetId="7" state="visible" r:id="rId9"/>
    <sheet name="7. Composite AS Score" sheetId="8" state="visible" r:id="rId10"/>
    <sheet name="8. Benchmarking" sheetId="9" state="visible" r:id="rId11"/>
    <sheet name="9. Data Quality Audi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<sst xmlns="http://schemas.openxmlformats.org/spreadsheetml/2006/main" count="274" uniqueCount="245">
  <si>
    <t xml:space="preserve">THE Interdisciplinary Rankings — Process Pillar (16%) → Admin Support (4%)</t>
  </si>
  <si>
    <t xml:space="preserve">Evaluates Administrative Systems, Governance &amp; Professional Support Enabling Cross-Disciplinary Activities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</si>
  <si>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</si>
  <si>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</si>
  <si>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</si>
  <si>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</si>
  <si>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Dedicated Administrative Units for Interdisciplinary Coordination</t>
  </si>
  <si>
    <t xml:space="preserve">Existence and staffing of dedicated offices/units that coordinate cross-department research &amp; teaching: Interdisciplinary Research Office (IRO), Cross-Department Programme Coordination Cell, Convergent Research Facilitation Unit. Assessed via staffing (FTE), budget, reporting lines, and scope of authority.</t>
  </si>
  <si>
    <t xml:space="preserve">~1%</t>
  </si>
  <si>
    <t xml:space="preserve">Grant &amp; Project Management Support for Multi-Department Proposals</t>
  </si>
  <si>
    <t xml:space="preserve">Quality and capacity of administrative support for preparing, submitting, and managing cross-department research proposals and grants: pre-award support (budget preparation, compliance, multi-PI coordination), post-award management (financial tracking, milestone reporting, audit support). Measured via proposals supported, turnaround time, and faculty satisfaction.</t>
  </si>
  <si>
    <t xml:space="preserve">Governance Structures for Interdisciplinary Decision-Making</t>
  </si>
  <si>
    <t xml:space="preserve">Formal governance bodies enabling cross-department academic and research decisions: Interdisciplinary Research Committee (IRC), Cross-Department Academic Board, Joint Programme Approval Authority, Interdisciplinary Budget Allocation Committee. Assessed via existence, meeting frequency, decision authority, and representation breadth.</t>
  </si>
  <si>
    <t xml:space="preserve">~0.8%</t>
  </si>
  <si>
    <t xml:space="preserve">Administrative Efficiency &amp; Process Turnaround</t>
  </si>
  <si>
    <t xml:space="preserve">Speed and efficiency of administrative processes that affect cross-department activities: time to process joint appointments, cross-department budget transfers, equipment sharing approvals, inter-departmental MoU execution, and cross-listed course approvals. Lower processing time = better support.</t>
  </si>
  <si>
    <t xml:space="preserve">~0.7%</t>
  </si>
  <si>
    <t xml:space="preserve">Professional Development &amp; Training of Admin Staff</t>
  </si>
  <si>
    <t xml:space="preserve">Investment in training admin staff to support interdisciplinary activities: workshops on multi-PI grant management, cross-department financial compliance, international collaboration administration, IP management for joint research. Measured via training hours, certifications, and staff satisfaction.</t>
  </si>
  <si>
    <t xml:space="preserve">~0.5%</t>
  </si>
  <si>
    <t xml:space="preserve">Key Reference Notes</t>
  </si>
  <si>
    <t xml:space="preserve">• Admin Support contributes 4% to total ranking — part of Process pillar (16%) alongside Collaboration (5%), Knowledge Exchange (4%), MoS (4%), and Physical Facilities (4%) – adjusted from the uploaded document.</t>
  </si>
  <si>
    <t xml:space="preserve">• Evaluates ADMINISTRATIVE CAPACITY — the 'invisible infrastructure' enabling cross-department work.</t>
  </si>
  <si>
    <t xml:space="preserve">• Data sources: HR records, admin org charts, process logs, faculty/staff satisfaction surveys, institutional submissions.</t>
  </si>
  <si>
    <t xml:space="preserve">• Dedicated admin units must have formal mandate and staffing for interdisciplinary coordination (not ad-hoc committees).</t>
  </si>
  <si>
    <t xml:space="preserve">• Grant management assessed on both pre-award (proposal support) and post-award (financial tracking) quality.</t>
  </si>
  <si>
    <t xml:space="preserve">• Governance bodies must have documented decision authority over cross-department matters (not advisory-only).</t>
  </si>
  <si>
    <t xml:space="preserve">• Process turnaround times measured from formal request submission to completion/approval.</t>
  </si>
  <si>
    <t xml:space="preserve">• Admin staff training specifically covers multi-department coordination skills, not general admin training.</t>
  </si>
  <si>
    <t xml:space="preserve">IRO, cross-department coordination cells, convergent research facilitation units | Staffing, budget, scope</t>
  </si>
  <si>
    <t xml:space="preserve">S.No.</t>
  </si>
  <si>
    <t xml:space="preserve">Unit / Office Name</t>
  </si>
  <si>
    <t xml:space="preserve">Mandate / Functions (list)</t>
  </si>
  <si>
    <t xml:space="preserve">Departments Served</t>
  </si>
  <si>
    <t xml:space="preserve">Year Established</t>
  </si>
  <si>
    <t xml:space="preserve">Staff (FTE)</t>
  </si>
  <si>
    <t xml:space="preserve">Annual Budget (INR L / USD K)</t>
  </si>
  <si>
    <t xml:space="preserve">Reports to (VC/Pro-VC/Dean/Registrar)</t>
  </si>
  <si>
    <t xml:space="preserve">Active (Y/N)</t>
  </si>
  <si>
    <t xml:space="preserve">University Name</t>
  </si>
  <si>
    <t xml:space="preserve">University-Level Admin Unit Summary</t>
  </si>
  <si>
    <t xml:space="preserve">Total Dedicated Interdisc. Admin Units</t>
  </si>
  <si>
    <t xml:space="preserve">Total Admin Staff (FTE) in Interdisc. Units</t>
  </si>
  <si>
    <t xml:space="preserve">Total Budget (INR L / USD K)</t>
  </si>
  <si>
    <t xml:space="preserve">Admin Staff per 100 Faculty</t>
  </si>
  <si>
    <t xml:space="preserve">Coverage (Depts Served / Total Depts %)</t>
  </si>
  <si>
    <t xml:space="preserve">Avg Unit Age (Years)</t>
  </si>
  <si>
    <t xml:space="preserve">Maturity Score (0–10)</t>
  </si>
  <si>
    <t xml:space="preserve">Reporting Year</t>
  </si>
  <si>
    <t xml:space="preserve">Pre-award + post-award administrative support quality | Proposals supported, turnaround, satisfaction</t>
  </si>
  <si>
    <t xml:space="preserve">Country</t>
  </si>
  <si>
    <t xml:space="preserve">Total Proposals Supported (5yr)</t>
  </si>
  <si>
    <t xml:space="preserve">Multi-Dept Proposals Supported</t>
  </si>
  <si>
    <t xml:space="preserve">% Multi-Dept Supported</t>
  </si>
  <si>
    <t xml:space="preserve">Pre-Award Support Staff (FTE)</t>
  </si>
  <si>
    <t xml:space="preserve">Post-Award Support Staff (FTE)</t>
  </si>
  <si>
    <t xml:space="preserve">Avg Proposal Turnaround (Days)</t>
  </si>
  <si>
    <t xml:space="preserve">Reporting Period</t>
  </si>
  <si>
    <t xml:space="preserve">Faculty Satisfaction with Grant Management Support (Scale 1–5)</t>
  </si>
  <si>
    <t xml:space="preserve">Survey Question</t>
  </si>
  <si>
    <t xml:space="preserve">Avg Score (1–5)</t>
  </si>
  <si>
    <t xml:space="preserve">Std Dev</t>
  </si>
  <si>
    <t xml:space="preserve">N (Faculty)</t>
  </si>
  <si>
    <t xml:space="preserve">% Satisfied (4-5)</t>
  </si>
  <si>
    <t xml:space="preserve">% Dissatisfied (1-2)</t>
  </si>
  <si>
    <t xml:space="preserve">Benchmark (Top 10)</t>
  </si>
  <si>
    <t xml:space="preserve">Pre-award budget preparation support was adequate and timely</t>
  </si>
  <si>
    <t xml:space="preserve">Multi-PI coordination across departments was handled smoothly</t>
  </si>
  <si>
    <t xml:space="preserve">Compliance &amp; regulatory requirements were clearly communicated</t>
  </si>
  <si>
    <t xml:space="preserve">Post-award financial tracking was accurate and transparent</t>
  </si>
  <si>
    <t xml:space="preserve">Milestone reporting and audit support met funder requirements</t>
  </si>
  <si>
    <t xml:space="preserve">Admin staff understood the interdisciplinary scope of our project</t>
  </si>
  <si>
    <t xml:space="preserve">Turnaround time for approvals was acceptable</t>
  </si>
  <si>
    <t xml:space="preserve">Overall, grant management support enabled our cross-dept research</t>
  </si>
  <si>
    <t xml:space="preserve">IRC, joint programme boards, cross-dept budget committees | Existence, authority, meeting frequency</t>
  </si>
  <si>
    <t xml:space="preserve">Governance Body / Committee</t>
  </si>
  <si>
    <t xml:space="preserve">Status (Active/Dormant/Planned)</t>
  </si>
  <si>
    <t xml:space="preserve">Decision Authority (Binding/Advisory)</t>
  </si>
  <si>
    <t xml:space="preserve">Meeting Frequency</t>
  </si>
  <si>
    <t xml:space="preserve">Remarks</t>
  </si>
  <si>
    <t xml:space="preserve">Interdisciplinary Research Committee (IRC) with cross-department representation</t>
  </si>
  <si>
    <t xml:space="preserve">Cross-Department Academic Board / Joint Programme Committee</t>
  </si>
  <si>
    <t xml:space="preserve">Interdisciplinary Budget Allocation Committee (dedicated funding authority)</t>
  </si>
  <si>
    <t xml:space="preserve">Joint Appointment Review Panel (approves dual/joint faculty appointments)</t>
  </si>
  <si>
    <t xml:space="preserve">Cross-Department Curriculum Design Committee</t>
  </si>
  <si>
    <t xml:space="preserve">Interdisciplinary PhD Supervision Committee (approves co-supervision)</t>
  </si>
  <si>
    <t xml:space="preserve">Shared Facility Governance Board (manages shared labs/equipment access)</t>
  </si>
  <si>
    <t xml:space="preserve">Industry-Academia Cross-Domain R&amp;D Steering Committee</t>
  </si>
  <si>
    <t xml:space="preserve">Interdisciplinary Ethics Review Board (for multi-domain research ethics)</t>
  </si>
  <si>
    <t xml:space="preserve">University-Level SDG / Sustainability Steering Committee</t>
  </si>
  <si>
    <t xml:space="preserve">Student Interdisciplinary Experience Advisory Board</t>
  </si>
  <si>
    <t xml:space="preserve">IP &amp; Technology Transfer Committee (for cross-domain IP)</t>
  </si>
  <si>
    <t xml:space="preserve">External Advisory Board with interdisciplinary expertise representation</t>
  </si>
  <si>
    <t xml:space="preserve">Data Governance Committee for shared research data across departments</t>
  </si>
  <si>
    <t xml:space="preserve">International Collaboration Committee for cross-domain partnerships</t>
  </si>
  <si>
    <t xml:space="preserve">Governance Summary</t>
  </si>
  <si>
    <t xml:space="preserve">Total Active Governance Bodies</t>
  </si>
  <si>
    <t xml:space="preserve">Governance Maturity (%)</t>
  </si>
  <si>
    <t xml:space="preserve">Bodies with Binding Authority</t>
  </si>
  <si>
    <t xml:space="preserve">Administrative Efficiency &amp; Process Turnaround for Cross-Department Activities</t>
  </si>
  <si>
    <t xml:space="preserve">Avg processing time for joint appointments, budget transfers, equipment sharing, MoU execution, course approvals</t>
  </si>
  <si>
    <t xml:space="preserve">Administrative Process</t>
  </si>
  <si>
    <t xml:space="preserve">Avg Turnaround Time (Days)</t>
  </si>
  <si>
    <t xml:space="preserve">Benchmark Target (Days)</t>
  </si>
  <si>
    <t xml:space="preserve">Meets Target (Y/N)</t>
  </si>
  <si>
    <t xml:space="preserve">Joint / dual faculty appointment processing (from request to approval)</t>
  </si>
  <si>
    <t xml:space="preserve">Cross-department budget transfer / reallocation</t>
  </si>
  <si>
    <t xml:space="preserve">Shared equipment access approval (for external department users)</t>
  </si>
  <si>
    <t xml:space="preserve">Inter-departmental MoU / collaboration agreement execution</t>
  </si>
  <si>
    <t xml:space="preserve">Cross-listed course approval (new course spanning 2+ departments)</t>
  </si>
  <si>
    <t xml:space="preserve">Multi-PI research proposal internal clearance</t>
  </si>
  <si>
    <t xml:space="preserve">Interdisciplinary PhD co-supervision approval</t>
  </si>
  <si>
    <t xml:space="preserve">Joint programme / degree proposal approval (Academic Council)</t>
  </si>
  <si>
    <t xml:space="preserve">Industry partnership MoU for cross-domain R&amp;D (legal + academic clearance)</t>
  </si>
  <si>
    <t xml:space="preserve">Patent filing support for multi-department inventions (TTO processing)</t>
  </si>
  <si>
    <t xml:space="preserve">Cross-department lab space allocation / renovation approval</t>
  </si>
  <si>
    <t xml:space="preserve">International collaboration agreement for interdisciplinary projects</t>
  </si>
  <si>
    <t xml:space="preserve">Student credit transfer between departments</t>
  </si>
  <si>
    <t xml:space="preserve">Research data sharing agreement between departments</t>
  </si>
  <si>
    <t xml:space="preserve">Seed grant disbursement for cross-domain pilot projects</t>
  </si>
  <si>
    <t xml:space="preserve">Efficiency Summary</t>
  </si>
  <si>
    <t xml:space="preserve">Processes Meeting Target</t>
  </si>
  <si>
    <t xml:space="preserve">Efficiency Rate (%)</t>
  </si>
  <si>
    <t xml:space="preserve">Avg Turnaround (All Processes, Days)</t>
  </si>
  <si>
    <t xml:space="preserve">Professional Development &amp; Training of Admin Staff for Interdisciplinary Support</t>
  </si>
  <si>
    <t xml:space="preserve">Training on multi-PI grant management, cross-dept compliance, IP management, international collaboration admin</t>
  </si>
  <si>
    <t xml:space="preserve">Total Admin Staff Supporting Research</t>
  </si>
  <si>
    <t xml:space="preserve">Staff Receiving Interdisc. Training (Annual)</t>
  </si>
  <si>
    <t xml:space="preserve">% Staff Trained</t>
  </si>
  <si>
    <t xml:space="preserve">Total Training Hours (Annual)</t>
  </si>
  <si>
    <t xml:space="preserve">Training Hours per Admin Staff</t>
  </si>
  <si>
    <t xml:space="preserve">Staff Satisfaction with Training (1–5)</t>
  </si>
  <si>
    <t xml:space="preserve">Training Programme / Workshop Log</t>
  </si>
  <si>
    <t xml:space="preserve">Programme / Workshop Title</t>
  </si>
  <si>
    <t xml:space="preserve">Organizer (Internal/External/AICTE/UGC)</t>
  </si>
  <si>
    <t xml:space="preserve">Duration (Days)</t>
  </si>
  <si>
    <t xml:space="preserve">Participants</t>
  </si>
  <si>
    <t xml:space="preserve">Focus Area (Grant Mgmt/Compliance/IP/Intl/Data/General)</t>
  </si>
  <si>
    <t xml:space="preserve">Certification Issued (Y/N)</t>
  </si>
  <si>
    <t xml:space="preserve">Cost (INR L / USD K)</t>
  </si>
  <si>
    <t xml:space="preserve">Date</t>
  </si>
  <si>
    <t xml:space="preserve">Admin Support Readiness Checklist — Per University Assessment</t>
  </si>
  <si>
    <t xml:space="preserve">Comprehensive checklist of administrative systems enabling interdisciplinary activities</t>
  </si>
  <si>
    <t xml:space="preserve">Admin Support Component</t>
  </si>
  <si>
    <t xml:space="preserve">Status (Y/N/Planned)</t>
  </si>
  <si>
    <t xml:space="preserve">Maturity (1–5)</t>
  </si>
  <si>
    <t xml:space="preserve">Dedicated Interdisciplinary Research Office (IRO) or equivalent unit</t>
  </si>
  <si>
    <t xml:space="preserve">Cross-department programme coordination cell with full-time staff</t>
  </si>
  <si>
    <t xml:space="preserve">Pre-award grant support team trained in multi-PI proposal preparation</t>
  </si>
  <si>
    <t xml:space="preserve">Post-award project management team for multi-department grants</t>
  </si>
  <si>
    <t xml:space="preserve">Interdisciplinary Research Committee (IRC) with binding decision authority</t>
  </si>
  <si>
    <t xml:space="preserve">Joint Appointment Review Panel formally constituted</t>
  </si>
  <si>
    <t xml:space="preserve">Cross-department budget transfer mechanism (streamlined, &lt;7 days)</t>
  </si>
  <si>
    <t xml:space="preserve">Shared equipment booking system accessible to all departments</t>
  </si>
  <si>
    <t xml:space="preserve">ERP / MIS system tracking cross-department research projects</t>
  </si>
  <si>
    <t xml:space="preserve">Online portal for cross-listed course proposals and approvals</t>
  </si>
  <si>
    <t xml:space="preserve">Green-channel fast-track for interdisciplinary seed grant disbursement</t>
  </si>
  <si>
    <t xml:space="preserve">Dedicated IP / TTO support for multi-department patent filings</t>
  </si>
  <si>
    <t xml:space="preserve">International collaboration admin support (visa, MoU, compliance)</t>
  </si>
  <si>
    <t xml:space="preserve">Research data management system with cross-department access controls</t>
  </si>
  <si>
    <t xml:space="preserve">Faculty onboarding includes orientation on cross-department procedures</t>
  </si>
  <si>
    <t xml:space="preserve">Annual admin staff training on interdisciplinary project management</t>
  </si>
  <si>
    <t xml:space="preserve">Help desk / single-window for cross-department administrative queries</t>
  </si>
  <si>
    <t xml:space="preserve">Standard operating procedures (SOPs) for all cross-dept processes documented</t>
  </si>
  <si>
    <t xml:space="preserve">Annual administrative process audit for interdisciplinary activities</t>
  </si>
  <si>
    <t xml:space="preserve">Faculty satisfaction survey on admin support (annual, results published)</t>
  </si>
  <si>
    <t xml:space="preserve">Readiness Summary</t>
  </si>
  <si>
    <t xml:space="preserve">Total Components Present</t>
  </si>
  <si>
    <t xml:space="preserve">Admin Readiness (%)</t>
  </si>
  <si>
    <t xml:space="preserve">Avg Maturity Score (1–5)</t>
  </si>
  <si>
    <t xml:space="preserve">Components Planned</t>
  </si>
  <si>
    <t xml:space="preserve">Composite Admin Support Score (0–100) — 4% of Total Ranking</t>
  </si>
  <si>
    <t xml:space="preserve">Weighted composite of 5 sub-indicators | Weights editable in Row 4</t>
  </si>
  <si>
    <t xml:space="preserve">Admin Units (A)</t>
  </si>
  <si>
    <t xml:space="preserve">Grant Mgmt (B)</t>
  </si>
  <si>
    <t xml:space="preserve">Governance (C)</t>
  </si>
  <si>
    <t xml:space="preserve">Process Efficiency (D)</t>
  </si>
  <si>
    <t xml:space="preserve">Staff Training (E)</t>
  </si>
  <si>
    <t xml:space="preserve">Composite AS Score (0–100)</t>
  </si>
  <si>
    <t xml:space="preserve">Global Rank</t>
  </si>
  <si>
    <t xml:space="preserve">Weights →</t>
  </si>
  <si>
    <t xml:space="preserve">Benchmarking &amp; Peer Comparison — Admin Support</t>
  </si>
  <si>
    <t xml:space="preserve">Compare against peers, aspirational targets, and global top performers</t>
  </si>
  <si>
    <t xml:space="preserve">University / Benchmark</t>
  </si>
  <si>
    <t xml:space="preserve">Admin Units</t>
  </si>
  <si>
    <t xml:space="preserve">Grant Mgmt</t>
  </si>
  <si>
    <t xml:space="preserve">Governance</t>
  </si>
  <si>
    <t xml:space="preserve">Efficiency</t>
  </si>
  <si>
    <t xml:space="preserve">Training</t>
  </si>
  <si>
    <t xml:space="preserve">Composite AS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</si>
  <si>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</si>
  <si>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</si>
  <si>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</si>
  <si>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</si>
  <si>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</si>
  <si>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</si>
  <si>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</si>
  <si>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</si>
  <si>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</si>
  <si>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Admin Support — Data Quality &amp; Audit Checklist</t>
  </si>
  <si>
    <t xml:space="preserve">Validation checks for the Admin Support component (4% of total ranking)</t>
  </si>
  <si>
    <t xml:space="preserve">Quality Check</t>
  </si>
  <si>
    <t xml:space="preserve">Description</t>
  </si>
  <si>
    <t xml:space="preserve">Status (✓/✗/IP)</t>
  </si>
  <si>
    <t xml:space="preserve">Reviewer</t>
  </si>
  <si>
    <t xml:space="preserve">Admin unit mandate verification</t>
  </si>
  <si>
    <t xml:space="preserve">Each unit listed has a formal mandate document (office order, Board resolution) specifying interdisciplinary scope</t>
  </si>
  <si>
    <t xml:space="preserve">Staffing data accuracy</t>
  </si>
  <si>
    <t xml:space="preserve">Admin FTE counts verified against HR / establishment records (not self-reported estimates)</t>
  </si>
  <si>
    <t xml:space="preserve">Budget verification</t>
  </si>
  <si>
    <t xml:space="preserve">Admin unit budgets verified against audited financial statements or budget allocation orders</t>
  </si>
  <si>
    <t xml:space="preserve">Grant support scope definition</t>
  </si>
  <si>
    <t xml:space="preserve">'Multi-department proposals supported' means admin staff actively participated, not just routed paperwork</t>
  </si>
  <si>
    <t xml:space="preserve">Turnaround time measurement</t>
  </si>
  <si>
    <t xml:space="preserve">Process times measured from formal request date to completion date using documented records (not recall)</t>
  </si>
  <si>
    <t xml:space="preserve">Benchmark target documentation</t>
  </si>
  <si>
    <t xml:space="preserve">Target turnaround days based on documented benchmarks (peer institutions, best practice standards, or strategic plan)</t>
  </si>
  <si>
    <t xml:space="preserve">Governance body formal constitution</t>
  </si>
  <si>
    <t xml:space="preserve">Each committee listed is formally constituted via university order with documented membership and TOR</t>
  </si>
  <si>
    <t xml:space="preserve">Meeting frequency verification</t>
  </si>
  <si>
    <t xml:space="preserve">Meeting records (minutes, attendance) available to verify stated frequency</t>
  </si>
  <si>
    <t xml:space="preserve">Decision authority classification</t>
  </si>
  <si>
    <t xml:space="preserve">'Binding' vs 'Advisory' classification based on formal TOR / university statutes, not practice</t>
  </si>
  <si>
    <t xml:space="preserve">Training programme documentation</t>
  </si>
  <si>
    <t xml:space="preserve">Each training programme backed by brochure/schedule, attendance register, and feedback forms</t>
  </si>
  <si>
    <t xml:space="preserve">Faculty satisfaction survey methodology</t>
  </si>
  <si>
    <t xml:space="preserve">Validated instrument, &gt;30% response rate, anonymity ensured, results documented</t>
  </si>
  <si>
    <t xml:space="preserve">Readiness checklist evidence</t>
  </si>
  <si>
    <t xml:space="preserve">Each item marked 'Y' backed by verifiable institutional document, order, or system screenshot</t>
  </si>
  <si>
    <t xml:space="preserve">Maturity scoring rubric</t>
  </si>
  <si>
    <t xml:space="preserve">Maturity scale (1–5) uses documented rubric consistently (1=Nascent, 2=Developing, 3=Functional, 4=Effective, 5=Exemplary)</t>
  </si>
  <si>
    <t xml:space="preserve">Double-counting prevention</t>
  </si>
  <si>
    <t xml:space="preserve">Same admin staff / unit not counted across multiple sub-indicator categories</t>
  </si>
  <si>
    <t xml:space="preserve">Active vs. dormant distinction</t>
  </si>
  <si>
    <t xml:space="preserve">Units/committees marked 'Active' have demonstrable activity in past 12 months</t>
  </si>
  <si>
    <t xml:space="preserve">Normalization method</t>
  </si>
  <si>
    <t xml:space="preserve">Z-scoring or min-max normalization applied consistently across all universities</t>
  </si>
  <si>
    <t xml:space="preserve">Weight validation</t>
  </si>
  <si>
    <t xml:space="preserve">Sub-indicator weights sum to 100% of the Admin Support component (4% of total ranking)</t>
  </si>
  <si>
    <t xml:space="preserve">Comparison with process logs</t>
  </si>
  <si>
    <t xml:space="preserve">Turnaround data cross-checked against ERP/MIS process logs where available</t>
  </si>
  <si>
    <t xml:space="preserve">Year-on-year trend check</t>
  </si>
  <si>
    <t xml:space="preserve">Compare current data with previous cycle; flag anomalous changes (&gt;25% shift)</t>
  </si>
  <si>
    <t xml:space="preserve">Reproducibility test</t>
  </si>
  <si>
    <t xml:space="preserve">All calculations reproducible by independent analyst using this workbook and institutional records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</si>
</sst>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04D40"/>
        <bgColor rgb="FF1A2E4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993300"/>
      </patternFill>
    </fill>
    <fill>
      <patternFill patternType="solid">
        <fgColor rgb="FF548235"/>
        <bgColor rgb="FF808080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3F51B5"/>
      </patternFill>
    </fill>
    <fill>
      <patternFill patternType="solid">
        <fgColor rgb="FF3F51B5"/>
        <bgColor rgb="FF455A64"/>
      </patternFill>
    </fill>
    <fill>
      <patternFill patternType="solid">
        <fgColor rgb="FFE2EFDA"/>
        <bgColor rgb="FFF2F2F2"/>
      </patternFill>
    </fill>
    <fill>
      <patternFill patternType="solid">
        <fgColor rgb="FF2F8F9D"/>
        <bgColor rgb="FF2E75B6"/>
      </patternFill>
    </fill>
    <fill>
      <patternFill patternType="solid">
        <fgColor rgb="FF6D4C41"/>
        <bgColor rgb="FF404040"/>
      </patternFill>
    </fill>
    <fill>
      <patternFill patternType="solid">
        <fgColor rgb="FF455A64"/>
        <bgColor rgb="FF404040"/>
      </patternFill>
    </fill>
    <fill>
      <patternFill patternType="solid">
        <fgColor rgb="FFBF8F00"/>
        <bgColor rgb="FFED7D31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455A64"/>
      <rgbColor rgb="FF969696"/>
      <rgbColor rgb="FF1A2E4F"/>
      <rgbColor rgb="FF2F8F9D"/>
      <rgbColor rgb="FF004D40"/>
      <rgbColor rgb="FF333300"/>
      <rgbColor rgb="FF993300"/>
      <rgbColor rgb="FF6D4C41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40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0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90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8</v>
      </c>
    </row>
    <row r="7" customFormat="false" ht="90" hidden="false" customHeight="true" outlineLevel="0" collapsed="false">
      <c r="A7" s="4" t="n">
        <v>3</v>
      </c>
      <c r="B7" s="5" t="s">
        <v>11</v>
      </c>
      <c r="C7" s="6" t="s">
        <v>12</v>
      </c>
      <c r="D7" s="7" t="s">
        <v>13</v>
      </c>
    </row>
    <row r="8" customFormat="false" ht="90" hidden="false" customHeight="true" outlineLevel="0" collapsed="false">
      <c r="A8" s="8" t="n">
        <v>4</v>
      </c>
      <c r="B8" s="9" t="s">
        <v>14</v>
      </c>
      <c r="C8" s="10" t="s">
        <v>15</v>
      </c>
      <c r="D8" s="11" t="s">
        <v>16</v>
      </c>
    </row>
    <row r="9" customFormat="false" ht="90" hidden="false" customHeight="true" outlineLevel="0" collapsed="false">
      <c r="A9" s="4" t="n">
        <v>5</v>
      </c>
      <c r="B9" s="5" t="s">
        <v>17</v>
      </c>
      <c r="C9" s="6" t="s">
        <v>18</v>
      </c>
      <c r="D9" s="7" t="s">
        <v>19</v>
      </c>
    </row>
    <row r="11" customFormat="false" ht="25.5" hidden="false" customHeight="true" outlineLevel="0" collapsed="false">
      <c r="A11" s="12" t="s">
        <v>20</v>
      </c>
      <c r="B11" s="12"/>
      <c r="C11" s="12"/>
      <c r="D11" s="12"/>
    </row>
    <row r="12" customFormat="false" ht="23.85" hidden="false" customHeight="true" outlineLevel="0" collapsed="false">
      <c r="A12" s="13" t="s">
        <v>21</v>
      </c>
      <c r="B12" s="13"/>
      <c r="C12" s="13"/>
      <c r="D12" s="13"/>
    </row>
    <row r="13" customFormat="false" ht="15" hidden="false" customHeight="true" outlineLevel="0" collapsed="false">
      <c r="A13" s="13" t="s">
        <v>22</v>
      </c>
      <c r="B13" s="13"/>
      <c r="C13" s="13"/>
      <c r="D13" s="13"/>
    </row>
    <row r="14" customFormat="false" ht="15" hidden="false" customHeight="true" outlineLevel="0" collapsed="false">
      <c r="A14" s="13" t="s">
        <v>23</v>
      </c>
      <c r="B14" s="13"/>
      <c r="C14" s="13"/>
      <c r="D14" s="13"/>
    </row>
    <row r="15" customFormat="false" ht="15" hidden="false" customHeight="true" outlineLevel="0" collapsed="false">
      <c r="A15" s="13" t="s">
        <v>24</v>
      </c>
      <c r="B15" s="13"/>
      <c r="C15" s="13"/>
      <c r="D15" s="13"/>
    </row>
    <row r="16" customFormat="false" ht="15" hidden="false" customHeight="true" outlineLevel="0" collapsed="false">
      <c r="A16" s="13" t="s">
        <v>25</v>
      </c>
      <c r="B16" s="13"/>
      <c r="C16" s="13"/>
      <c r="D16" s="13"/>
    </row>
    <row r="17" customFormat="false" ht="15" hidden="false" customHeight="true" outlineLevel="0" collapsed="false">
      <c r="A17" s="13" t="s">
        <v>26</v>
      </c>
      <c r="B17" s="13"/>
      <c r="C17" s="13"/>
      <c r="D17" s="13"/>
    </row>
    <row r="18" customFormat="false" ht="15" hidden="false" customHeight="true" outlineLevel="0" collapsed="false">
      <c r="A18" s="13" t="s">
        <v>27</v>
      </c>
      <c r="B18" s="13"/>
      <c r="C18" s="13"/>
      <c r="D18" s="13"/>
    </row>
    <row r="19" customFormat="false" ht="15" hidden="false" customHeight="true" outlineLevel="0" collapsed="false">
      <c r="A19" s="13" t="s">
        <v>28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8" min="6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4" t="s">
        <v>6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5.5" hidden="false" customHeight="true" outlineLevel="0" collapsed="false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23.8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6" t="s">
        <v>35</v>
      </c>
      <c r="G3" s="16" t="s">
        <v>36</v>
      </c>
      <c r="H3" s="16" t="s">
        <v>37</v>
      </c>
      <c r="I3" s="16" t="s">
        <v>38</v>
      </c>
      <c r="J3" s="16" t="s">
        <v>39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18"/>
    </row>
    <row r="35" customFormat="false" ht="25.5" hidden="false" customHeight="true" outlineLevel="0" collapsed="false">
      <c r="A35" s="19" t="s">
        <v>40</v>
      </c>
      <c r="B35" s="19"/>
      <c r="C35" s="19"/>
      <c r="D35" s="19"/>
      <c r="E35" s="19"/>
      <c r="F35" s="19"/>
      <c r="G35" s="19"/>
      <c r="H35" s="19"/>
      <c r="I35" s="19"/>
      <c r="J35" s="19"/>
    </row>
    <row r="36" customFormat="false" ht="35.05" hidden="false" customHeight="false" outlineLevel="0" collapsed="false">
      <c r="A36" s="20" t="s">
        <v>30</v>
      </c>
      <c r="B36" s="20" t="s">
        <v>39</v>
      </c>
      <c r="C36" s="20" t="s">
        <v>41</v>
      </c>
      <c r="D36" s="20" t="s">
        <v>42</v>
      </c>
      <c r="E36" s="20" t="s">
        <v>43</v>
      </c>
      <c r="F36" s="20" t="s">
        <v>44</v>
      </c>
      <c r="G36" s="20" t="s">
        <v>45</v>
      </c>
      <c r="H36" s="20" t="s">
        <v>46</v>
      </c>
      <c r="I36" s="20" t="s">
        <v>47</v>
      </c>
      <c r="J36" s="20" t="s">
        <v>48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 t="n">
        <f aca="false">IF(D37&gt;0,D37/D37*100,0)</f>
        <v>0</v>
      </c>
      <c r="G37" s="18"/>
      <c r="H37" s="18"/>
      <c r="I37" s="18"/>
      <c r="J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 t="n">
        <f aca="false">IF(D38&gt;0,D38/D38*100,0)</f>
        <v>0</v>
      </c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 t="n">
        <f aca="false">IF(D39&gt;0,D39/D39*100,0)</f>
        <v>0</v>
      </c>
      <c r="G39" s="18"/>
      <c r="H39" s="18"/>
      <c r="I39" s="18"/>
      <c r="J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 t="n">
        <f aca="false">IF(D40&gt;0,D40/D40*100,0)</f>
        <v>0</v>
      </c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 t="n">
        <f aca="false">IF(D41&gt;0,D41/D41*100,0)</f>
        <v>0</v>
      </c>
      <c r="G41" s="18"/>
      <c r="H41" s="18"/>
      <c r="I41" s="18"/>
      <c r="J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 t="n">
        <f aca="false">IF(D42&gt;0,D42/D42*100,0)</f>
        <v>0</v>
      </c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 t="n">
        <f aca="false">IF(D43&gt;0,D43/D43*100,0)</f>
        <v>0</v>
      </c>
      <c r="G43" s="18"/>
      <c r="H43" s="18"/>
      <c r="I43" s="18"/>
      <c r="J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 t="n">
        <f aca="false">IF(D44&gt;0,D44/D44*100,0)</f>
        <v>0</v>
      </c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 t="n">
        <f aca="false">IF(D45&gt;0,D45/D45*100,0)</f>
        <v>0</v>
      </c>
      <c r="G45" s="18"/>
      <c r="H45" s="18"/>
      <c r="I45" s="18"/>
      <c r="J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 t="n">
        <f aca="false">IF(D46&gt;0,D46/D46*100,0)</f>
        <v>0</v>
      </c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 t="n">
        <f aca="false">IF(D47&gt;0,D47/D47*100,0)</f>
        <v>0</v>
      </c>
      <c r="G47" s="18"/>
      <c r="H47" s="18"/>
      <c r="I47" s="18"/>
      <c r="J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 t="n">
        <f aca="false">IF(D48&gt;0,D48/D48*100,0)</f>
        <v>0</v>
      </c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 t="n">
        <f aca="false">IF(D49&gt;0,D49/D49*100,0)</f>
        <v>0</v>
      </c>
      <c r="G49" s="18"/>
      <c r="H49" s="18"/>
      <c r="I49" s="18"/>
      <c r="J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 t="n">
        <f aca="false">IF(D50&gt;0,D50/D50*100,0)</f>
        <v>0</v>
      </c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 t="n">
        <f aca="false">IF(D51&gt;0,D51/D51*100,0)</f>
        <v>0</v>
      </c>
      <c r="G51" s="18"/>
      <c r="H51" s="18"/>
      <c r="I51" s="18"/>
      <c r="J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 t="n">
        <f aca="false">IF(D52&gt;0,D52/D52*100,0)</f>
        <v>0</v>
      </c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 t="n">
        <f aca="false">IF(D53&gt;0,D53/D53*100,0)</f>
        <v>0</v>
      </c>
      <c r="G53" s="18"/>
      <c r="H53" s="18"/>
      <c r="I53" s="18"/>
      <c r="J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 t="n">
        <f aca="false">IF(D54&gt;0,D54/D54*100,0)</f>
        <v>0</v>
      </c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 t="n">
        <f aca="false">IF(D55&gt;0,D55/D55*100,0)</f>
        <v>0</v>
      </c>
      <c r="G55" s="18"/>
      <c r="H55" s="18"/>
      <c r="I55" s="18"/>
      <c r="J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 t="n">
        <f aca="false">IF(D56&gt;0,D56/D56*100,0)</f>
        <v>0</v>
      </c>
      <c r="G56" s="17"/>
      <c r="H56" s="17"/>
      <c r="I56" s="17"/>
      <c r="J5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1" t="s">
        <v>9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25.5" hidden="false" customHeight="true" outlineLevel="0" collapsed="false">
      <c r="A2" s="22" t="s">
        <v>49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35.05" hidden="false" customHeight="false" outlineLevel="0" collapsed="false">
      <c r="A3" s="23" t="s">
        <v>30</v>
      </c>
      <c r="B3" s="23" t="s">
        <v>39</v>
      </c>
      <c r="C3" s="23" t="s">
        <v>50</v>
      </c>
      <c r="D3" s="23" t="s">
        <v>51</v>
      </c>
      <c r="E3" s="23" t="s">
        <v>52</v>
      </c>
      <c r="F3" s="23" t="s">
        <v>53</v>
      </c>
      <c r="G3" s="23" t="s">
        <v>54</v>
      </c>
      <c r="H3" s="23" t="s">
        <v>55</v>
      </c>
      <c r="I3" s="23" t="s">
        <v>56</v>
      </c>
      <c r="J3" s="23" t="s">
        <v>57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24" t="n">
        <f aca="false">IF(D4&gt;0,E4/D4*100,0)</f>
        <v>0</v>
      </c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25" t="n">
        <f aca="false">IF(D5&gt;0,E5/D5*100,0)</f>
        <v>0</v>
      </c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24" t="n">
        <f aca="false">IF(D6&gt;0,E6/D6*100,0)</f>
        <v>0</v>
      </c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25" t="n">
        <f aca="false">IF(D7&gt;0,E7/D7*100,0)</f>
        <v>0</v>
      </c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24" t="n">
        <f aca="false">IF(D8&gt;0,E8/D8*100,0)</f>
        <v>0</v>
      </c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25" t="n">
        <f aca="false">IF(D9&gt;0,E9/D9*100,0)</f>
        <v>0</v>
      </c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24" t="n">
        <f aca="false">IF(D10&gt;0,E10/D10*100,0)</f>
        <v>0</v>
      </c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25" t="n">
        <f aca="false">IF(D11&gt;0,E11/D11*100,0)</f>
        <v>0</v>
      </c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24" t="n">
        <f aca="false">IF(D12&gt;0,E12/D12*100,0)</f>
        <v>0</v>
      </c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25" t="n">
        <f aca="false">IF(D13&gt;0,E13/D13*100,0)</f>
        <v>0</v>
      </c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24" t="n">
        <f aca="false">IF(D14&gt;0,E14/D14*100,0)</f>
        <v>0</v>
      </c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25" t="n">
        <f aca="false">IF(D15&gt;0,E15/D15*100,0)</f>
        <v>0</v>
      </c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24" t="n">
        <f aca="false">IF(D16&gt;0,E16/D16*100,0)</f>
        <v>0</v>
      </c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25" t="n">
        <f aca="false">IF(D17&gt;0,E17/D17*100,0)</f>
        <v>0</v>
      </c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24" t="n">
        <f aca="false">IF(D18&gt;0,E18/D18*100,0)</f>
        <v>0</v>
      </c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25" t="n">
        <f aca="false">IF(D19&gt;0,E19/D19*100,0)</f>
        <v>0</v>
      </c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24" t="n">
        <f aca="false">IF(D20&gt;0,E20/D20*100,0)</f>
        <v>0</v>
      </c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25" t="n">
        <f aca="false">IF(D21&gt;0,E21/D21*100,0)</f>
        <v>0</v>
      </c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24" t="n">
        <f aca="false">IF(D22&gt;0,E22/D22*100,0)</f>
        <v>0</v>
      </c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25" t="n">
        <f aca="false">IF(D23&gt;0,E23/D23*100,0)</f>
        <v>0</v>
      </c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24" t="n">
        <f aca="false">IF(D24&gt;0,E24/D24*100,0)</f>
        <v>0</v>
      </c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25" t="n">
        <f aca="false">IF(D25&gt;0,E25/D25*100,0)</f>
        <v>0</v>
      </c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24" t="n">
        <f aca="false">IF(D26&gt;0,E26/D26*100,0)</f>
        <v>0</v>
      </c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25" t="n">
        <f aca="false">IF(D27&gt;0,E27/D27*100,0)</f>
        <v>0</v>
      </c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24" t="n">
        <f aca="false">IF(D28&gt;0,E28/D28*100,0)</f>
        <v>0</v>
      </c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25" t="n">
        <f aca="false">IF(D29&gt;0,E29/D29*100,0)</f>
        <v>0</v>
      </c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24" t="n">
        <f aca="false">IF(D30&gt;0,E30/D30*100,0)</f>
        <v>0</v>
      </c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25" t="n">
        <f aca="false">IF(D31&gt;0,E31/D31*100,0)</f>
        <v>0</v>
      </c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24" t="n">
        <f aca="false">IF(D32&gt;0,E32/D32*100,0)</f>
        <v>0</v>
      </c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25" t="n">
        <f aca="false">IF(D33&gt;0,E33/D33*100,0)</f>
        <v>0</v>
      </c>
      <c r="G33" s="18"/>
      <c r="H33" s="18"/>
      <c r="I33" s="18"/>
      <c r="J33" s="18"/>
    </row>
    <row r="35" customFormat="false" ht="25.5" hidden="false" customHeight="true" outlineLevel="0" collapsed="false">
      <c r="A35" s="26" t="s">
        <v>58</v>
      </c>
      <c r="B35" s="26"/>
      <c r="C35" s="26"/>
      <c r="D35" s="26"/>
      <c r="E35" s="26"/>
      <c r="F35" s="26"/>
      <c r="G35" s="26"/>
      <c r="H35" s="26"/>
      <c r="I35" s="26"/>
      <c r="J35" s="26"/>
    </row>
    <row r="36" customFormat="false" ht="23.85" hidden="false" customHeight="false" outlineLevel="0" collapsed="false">
      <c r="A36" s="27" t="s">
        <v>2</v>
      </c>
      <c r="B36" s="27" t="s">
        <v>59</v>
      </c>
      <c r="C36" s="27" t="s">
        <v>60</v>
      </c>
      <c r="D36" s="27" t="s">
        <v>61</v>
      </c>
      <c r="E36" s="27" t="s">
        <v>62</v>
      </c>
      <c r="F36" s="27" t="s">
        <v>63</v>
      </c>
      <c r="G36" s="27" t="s">
        <v>64</v>
      </c>
      <c r="H36" s="27" t="s">
        <v>65</v>
      </c>
      <c r="I36" s="27"/>
      <c r="J36" s="27"/>
    </row>
    <row r="37" customFormat="false" ht="30" hidden="false" customHeight="true" outlineLevel="0" collapsed="false">
      <c r="A37" s="4" t="n">
        <v>1</v>
      </c>
      <c r="B37" s="6" t="s">
        <v>66</v>
      </c>
      <c r="C37" s="18"/>
      <c r="D37" s="18"/>
      <c r="E37" s="18"/>
      <c r="F37" s="18"/>
      <c r="G37" s="18"/>
      <c r="H37" s="18"/>
      <c r="I37" s="28"/>
      <c r="J37" s="28"/>
    </row>
    <row r="38" customFormat="false" ht="30" hidden="false" customHeight="true" outlineLevel="0" collapsed="false">
      <c r="A38" s="8" t="n">
        <v>2</v>
      </c>
      <c r="B38" s="10" t="s">
        <v>67</v>
      </c>
      <c r="C38" s="17"/>
      <c r="D38" s="17"/>
      <c r="E38" s="17"/>
      <c r="F38" s="17"/>
      <c r="G38" s="17"/>
      <c r="H38" s="17"/>
      <c r="I38" s="29"/>
      <c r="J38" s="29"/>
    </row>
    <row r="39" customFormat="false" ht="30" hidden="false" customHeight="true" outlineLevel="0" collapsed="false">
      <c r="A39" s="4" t="n">
        <v>3</v>
      </c>
      <c r="B39" s="6" t="s">
        <v>68</v>
      </c>
      <c r="C39" s="18"/>
      <c r="D39" s="18"/>
      <c r="E39" s="18"/>
      <c r="F39" s="18"/>
      <c r="G39" s="18"/>
      <c r="H39" s="18"/>
      <c r="I39" s="28"/>
      <c r="J39" s="28"/>
    </row>
    <row r="40" customFormat="false" ht="30" hidden="false" customHeight="true" outlineLevel="0" collapsed="false">
      <c r="A40" s="8" t="n">
        <v>4</v>
      </c>
      <c r="B40" s="10" t="s">
        <v>69</v>
      </c>
      <c r="C40" s="17"/>
      <c r="D40" s="17"/>
      <c r="E40" s="17"/>
      <c r="F40" s="17"/>
      <c r="G40" s="17"/>
      <c r="H40" s="17"/>
      <c r="I40" s="29"/>
      <c r="J40" s="29"/>
    </row>
    <row r="41" customFormat="false" ht="30" hidden="false" customHeight="true" outlineLevel="0" collapsed="false">
      <c r="A41" s="4" t="n">
        <v>5</v>
      </c>
      <c r="B41" s="6" t="s">
        <v>70</v>
      </c>
      <c r="C41" s="18"/>
      <c r="D41" s="18"/>
      <c r="E41" s="18"/>
      <c r="F41" s="18"/>
      <c r="G41" s="18"/>
      <c r="H41" s="18"/>
      <c r="I41" s="28"/>
      <c r="J41" s="28"/>
    </row>
    <row r="42" customFormat="false" ht="30" hidden="false" customHeight="true" outlineLevel="0" collapsed="false">
      <c r="A42" s="8" t="n">
        <v>6</v>
      </c>
      <c r="B42" s="10" t="s">
        <v>71</v>
      </c>
      <c r="C42" s="17"/>
      <c r="D42" s="17"/>
      <c r="E42" s="17"/>
      <c r="F42" s="17"/>
      <c r="G42" s="17"/>
      <c r="H42" s="17"/>
      <c r="I42" s="29"/>
      <c r="J42" s="29"/>
    </row>
    <row r="43" customFormat="false" ht="30" hidden="false" customHeight="true" outlineLevel="0" collapsed="false">
      <c r="A43" s="4" t="n">
        <v>7</v>
      </c>
      <c r="B43" s="6" t="s">
        <v>72</v>
      </c>
      <c r="C43" s="18"/>
      <c r="D43" s="18"/>
      <c r="E43" s="18"/>
      <c r="F43" s="18"/>
      <c r="G43" s="18"/>
      <c r="H43" s="18"/>
      <c r="I43" s="28"/>
      <c r="J43" s="28"/>
    </row>
    <row r="44" customFormat="false" ht="30" hidden="false" customHeight="true" outlineLevel="0" collapsed="false">
      <c r="A44" s="8" t="n">
        <v>8</v>
      </c>
      <c r="B44" s="10" t="s">
        <v>73</v>
      </c>
      <c r="C44" s="17"/>
      <c r="D44" s="17"/>
      <c r="E44" s="17"/>
      <c r="F44" s="17"/>
      <c r="G44" s="17"/>
      <c r="H44" s="17"/>
      <c r="I44" s="29"/>
      <c r="J44" s="29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0" t="s">
        <v>11</v>
      </c>
      <c r="B1" s="30"/>
      <c r="C1" s="30"/>
      <c r="D1" s="30"/>
      <c r="E1" s="30"/>
      <c r="F1" s="30"/>
      <c r="G1" s="30"/>
    </row>
    <row r="2" customFormat="false" ht="25.5" hidden="false" customHeight="true" outlineLevel="0" collapsed="false">
      <c r="A2" s="31" t="s">
        <v>74</v>
      </c>
      <c r="B2" s="31"/>
      <c r="C2" s="31"/>
      <c r="D2" s="31"/>
      <c r="E2" s="31"/>
      <c r="F2" s="31"/>
      <c r="G2" s="31"/>
    </row>
    <row r="3" customFormat="false" ht="35.05" hidden="false" customHeight="false" outlineLevel="0" collapsed="false">
      <c r="A3" s="32" t="s">
        <v>2</v>
      </c>
      <c r="B3" s="32" t="s">
        <v>39</v>
      </c>
      <c r="C3" s="32" t="s">
        <v>75</v>
      </c>
      <c r="D3" s="32" t="s">
        <v>76</v>
      </c>
      <c r="E3" s="32" t="s">
        <v>77</v>
      </c>
      <c r="F3" s="32" t="s">
        <v>78</v>
      </c>
      <c r="G3" s="32" t="s">
        <v>79</v>
      </c>
    </row>
    <row r="4" customFormat="false" ht="30" hidden="false" customHeight="true" outlineLevel="0" collapsed="false">
      <c r="A4" s="8" t="n">
        <v>1</v>
      </c>
      <c r="B4" s="17"/>
      <c r="C4" s="10" t="s">
        <v>80</v>
      </c>
      <c r="D4" s="17"/>
      <c r="E4" s="17"/>
      <c r="F4" s="17"/>
      <c r="G4" s="17"/>
    </row>
    <row r="5" customFormat="false" ht="30" hidden="false" customHeight="true" outlineLevel="0" collapsed="false">
      <c r="A5" s="4" t="n">
        <v>2</v>
      </c>
      <c r="B5" s="18"/>
      <c r="C5" s="6" t="s">
        <v>81</v>
      </c>
      <c r="D5" s="18"/>
      <c r="E5" s="18"/>
      <c r="F5" s="18"/>
      <c r="G5" s="18"/>
    </row>
    <row r="6" customFormat="false" ht="30" hidden="false" customHeight="true" outlineLevel="0" collapsed="false">
      <c r="A6" s="8" t="n">
        <v>3</v>
      </c>
      <c r="B6" s="17"/>
      <c r="C6" s="10" t="s">
        <v>82</v>
      </c>
      <c r="D6" s="17"/>
      <c r="E6" s="17"/>
      <c r="F6" s="17"/>
      <c r="G6" s="17"/>
    </row>
    <row r="7" customFormat="false" ht="30" hidden="false" customHeight="true" outlineLevel="0" collapsed="false">
      <c r="A7" s="4" t="n">
        <v>4</v>
      </c>
      <c r="B7" s="18"/>
      <c r="C7" s="6" t="s">
        <v>83</v>
      </c>
      <c r="D7" s="18"/>
      <c r="E7" s="18"/>
      <c r="F7" s="18"/>
      <c r="G7" s="18"/>
    </row>
    <row r="8" customFormat="false" ht="30" hidden="false" customHeight="true" outlineLevel="0" collapsed="false">
      <c r="A8" s="8" t="n">
        <v>5</v>
      </c>
      <c r="B8" s="17"/>
      <c r="C8" s="10" t="s">
        <v>84</v>
      </c>
      <c r="D8" s="17"/>
      <c r="E8" s="17"/>
      <c r="F8" s="17"/>
      <c r="G8" s="17"/>
    </row>
    <row r="9" customFormat="false" ht="30" hidden="false" customHeight="true" outlineLevel="0" collapsed="false">
      <c r="A9" s="4" t="n">
        <v>6</v>
      </c>
      <c r="B9" s="18"/>
      <c r="C9" s="6" t="s">
        <v>85</v>
      </c>
      <c r="D9" s="18"/>
      <c r="E9" s="18"/>
      <c r="F9" s="18"/>
      <c r="G9" s="18"/>
    </row>
    <row r="10" customFormat="false" ht="30" hidden="false" customHeight="true" outlineLevel="0" collapsed="false">
      <c r="A10" s="8" t="n">
        <v>7</v>
      </c>
      <c r="B10" s="17"/>
      <c r="C10" s="10" t="s">
        <v>86</v>
      </c>
      <c r="D10" s="17"/>
      <c r="E10" s="17"/>
      <c r="F10" s="17"/>
      <c r="G10" s="17"/>
    </row>
    <row r="11" customFormat="false" ht="30" hidden="false" customHeight="true" outlineLevel="0" collapsed="false">
      <c r="A11" s="4" t="n">
        <v>8</v>
      </c>
      <c r="B11" s="18"/>
      <c r="C11" s="6" t="s">
        <v>87</v>
      </c>
      <c r="D11" s="18"/>
      <c r="E11" s="18"/>
      <c r="F11" s="18"/>
      <c r="G11" s="18"/>
    </row>
    <row r="12" customFormat="false" ht="30" hidden="false" customHeight="true" outlineLevel="0" collapsed="false">
      <c r="A12" s="8" t="n">
        <v>9</v>
      </c>
      <c r="B12" s="17"/>
      <c r="C12" s="10" t="s">
        <v>88</v>
      </c>
      <c r="D12" s="17"/>
      <c r="E12" s="17"/>
      <c r="F12" s="17"/>
      <c r="G12" s="17"/>
    </row>
    <row r="13" customFormat="false" ht="30" hidden="false" customHeight="true" outlineLevel="0" collapsed="false">
      <c r="A13" s="4" t="n">
        <v>10</v>
      </c>
      <c r="B13" s="18"/>
      <c r="C13" s="6" t="s">
        <v>89</v>
      </c>
      <c r="D13" s="18"/>
      <c r="E13" s="18"/>
      <c r="F13" s="18"/>
      <c r="G13" s="18"/>
    </row>
    <row r="14" customFormat="false" ht="30" hidden="false" customHeight="true" outlineLevel="0" collapsed="false">
      <c r="A14" s="8" t="n">
        <v>11</v>
      </c>
      <c r="B14" s="17"/>
      <c r="C14" s="10" t="s">
        <v>90</v>
      </c>
      <c r="D14" s="17"/>
      <c r="E14" s="17"/>
      <c r="F14" s="17"/>
      <c r="G14" s="17"/>
    </row>
    <row r="15" customFormat="false" ht="30" hidden="false" customHeight="true" outlineLevel="0" collapsed="false">
      <c r="A15" s="4" t="n">
        <v>12</v>
      </c>
      <c r="B15" s="18"/>
      <c r="C15" s="6" t="s">
        <v>91</v>
      </c>
      <c r="D15" s="18"/>
      <c r="E15" s="18"/>
      <c r="F15" s="18"/>
      <c r="G15" s="18"/>
    </row>
    <row r="16" customFormat="false" ht="30" hidden="false" customHeight="true" outlineLevel="0" collapsed="false">
      <c r="A16" s="8" t="n">
        <v>13</v>
      </c>
      <c r="B16" s="17"/>
      <c r="C16" s="10" t="s">
        <v>92</v>
      </c>
      <c r="D16" s="17"/>
      <c r="E16" s="17"/>
      <c r="F16" s="17"/>
      <c r="G16" s="17"/>
    </row>
    <row r="17" customFormat="false" ht="30" hidden="false" customHeight="true" outlineLevel="0" collapsed="false">
      <c r="A17" s="4" t="n">
        <v>14</v>
      </c>
      <c r="B17" s="18"/>
      <c r="C17" s="6" t="s">
        <v>93</v>
      </c>
      <c r="D17" s="18"/>
      <c r="E17" s="18"/>
      <c r="F17" s="18"/>
      <c r="G17" s="18"/>
    </row>
    <row r="18" customFormat="false" ht="30" hidden="false" customHeight="true" outlineLevel="0" collapsed="false">
      <c r="A18" s="8" t="n">
        <v>15</v>
      </c>
      <c r="B18" s="17"/>
      <c r="C18" s="10" t="s">
        <v>94</v>
      </c>
      <c r="D18" s="17"/>
      <c r="E18" s="17"/>
      <c r="F18" s="17"/>
      <c r="G18" s="17"/>
    </row>
    <row r="20" customFormat="false" ht="25.5" hidden="false" customHeight="true" outlineLevel="0" collapsed="false">
      <c r="A20" s="19" t="s">
        <v>95</v>
      </c>
      <c r="B20" s="19"/>
      <c r="C20" s="19"/>
      <c r="D20" s="19"/>
      <c r="E20" s="19"/>
      <c r="F20" s="19"/>
      <c r="G20" s="19"/>
    </row>
    <row r="21" customFormat="false" ht="15" hidden="false" customHeight="true" outlineLevel="0" collapsed="false">
      <c r="A21" s="33" t="s">
        <v>96</v>
      </c>
      <c r="B21" s="33"/>
      <c r="C21" s="33"/>
      <c r="D21" s="34" t="n">
        <f aca="false">COUNTIF(D4:D18,"Active")</f>
        <v>0</v>
      </c>
      <c r="E21" s="35"/>
      <c r="F21" s="35"/>
      <c r="G21" s="35"/>
    </row>
    <row r="22" customFormat="false" ht="15" hidden="false" customHeight="true" outlineLevel="0" collapsed="false">
      <c r="A22" s="33" t="s">
        <v>97</v>
      </c>
      <c r="B22" s="33"/>
      <c r="C22" s="33"/>
      <c r="D22" s="34" t="n">
        <f aca="false">IFERROR(COUNTIF(D4:D18,"Active")/15*100,0)</f>
        <v>0</v>
      </c>
      <c r="E22" s="35"/>
      <c r="F22" s="35"/>
      <c r="G22" s="35"/>
    </row>
    <row r="23" customFormat="false" ht="15" hidden="false" customHeight="true" outlineLevel="0" collapsed="false">
      <c r="A23" s="33" t="s">
        <v>98</v>
      </c>
      <c r="B23" s="33"/>
      <c r="C23" s="33"/>
      <c r="D23" s="34" t="n">
        <f aca="false">COUNTIF(E4:E18,"Binding")</f>
        <v>0</v>
      </c>
      <c r="E23" s="35"/>
      <c r="F23" s="35"/>
      <c r="G23" s="35"/>
    </row>
  </sheetData>
  <mergeCells count="6">
    <mergeCell ref="A1:G1"/>
    <mergeCell ref="A2:G2"/>
    <mergeCell ref="A20:G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20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6" t="s">
        <v>99</v>
      </c>
      <c r="B1" s="36"/>
      <c r="C1" s="36"/>
      <c r="D1" s="36"/>
      <c r="E1" s="36"/>
      <c r="F1" s="36"/>
      <c r="G1" s="36"/>
    </row>
    <row r="2" customFormat="false" ht="25.5" hidden="false" customHeight="true" outlineLevel="0" collapsed="false">
      <c r="A2" s="37" t="s">
        <v>100</v>
      </c>
      <c r="B2" s="37"/>
      <c r="C2" s="37"/>
      <c r="D2" s="37"/>
      <c r="E2" s="37"/>
      <c r="F2" s="37"/>
      <c r="G2" s="37"/>
    </row>
    <row r="3" customFormat="false" ht="23.85" hidden="false" customHeight="false" outlineLevel="0" collapsed="false">
      <c r="A3" s="38" t="s">
        <v>2</v>
      </c>
      <c r="B3" s="38" t="s">
        <v>39</v>
      </c>
      <c r="C3" s="38" t="s">
        <v>101</v>
      </c>
      <c r="D3" s="38" t="s">
        <v>102</v>
      </c>
      <c r="E3" s="38" t="s">
        <v>103</v>
      </c>
      <c r="F3" s="38" t="s">
        <v>104</v>
      </c>
      <c r="G3" s="38" t="s">
        <v>79</v>
      </c>
    </row>
    <row r="4" customFormat="false" ht="30" hidden="false" customHeight="true" outlineLevel="0" collapsed="false">
      <c r="A4" s="8" t="n">
        <v>1</v>
      </c>
      <c r="B4" s="17"/>
      <c r="C4" s="10" t="s">
        <v>105</v>
      </c>
      <c r="D4" s="17"/>
      <c r="E4" s="17"/>
      <c r="F4" s="39" t="str">
        <f aca="false">IF(AND(D4&lt;&gt;"",E4&lt;&gt;""),IF(D4&lt;=E4,"Y","N"),"—")</f>
        <v>—</v>
      </c>
      <c r="G4" s="17"/>
    </row>
    <row r="5" customFormat="false" ht="30" hidden="false" customHeight="true" outlineLevel="0" collapsed="false">
      <c r="A5" s="4" t="n">
        <v>2</v>
      </c>
      <c r="B5" s="18"/>
      <c r="C5" s="6" t="s">
        <v>106</v>
      </c>
      <c r="D5" s="18"/>
      <c r="E5" s="18"/>
      <c r="F5" s="40" t="str">
        <f aca="false">IF(AND(D5&lt;&gt;"",E5&lt;&gt;""),IF(D5&lt;=E5,"Y","N"),"—")</f>
        <v>—</v>
      </c>
      <c r="G5" s="18"/>
    </row>
    <row r="6" customFormat="false" ht="30" hidden="false" customHeight="true" outlineLevel="0" collapsed="false">
      <c r="A6" s="8" t="n">
        <v>3</v>
      </c>
      <c r="B6" s="17"/>
      <c r="C6" s="10" t="s">
        <v>107</v>
      </c>
      <c r="D6" s="17"/>
      <c r="E6" s="17"/>
      <c r="F6" s="39" t="str">
        <f aca="false">IF(AND(D6&lt;&gt;"",E6&lt;&gt;""),IF(D6&lt;=E6,"Y","N"),"—")</f>
        <v>—</v>
      </c>
      <c r="G6" s="17"/>
    </row>
    <row r="7" customFormat="false" ht="30" hidden="false" customHeight="true" outlineLevel="0" collapsed="false">
      <c r="A7" s="4" t="n">
        <v>4</v>
      </c>
      <c r="B7" s="18"/>
      <c r="C7" s="6" t="s">
        <v>108</v>
      </c>
      <c r="D7" s="18"/>
      <c r="E7" s="18"/>
      <c r="F7" s="40" t="str">
        <f aca="false">IF(AND(D7&lt;&gt;"",E7&lt;&gt;""),IF(D7&lt;=E7,"Y","N"),"—")</f>
        <v>—</v>
      </c>
      <c r="G7" s="18"/>
    </row>
    <row r="8" customFormat="false" ht="30" hidden="false" customHeight="true" outlineLevel="0" collapsed="false">
      <c r="A8" s="8" t="n">
        <v>5</v>
      </c>
      <c r="B8" s="17"/>
      <c r="C8" s="10" t="s">
        <v>109</v>
      </c>
      <c r="D8" s="17"/>
      <c r="E8" s="17"/>
      <c r="F8" s="39" t="str">
        <f aca="false">IF(AND(D8&lt;&gt;"",E8&lt;&gt;""),IF(D8&lt;=E8,"Y","N"),"—")</f>
        <v>—</v>
      </c>
      <c r="G8" s="17"/>
    </row>
    <row r="9" customFormat="false" ht="30" hidden="false" customHeight="true" outlineLevel="0" collapsed="false">
      <c r="A9" s="4" t="n">
        <v>6</v>
      </c>
      <c r="B9" s="18"/>
      <c r="C9" s="6" t="s">
        <v>110</v>
      </c>
      <c r="D9" s="18"/>
      <c r="E9" s="18"/>
      <c r="F9" s="40" t="str">
        <f aca="false">IF(AND(D9&lt;&gt;"",E9&lt;&gt;""),IF(D9&lt;=E9,"Y","N"),"—")</f>
        <v>—</v>
      </c>
      <c r="G9" s="18"/>
    </row>
    <row r="10" customFormat="false" ht="30" hidden="false" customHeight="true" outlineLevel="0" collapsed="false">
      <c r="A10" s="8" t="n">
        <v>7</v>
      </c>
      <c r="B10" s="17"/>
      <c r="C10" s="10" t="s">
        <v>111</v>
      </c>
      <c r="D10" s="17"/>
      <c r="E10" s="17"/>
      <c r="F10" s="39" t="str">
        <f aca="false">IF(AND(D10&lt;&gt;"",E10&lt;&gt;""),IF(D10&lt;=E10,"Y","N"),"—")</f>
        <v>—</v>
      </c>
      <c r="G10" s="17"/>
    </row>
    <row r="11" customFormat="false" ht="30" hidden="false" customHeight="true" outlineLevel="0" collapsed="false">
      <c r="A11" s="4" t="n">
        <v>8</v>
      </c>
      <c r="B11" s="18"/>
      <c r="C11" s="6" t="s">
        <v>112</v>
      </c>
      <c r="D11" s="18"/>
      <c r="E11" s="18"/>
      <c r="F11" s="40" t="str">
        <f aca="false">IF(AND(D11&lt;&gt;"",E11&lt;&gt;""),IF(D11&lt;=E11,"Y","N"),"—")</f>
        <v>—</v>
      </c>
      <c r="G11" s="18"/>
    </row>
    <row r="12" customFormat="false" ht="30" hidden="false" customHeight="true" outlineLevel="0" collapsed="false">
      <c r="A12" s="8" t="n">
        <v>9</v>
      </c>
      <c r="B12" s="17"/>
      <c r="C12" s="10" t="s">
        <v>113</v>
      </c>
      <c r="D12" s="17"/>
      <c r="E12" s="17"/>
      <c r="F12" s="39" t="str">
        <f aca="false">IF(AND(D12&lt;&gt;"",E12&lt;&gt;""),IF(D12&lt;=E12,"Y","N"),"—")</f>
        <v>—</v>
      </c>
      <c r="G12" s="17"/>
    </row>
    <row r="13" customFormat="false" ht="30" hidden="false" customHeight="true" outlineLevel="0" collapsed="false">
      <c r="A13" s="4" t="n">
        <v>10</v>
      </c>
      <c r="B13" s="18"/>
      <c r="C13" s="6" t="s">
        <v>114</v>
      </c>
      <c r="D13" s="18"/>
      <c r="E13" s="18"/>
      <c r="F13" s="40" t="str">
        <f aca="false">IF(AND(D13&lt;&gt;"",E13&lt;&gt;""),IF(D13&lt;=E13,"Y","N"),"—")</f>
        <v>—</v>
      </c>
      <c r="G13" s="18"/>
    </row>
    <row r="14" customFormat="false" ht="30" hidden="false" customHeight="true" outlineLevel="0" collapsed="false">
      <c r="A14" s="8" t="n">
        <v>11</v>
      </c>
      <c r="B14" s="17"/>
      <c r="C14" s="10" t="s">
        <v>115</v>
      </c>
      <c r="D14" s="17"/>
      <c r="E14" s="17"/>
      <c r="F14" s="39" t="str">
        <f aca="false">IF(AND(D14&lt;&gt;"",E14&lt;&gt;""),IF(D14&lt;=E14,"Y","N"),"—")</f>
        <v>—</v>
      </c>
      <c r="G14" s="17"/>
    </row>
    <row r="15" customFormat="false" ht="30" hidden="false" customHeight="true" outlineLevel="0" collapsed="false">
      <c r="A15" s="4" t="n">
        <v>12</v>
      </c>
      <c r="B15" s="18"/>
      <c r="C15" s="6" t="s">
        <v>116</v>
      </c>
      <c r="D15" s="18"/>
      <c r="E15" s="18"/>
      <c r="F15" s="40" t="str">
        <f aca="false">IF(AND(D15&lt;&gt;"",E15&lt;&gt;""),IF(D15&lt;=E15,"Y","N"),"—")</f>
        <v>—</v>
      </c>
      <c r="G15" s="18"/>
    </row>
    <row r="16" customFormat="false" ht="30" hidden="false" customHeight="true" outlineLevel="0" collapsed="false">
      <c r="A16" s="8" t="n">
        <v>13</v>
      </c>
      <c r="B16" s="17"/>
      <c r="C16" s="10" t="s">
        <v>117</v>
      </c>
      <c r="D16" s="17"/>
      <c r="E16" s="17"/>
      <c r="F16" s="39" t="str">
        <f aca="false">IF(AND(D16&lt;&gt;"",E16&lt;&gt;""),IF(D16&lt;=E16,"Y","N"),"—")</f>
        <v>—</v>
      </c>
      <c r="G16" s="17"/>
    </row>
    <row r="17" customFormat="false" ht="30" hidden="false" customHeight="true" outlineLevel="0" collapsed="false">
      <c r="A17" s="4" t="n">
        <v>14</v>
      </c>
      <c r="B17" s="18"/>
      <c r="C17" s="6" t="s">
        <v>118</v>
      </c>
      <c r="D17" s="18"/>
      <c r="E17" s="18"/>
      <c r="F17" s="40" t="str">
        <f aca="false">IF(AND(D17&lt;&gt;"",E17&lt;&gt;""),IF(D17&lt;=E17,"Y","N"),"—")</f>
        <v>—</v>
      </c>
      <c r="G17" s="18"/>
    </row>
    <row r="18" customFormat="false" ht="30" hidden="false" customHeight="true" outlineLevel="0" collapsed="false">
      <c r="A18" s="8" t="n">
        <v>15</v>
      </c>
      <c r="B18" s="17"/>
      <c r="C18" s="10" t="s">
        <v>119</v>
      </c>
      <c r="D18" s="17"/>
      <c r="E18" s="17"/>
      <c r="F18" s="39" t="str">
        <f aca="false">IF(AND(D18&lt;&gt;"",E18&lt;&gt;""),IF(D18&lt;=E18,"Y","N"),"—")</f>
        <v>—</v>
      </c>
      <c r="G18" s="17"/>
    </row>
    <row r="20" customFormat="false" ht="25.5" hidden="false" customHeight="true" outlineLevel="0" collapsed="false">
      <c r="A20" s="19" t="s">
        <v>120</v>
      </c>
      <c r="B20" s="19"/>
      <c r="C20" s="19"/>
      <c r="D20" s="19"/>
      <c r="E20" s="19"/>
      <c r="F20" s="19"/>
      <c r="G20" s="19"/>
    </row>
    <row r="21" customFormat="false" ht="15" hidden="false" customHeight="true" outlineLevel="0" collapsed="false">
      <c r="A21" s="33" t="s">
        <v>121</v>
      </c>
      <c r="B21" s="33"/>
      <c r="C21" s="33"/>
      <c r="D21" s="34" t="n">
        <f aca="false">COUNTIF(F4:F18,"Y")</f>
        <v>0</v>
      </c>
      <c r="E21" s="35"/>
      <c r="F21" s="35"/>
      <c r="G21" s="35"/>
    </row>
    <row r="22" customFormat="false" ht="15" hidden="false" customHeight="true" outlineLevel="0" collapsed="false">
      <c r="A22" s="33" t="s">
        <v>122</v>
      </c>
      <c r="B22" s="33"/>
      <c r="C22" s="33"/>
      <c r="D22" s="34" t="n">
        <f aca="false">IFERROR(COUNTIF(F4:F18,"Y")/15*100,0)</f>
        <v>0</v>
      </c>
      <c r="E22" s="35"/>
      <c r="F22" s="35"/>
      <c r="G22" s="35"/>
    </row>
    <row r="23" customFormat="false" ht="15" hidden="false" customHeight="true" outlineLevel="0" collapsed="false">
      <c r="A23" s="33" t="s">
        <v>123</v>
      </c>
      <c r="B23" s="33"/>
      <c r="C23" s="33"/>
      <c r="D23" s="34" t="n">
        <f aca="false">IF(COUNTA(D4:D18)&gt;0,AVERAGE(D4:D18),0)</f>
        <v>0</v>
      </c>
      <c r="E23" s="35"/>
      <c r="F23" s="35"/>
      <c r="G23" s="35"/>
    </row>
  </sheetData>
  <mergeCells count="6">
    <mergeCell ref="A1:G1"/>
    <mergeCell ref="A2:G2"/>
    <mergeCell ref="A20:G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1" t="s">
        <v>124</v>
      </c>
      <c r="B1" s="41"/>
      <c r="C1" s="41"/>
      <c r="D1" s="41"/>
      <c r="E1" s="41"/>
      <c r="F1" s="41"/>
      <c r="G1" s="41"/>
      <c r="H1" s="41"/>
      <c r="I1" s="41"/>
      <c r="J1" s="41"/>
    </row>
    <row r="2" customFormat="false" ht="25.5" hidden="false" customHeight="true" outlineLevel="0" collapsed="false">
      <c r="A2" s="42" t="s">
        <v>125</v>
      </c>
      <c r="B2" s="42"/>
      <c r="C2" s="42"/>
      <c r="D2" s="42"/>
      <c r="E2" s="42"/>
      <c r="F2" s="42"/>
      <c r="G2" s="42"/>
      <c r="H2" s="42"/>
      <c r="I2" s="42"/>
      <c r="J2" s="42"/>
    </row>
    <row r="3" customFormat="false" ht="35.05" hidden="false" customHeight="false" outlineLevel="0" collapsed="false">
      <c r="A3" s="43" t="s">
        <v>30</v>
      </c>
      <c r="B3" s="43" t="s">
        <v>39</v>
      </c>
      <c r="C3" s="43" t="s">
        <v>50</v>
      </c>
      <c r="D3" s="43" t="s">
        <v>126</v>
      </c>
      <c r="E3" s="43" t="s">
        <v>127</v>
      </c>
      <c r="F3" s="43" t="s">
        <v>128</v>
      </c>
      <c r="G3" s="43" t="s">
        <v>129</v>
      </c>
      <c r="H3" s="43" t="s">
        <v>130</v>
      </c>
      <c r="I3" s="43" t="s">
        <v>131</v>
      </c>
      <c r="J3" s="43" t="s">
        <v>48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24" t="n">
        <f aca="false">IF(D4&gt;0,E4/D4*100,0)</f>
        <v>0</v>
      </c>
      <c r="G4" s="17"/>
      <c r="H4" s="24" t="n">
        <f aca="false">IF(D4&gt;0,G4/D4,0)</f>
        <v>0</v>
      </c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25" t="n">
        <f aca="false">IF(D5&gt;0,E5/D5*100,0)</f>
        <v>0</v>
      </c>
      <c r="G5" s="18"/>
      <c r="H5" s="25" t="n">
        <f aca="false">IF(D5&gt;0,G5/D5,0)</f>
        <v>0</v>
      </c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24" t="n">
        <f aca="false">IF(D6&gt;0,E6/D6*100,0)</f>
        <v>0</v>
      </c>
      <c r="G6" s="17"/>
      <c r="H6" s="24" t="n">
        <f aca="false">IF(D6&gt;0,G6/D6,0)</f>
        <v>0</v>
      </c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25" t="n">
        <f aca="false">IF(D7&gt;0,E7/D7*100,0)</f>
        <v>0</v>
      </c>
      <c r="G7" s="18"/>
      <c r="H7" s="25" t="n">
        <f aca="false">IF(D7&gt;0,G7/D7,0)</f>
        <v>0</v>
      </c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24" t="n">
        <f aca="false">IF(D8&gt;0,E8/D8*100,0)</f>
        <v>0</v>
      </c>
      <c r="G8" s="17"/>
      <c r="H8" s="24" t="n">
        <f aca="false">IF(D8&gt;0,G8/D8,0)</f>
        <v>0</v>
      </c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25" t="n">
        <f aca="false">IF(D9&gt;0,E9/D9*100,0)</f>
        <v>0</v>
      </c>
      <c r="G9" s="18"/>
      <c r="H9" s="25" t="n">
        <f aca="false">IF(D9&gt;0,G9/D9,0)</f>
        <v>0</v>
      </c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24" t="n">
        <f aca="false">IF(D10&gt;0,E10/D10*100,0)</f>
        <v>0</v>
      </c>
      <c r="G10" s="17"/>
      <c r="H10" s="24" t="n">
        <f aca="false">IF(D10&gt;0,G10/D10,0)</f>
        <v>0</v>
      </c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25" t="n">
        <f aca="false">IF(D11&gt;0,E11/D11*100,0)</f>
        <v>0</v>
      </c>
      <c r="G11" s="18"/>
      <c r="H11" s="25" t="n">
        <f aca="false">IF(D11&gt;0,G11/D11,0)</f>
        <v>0</v>
      </c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24" t="n">
        <f aca="false">IF(D12&gt;0,E12/D12*100,0)</f>
        <v>0</v>
      </c>
      <c r="G12" s="17"/>
      <c r="H12" s="24" t="n">
        <f aca="false">IF(D12&gt;0,G12/D12,0)</f>
        <v>0</v>
      </c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25" t="n">
        <f aca="false">IF(D13&gt;0,E13/D13*100,0)</f>
        <v>0</v>
      </c>
      <c r="G13" s="18"/>
      <c r="H13" s="25" t="n">
        <f aca="false">IF(D13&gt;0,G13/D13,0)</f>
        <v>0</v>
      </c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24" t="n">
        <f aca="false">IF(D14&gt;0,E14/D14*100,0)</f>
        <v>0</v>
      </c>
      <c r="G14" s="17"/>
      <c r="H14" s="24" t="n">
        <f aca="false">IF(D14&gt;0,G14/D14,0)</f>
        <v>0</v>
      </c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25" t="n">
        <f aca="false">IF(D15&gt;0,E15/D15*100,0)</f>
        <v>0</v>
      </c>
      <c r="G15" s="18"/>
      <c r="H15" s="25" t="n">
        <f aca="false">IF(D15&gt;0,G15/D15,0)</f>
        <v>0</v>
      </c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24" t="n">
        <f aca="false">IF(D16&gt;0,E16/D16*100,0)</f>
        <v>0</v>
      </c>
      <c r="G16" s="17"/>
      <c r="H16" s="24" t="n">
        <f aca="false">IF(D16&gt;0,G16/D16,0)</f>
        <v>0</v>
      </c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25" t="n">
        <f aca="false">IF(D17&gt;0,E17/D17*100,0)</f>
        <v>0</v>
      </c>
      <c r="G17" s="18"/>
      <c r="H17" s="25" t="n">
        <f aca="false">IF(D17&gt;0,G17/D17,0)</f>
        <v>0</v>
      </c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24" t="n">
        <f aca="false">IF(D18&gt;0,E18/D18*100,0)</f>
        <v>0</v>
      </c>
      <c r="G18" s="17"/>
      <c r="H18" s="24" t="n">
        <f aca="false">IF(D18&gt;0,G18/D18,0)</f>
        <v>0</v>
      </c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25" t="n">
        <f aca="false">IF(D19&gt;0,E19/D19*100,0)</f>
        <v>0</v>
      </c>
      <c r="G19" s="18"/>
      <c r="H19" s="25" t="n">
        <f aca="false">IF(D19&gt;0,G19/D19,0)</f>
        <v>0</v>
      </c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24" t="n">
        <f aca="false">IF(D20&gt;0,E20/D20*100,0)</f>
        <v>0</v>
      </c>
      <c r="G20" s="17"/>
      <c r="H20" s="24" t="n">
        <f aca="false">IF(D20&gt;0,G20/D20,0)</f>
        <v>0</v>
      </c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25" t="n">
        <f aca="false">IF(D21&gt;0,E21/D21*100,0)</f>
        <v>0</v>
      </c>
      <c r="G21" s="18"/>
      <c r="H21" s="25" t="n">
        <f aca="false">IF(D21&gt;0,G21/D21,0)</f>
        <v>0</v>
      </c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24" t="n">
        <f aca="false">IF(D22&gt;0,E22/D22*100,0)</f>
        <v>0</v>
      </c>
      <c r="G22" s="17"/>
      <c r="H22" s="24" t="n">
        <f aca="false">IF(D22&gt;0,G22/D22,0)</f>
        <v>0</v>
      </c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25" t="n">
        <f aca="false">IF(D23&gt;0,E23/D23*100,0)</f>
        <v>0</v>
      </c>
      <c r="G23" s="18"/>
      <c r="H23" s="25" t="n">
        <f aca="false">IF(D23&gt;0,G23/D23,0)</f>
        <v>0</v>
      </c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24" t="n">
        <f aca="false">IF(D24&gt;0,E24/D24*100,0)</f>
        <v>0</v>
      </c>
      <c r="G24" s="17"/>
      <c r="H24" s="24" t="n">
        <f aca="false">IF(D24&gt;0,G24/D24,0)</f>
        <v>0</v>
      </c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25" t="n">
        <f aca="false">IF(D25&gt;0,E25/D25*100,0)</f>
        <v>0</v>
      </c>
      <c r="G25" s="18"/>
      <c r="H25" s="25" t="n">
        <f aca="false">IF(D25&gt;0,G25/D25,0)</f>
        <v>0</v>
      </c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24" t="n">
        <f aca="false">IF(D26&gt;0,E26/D26*100,0)</f>
        <v>0</v>
      </c>
      <c r="G26" s="17"/>
      <c r="H26" s="24" t="n">
        <f aca="false">IF(D26&gt;0,G26/D26,0)</f>
        <v>0</v>
      </c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25" t="n">
        <f aca="false">IF(D27&gt;0,E27/D27*100,0)</f>
        <v>0</v>
      </c>
      <c r="G27" s="18"/>
      <c r="H27" s="25" t="n">
        <f aca="false">IF(D27&gt;0,G27/D27,0)</f>
        <v>0</v>
      </c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24" t="n">
        <f aca="false">IF(D28&gt;0,E28/D28*100,0)</f>
        <v>0</v>
      </c>
      <c r="G28" s="17"/>
      <c r="H28" s="24" t="n">
        <f aca="false">IF(D28&gt;0,G28/D28,0)</f>
        <v>0</v>
      </c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25" t="n">
        <f aca="false">IF(D29&gt;0,E29/D29*100,0)</f>
        <v>0</v>
      </c>
      <c r="G29" s="18"/>
      <c r="H29" s="25" t="n">
        <f aca="false">IF(D29&gt;0,G29/D29,0)</f>
        <v>0</v>
      </c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24" t="n">
        <f aca="false">IF(D30&gt;0,E30/D30*100,0)</f>
        <v>0</v>
      </c>
      <c r="G30" s="17"/>
      <c r="H30" s="24" t="n">
        <f aca="false">IF(D30&gt;0,G30/D30,0)</f>
        <v>0</v>
      </c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25" t="n">
        <f aca="false">IF(D31&gt;0,E31/D31*100,0)</f>
        <v>0</v>
      </c>
      <c r="G31" s="18"/>
      <c r="H31" s="25" t="n">
        <f aca="false">IF(D31&gt;0,G31/D31,0)</f>
        <v>0</v>
      </c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24" t="n">
        <f aca="false">IF(D32&gt;0,E32/D32*100,0)</f>
        <v>0</v>
      </c>
      <c r="G32" s="17"/>
      <c r="H32" s="24" t="n">
        <f aca="false">IF(D32&gt;0,G32/D32,0)</f>
        <v>0</v>
      </c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25" t="n">
        <f aca="false">IF(D33&gt;0,E33/D33*100,0)</f>
        <v>0</v>
      </c>
      <c r="G33" s="18"/>
      <c r="H33" s="25" t="n">
        <f aca="false">IF(D33&gt;0,G33/D33,0)</f>
        <v>0</v>
      </c>
      <c r="I33" s="18"/>
      <c r="J33" s="18"/>
    </row>
    <row r="35" customFormat="false" ht="25.5" hidden="false" customHeight="true" outlineLevel="0" collapsed="false">
      <c r="A35" s="44" t="s">
        <v>132</v>
      </c>
      <c r="B35" s="44"/>
      <c r="C35" s="44"/>
      <c r="D35" s="44"/>
      <c r="E35" s="44"/>
      <c r="F35" s="44"/>
      <c r="G35" s="44"/>
      <c r="H35" s="44"/>
      <c r="I35" s="44"/>
      <c r="J35" s="44"/>
    </row>
    <row r="36" customFormat="false" ht="35.05" hidden="false" customHeight="false" outlineLevel="0" collapsed="false">
      <c r="A36" s="45" t="s">
        <v>30</v>
      </c>
      <c r="B36" s="45" t="s">
        <v>133</v>
      </c>
      <c r="C36" s="45" t="s">
        <v>134</v>
      </c>
      <c r="D36" s="45" t="s">
        <v>135</v>
      </c>
      <c r="E36" s="45" t="s">
        <v>136</v>
      </c>
      <c r="F36" s="45" t="s">
        <v>137</v>
      </c>
      <c r="G36" s="45" t="s">
        <v>138</v>
      </c>
      <c r="H36" s="45" t="s">
        <v>139</v>
      </c>
      <c r="I36" s="45" t="s">
        <v>140</v>
      </c>
      <c r="J36" s="45" t="s">
        <v>39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18"/>
      <c r="I53" s="18"/>
      <c r="J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18"/>
      <c r="G61" s="18"/>
      <c r="H61" s="18"/>
      <c r="I61" s="18"/>
      <c r="J61" s="18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46" t="s">
        <v>141</v>
      </c>
      <c r="B1" s="46"/>
      <c r="C1" s="46"/>
      <c r="D1" s="46"/>
      <c r="E1" s="46"/>
      <c r="F1" s="46"/>
      <c r="G1" s="46"/>
    </row>
    <row r="2" customFormat="false" ht="25.5" hidden="false" customHeight="true" outlineLevel="0" collapsed="false">
      <c r="A2" s="47" t="s">
        <v>142</v>
      </c>
      <c r="B2" s="47"/>
      <c r="C2" s="47"/>
      <c r="D2" s="47"/>
      <c r="E2" s="47"/>
      <c r="F2" s="47"/>
      <c r="G2" s="47"/>
    </row>
    <row r="3" customFormat="false" ht="23.85" hidden="false" customHeight="false" outlineLevel="0" collapsed="false">
      <c r="A3" s="48" t="s">
        <v>2</v>
      </c>
      <c r="B3" s="48" t="s">
        <v>39</v>
      </c>
      <c r="C3" s="48" t="s">
        <v>143</v>
      </c>
      <c r="D3" s="48" t="s">
        <v>144</v>
      </c>
      <c r="E3" s="48" t="s">
        <v>145</v>
      </c>
      <c r="F3" s="48" t="s">
        <v>34</v>
      </c>
      <c r="G3" s="48" t="s">
        <v>79</v>
      </c>
    </row>
    <row r="4" customFormat="false" ht="27.75" hidden="false" customHeight="true" outlineLevel="0" collapsed="false">
      <c r="A4" s="8" t="n">
        <v>1</v>
      </c>
      <c r="B4" s="17"/>
      <c r="C4" s="10" t="s">
        <v>146</v>
      </c>
      <c r="D4" s="17"/>
      <c r="E4" s="17"/>
      <c r="F4" s="17"/>
      <c r="G4" s="17"/>
    </row>
    <row r="5" customFormat="false" ht="27.75" hidden="false" customHeight="true" outlineLevel="0" collapsed="false">
      <c r="A5" s="4" t="n">
        <v>2</v>
      </c>
      <c r="B5" s="18"/>
      <c r="C5" s="6" t="s">
        <v>147</v>
      </c>
      <c r="D5" s="18"/>
      <c r="E5" s="18"/>
      <c r="F5" s="18"/>
      <c r="G5" s="18"/>
    </row>
    <row r="6" customFormat="false" ht="27.75" hidden="false" customHeight="true" outlineLevel="0" collapsed="false">
      <c r="A6" s="8" t="n">
        <v>3</v>
      </c>
      <c r="B6" s="17"/>
      <c r="C6" s="10" t="s">
        <v>148</v>
      </c>
      <c r="D6" s="17"/>
      <c r="E6" s="17"/>
      <c r="F6" s="17"/>
      <c r="G6" s="17"/>
    </row>
    <row r="7" customFormat="false" ht="27.75" hidden="false" customHeight="true" outlineLevel="0" collapsed="false">
      <c r="A7" s="4" t="n">
        <v>4</v>
      </c>
      <c r="B7" s="18"/>
      <c r="C7" s="6" t="s">
        <v>149</v>
      </c>
      <c r="D7" s="18"/>
      <c r="E7" s="18"/>
      <c r="F7" s="18"/>
      <c r="G7" s="18"/>
    </row>
    <row r="8" customFormat="false" ht="27.75" hidden="false" customHeight="true" outlineLevel="0" collapsed="false">
      <c r="A8" s="8" t="n">
        <v>5</v>
      </c>
      <c r="B8" s="17"/>
      <c r="C8" s="10" t="s">
        <v>150</v>
      </c>
      <c r="D8" s="17"/>
      <c r="E8" s="17"/>
      <c r="F8" s="17"/>
      <c r="G8" s="17"/>
    </row>
    <row r="9" customFormat="false" ht="27.75" hidden="false" customHeight="true" outlineLevel="0" collapsed="false">
      <c r="A9" s="4" t="n">
        <v>6</v>
      </c>
      <c r="B9" s="18"/>
      <c r="C9" s="6" t="s">
        <v>151</v>
      </c>
      <c r="D9" s="18"/>
      <c r="E9" s="18"/>
      <c r="F9" s="18"/>
      <c r="G9" s="18"/>
    </row>
    <row r="10" customFormat="false" ht="27.75" hidden="false" customHeight="true" outlineLevel="0" collapsed="false">
      <c r="A10" s="8" t="n">
        <v>7</v>
      </c>
      <c r="B10" s="17"/>
      <c r="C10" s="10" t="s">
        <v>152</v>
      </c>
      <c r="D10" s="17"/>
      <c r="E10" s="17"/>
      <c r="F10" s="17"/>
      <c r="G10" s="17"/>
    </row>
    <row r="11" customFormat="false" ht="27.75" hidden="false" customHeight="true" outlineLevel="0" collapsed="false">
      <c r="A11" s="4" t="n">
        <v>8</v>
      </c>
      <c r="B11" s="18"/>
      <c r="C11" s="6" t="s">
        <v>153</v>
      </c>
      <c r="D11" s="18"/>
      <c r="E11" s="18"/>
      <c r="F11" s="18"/>
      <c r="G11" s="18"/>
    </row>
    <row r="12" customFormat="false" ht="27.75" hidden="false" customHeight="true" outlineLevel="0" collapsed="false">
      <c r="A12" s="8" t="n">
        <v>9</v>
      </c>
      <c r="B12" s="17"/>
      <c r="C12" s="10" t="s">
        <v>154</v>
      </c>
      <c r="D12" s="17"/>
      <c r="E12" s="17"/>
      <c r="F12" s="17"/>
      <c r="G12" s="17"/>
    </row>
    <row r="13" customFormat="false" ht="27.75" hidden="false" customHeight="true" outlineLevel="0" collapsed="false">
      <c r="A13" s="4" t="n">
        <v>10</v>
      </c>
      <c r="B13" s="18"/>
      <c r="C13" s="6" t="s">
        <v>155</v>
      </c>
      <c r="D13" s="18"/>
      <c r="E13" s="18"/>
      <c r="F13" s="18"/>
      <c r="G13" s="18"/>
    </row>
    <row r="14" customFormat="false" ht="27.75" hidden="false" customHeight="true" outlineLevel="0" collapsed="false">
      <c r="A14" s="8" t="n">
        <v>11</v>
      </c>
      <c r="B14" s="17"/>
      <c r="C14" s="10" t="s">
        <v>156</v>
      </c>
      <c r="D14" s="17"/>
      <c r="E14" s="17"/>
      <c r="F14" s="17"/>
      <c r="G14" s="17"/>
    </row>
    <row r="15" customFormat="false" ht="27.75" hidden="false" customHeight="true" outlineLevel="0" collapsed="false">
      <c r="A15" s="4" t="n">
        <v>12</v>
      </c>
      <c r="B15" s="18"/>
      <c r="C15" s="6" t="s">
        <v>157</v>
      </c>
      <c r="D15" s="18"/>
      <c r="E15" s="18"/>
      <c r="F15" s="18"/>
      <c r="G15" s="18"/>
    </row>
    <row r="16" customFormat="false" ht="27.75" hidden="false" customHeight="true" outlineLevel="0" collapsed="false">
      <c r="A16" s="8" t="n">
        <v>13</v>
      </c>
      <c r="B16" s="17"/>
      <c r="C16" s="10" t="s">
        <v>158</v>
      </c>
      <c r="D16" s="17"/>
      <c r="E16" s="17"/>
      <c r="F16" s="17"/>
      <c r="G16" s="17"/>
    </row>
    <row r="17" customFormat="false" ht="27.75" hidden="false" customHeight="true" outlineLevel="0" collapsed="false">
      <c r="A17" s="4" t="n">
        <v>14</v>
      </c>
      <c r="B17" s="18"/>
      <c r="C17" s="6" t="s">
        <v>159</v>
      </c>
      <c r="D17" s="18"/>
      <c r="E17" s="18"/>
      <c r="F17" s="18"/>
      <c r="G17" s="18"/>
    </row>
    <row r="18" customFormat="false" ht="27.75" hidden="false" customHeight="true" outlineLevel="0" collapsed="false">
      <c r="A18" s="8" t="n">
        <v>15</v>
      </c>
      <c r="B18" s="17"/>
      <c r="C18" s="10" t="s">
        <v>160</v>
      </c>
      <c r="D18" s="17"/>
      <c r="E18" s="17"/>
      <c r="F18" s="17"/>
      <c r="G18" s="17"/>
    </row>
    <row r="19" customFormat="false" ht="27.75" hidden="false" customHeight="true" outlineLevel="0" collapsed="false">
      <c r="A19" s="4" t="n">
        <v>16</v>
      </c>
      <c r="B19" s="18"/>
      <c r="C19" s="6" t="s">
        <v>161</v>
      </c>
      <c r="D19" s="18"/>
      <c r="E19" s="18"/>
      <c r="F19" s="18"/>
      <c r="G19" s="18"/>
    </row>
    <row r="20" customFormat="false" ht="27.75" hidden="false" customHeight="true" outlineLevel="0" collapsed="false">
      <c r="A20" s="8" t="n">
        <v>17</v>
      </c>
      <c r="B20" s="17"/>
      <c r="C20" s="10" t="s">
        <v>162</v>
      </c>
      <c r="D20" s="17"/>
      <c r="E20" s="17"/>
      <c r="F20" s="17"/>
      <c r="G20" s="17"/>
    </row>
    <row r="21" customFormat="false" ht="27.75" hidden="false" customHeight="true" outlineLevel="0" collapsed="false">
      <c r="A21" s="4" t="n">
        <v>18</v>
      </c>
      <c r="B21" s="18"/>
      <c r="C21" s="6" t="s">
        <v>163</v>
      </c>
      <c r="D21" s="18"/>
      <c r="E21" s="18"/>
      <c r="F21" s="18"/>
      <c r="G21" s="18"/>
    </row>
    <row r="22" customFormat="false" ht="27.75" hidden="false" customHeight="true" outlineLevel="0" collapsed="false">
      <c r="A22" s="8" t="n">
        <v>19</v>
      </c>
      <c r="B22" s="17"/>
      <c r="C22" s="10" t="s">
        <v>164</v>
      </c>
      <c r="D22" s="17"/>
      <c r="E22" s="17"/>
      <c r="F22" s="17"/>
      <c r="G22" s="17"/>
    </row>
    <row r="23" customFormat="false" ht="27.75" hidden="false" customHeight="true" outlineLevel="0" collapsed="false">
      <c r="A23" s="4" t="n">
        <v>20</v>
      </c>
      <c r="B23" s="18"/>
      <c r="C23" s="6" t="s">
        <v>165</v>
      </c>
      <c r="D23" s="18"/>
      <c r="E23" s="18"/>
      <c r="F23" s="18"/>
      <c r="G23" s="18"/>
    </row>
    <row r="25" customFormat="false" ht="25.5" hidden="false" customHeight="true" outlineLevel="0" collapsed="false">
      <c r="A25" s="19" t="s">
        <v>166</v>
      </c>
      <c r="B25" s="19"/>
      <c r="C25" s="19"/>
      <c r="D25" s="19"/>
      <c r="E25" s="19"/>
      <c r="F25" s="19"/>
      <c r="G25" s="19"/>
    </row>
    <row r="26" customFormat="false" ht="15" hidden="false" customHeight="true" outlineLevel="0" collapsed="false">
      <c r="A26" s="33" t="s">
        <v>167</v>
      </c>
      <c r="B26" s="33"/>
      <c r="C26" s="33"/>
      <c r="D26" s="34" t="n">
        <f aca="false">COUNTIF(D4:D23,"Y")</f>
        <v>0</v>
      </c>
      <c r="E26" s="35"/>
      <c r="F26" s="35"/>
      <c r="G26" s="35"/>
    </row>
    <row r="27" customFormat="false" ht="15" hidden="false" customHeight="true" outlineLevel="0" collapsed="false">
      <c r="A27" s="33" t="s">
        <v>168</v>
      </c>
      <c r="B27" s="33"/>
      <c r="C27" s="33"/>
      <c r="D27" s="34" t="n">
        <f aca="false">IFERROR(COUNTIF(D4:D23,"Y")/20*100,0)</f>
        <v>0</v>
      </c>
      <c r="E27" s="35"/>
      <c r="F27" s="35"/>
      <c r="G27" s="35"/>
    </row>
    <row r="28" customFormat="false" ht="15" hidden="false" customHeight="true" outlineLevel="0" collapsed="false">
      <c r="A28" s="33" t="s">
        <v>169</v>
      </c>
      <c r="B28" s="33"/>
      <c r="C28" s="33"/>
      <c r="D28" s="34" t="n">
        <f aca="false">IF(COUNTA(E4:E23)&gt;0,AVERAGE(E4:E23),0)</f>
        <v>0</v>
      </c>
      <c r="E28" s="35"/>
      <c r="F28" s="35"/>
      <c r="G28" s="35"/>
    </row>
    <row r="29" customFormat="false" ht="15" hidden="false" customHeight="true" outlineLevel="0" collapsed="false">
      <c r="A29" s="33" t="s">
        <v>170</v>
      </c>
      <c r="B29" s="33"/>
      <c r="C29" s="33"/>
      <c r="D29" s="34" t="n">
        <f aca="false">COUNTIF(D4:D23,"Planned")</f>
        <v>0</v>
      </c>
      <c r="E29" s="35"/>
      <c r="F29" s="35"/>
      <c r="G29" s="35"/>
    </row>
  </sheetData>
  <mergeCells count="7">
    <mergeCell ref="A1:G1"/>
    <mergeCell ref="A2:G2"/>
    <mergeCell ref="A25:G25"/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9" t="s">
        <v>171</v>
      </c>
      <c r="B1" s="49"/>
      <c r="C1" s="49"/>
      <c r="D1" s="49"/>
      <c r="E1" s="49"/>
      <c r="F1" s="49"/>
      <c r="G1" s="49"/>
      <c r="H1" s="49"/>
      <c r="I1" s="49"/>
    </row>
    <row r="2" customFormat="false" ht="25.5" hidden="false" customHeight="true" outlineLevel="0" collapsed="false">
      <c r="A2" s="15" t="s">
        <v>172</v>
      </c>
      <c r="B2" s="15"/>
      <c r="C2" s="15"/>
      <c r="D2" s="15"/>
      <c r="E2" s="15"/>
      <c r="F2" s="15"/>
      <c r="G2" s="15"/>
      <c r="H2" s="15"/>
      <c r="I2" s="15"/>
    </row>
    <row r="3" customFormat="false" ht="23.85" hidden="false" customHeight="false" outlineLevel="0" collapsed="false">
      <c r="A3" s="50" t="s">
        <v>30</v>
      </c>
      <c r="B3" s="50" t="s">
        <v>39</v>
      </c>
      <c r="C3" s="50" t="s">
        <v>173</v>
      </c>
      <c r="D3" s="50" t="s">
        <v>174</v>
      </c>
      <c r="E3" s="50" t="s">
        <v>175</v>
      </c>
      <c r="F3" s="50" t="s">
        <v>176</v>
      </c>
      <c r="G3" s="50" t="s">
        <v>177</v>
      </c>
      <c r="H3" s="50" t="s">
        <v>178</v>
      </c>
      <c r="I3" s="50" t="s">
        <v>179</v>
      </c>
    </row>
    <row r="4" customFormat="false" ht="15" hidden="false" customHeight="false" outlineLevel="0" collapsed="false">
      <c r="B4" s="51" t="s">
        <v>180</v>
      </c>
      <c r="C4" s="52" t="n">
        <v>0.25</v>
      </c>
      <c r="D4" s="52" t="n">
        <v>0.25</v>
      </c>
      <c r="E4" s="52" t="n">
        <v>0.2</v>
      </c>
      <c r="F4" s="52" t="n">
        <v>0.175</v>
      </c>
      <c r="G4" s="52" t="n">
        <v>0.125</v>
      </c>
    </row>
    <row r="5" customFormat="false" ht="15" hidden="false" customHeight="false" outlineLevel="0" collapsed="false">
      <c r="A5" s="4" t="n">
        <v>1</v>
      </c>
      <c r="B5" s="18"/>
      <c r="C5" s="53"/>
      <c r="D5" s="53"/>
      <c r="E5" s="53"/>
      <c r="F5" s="53"/>
      <c r="G5" s="53"/>
      <c r="H5" s="54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17"/>
      <c r="C6" s="55"/>
      <c r="D6" s="55"/>
      <c r="E6" s="55"/>
      <c r="F6" s="55"/>
      <c r="G6" s="55"/>
      <c r="H6" s="56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18"/>
      <c r="C7" s="53"/>
      <c r="D7" s="53"/>
      <c r="E7" s="53"/>
      <c r="F7" s="53"/>
      <c r="G7" s="53"/>
      <c r="H7" s="54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17"/>
      <c r="C8" s="55"/>
      <c r="D8" s="55"/>
      <c r="E8" s="55"/>
      <c r="F8" s="55"/>
      <c r="G8" s="55"/>
      <c r="H8" s="56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18"/>
      <c r="C9" s="53"/>
      <c r="D9" s="53"/>
      <c r="E9" s="53"/>
      <c r="F9" s="53"/>
      <c r="G9" s="53"/>
      <c r="H9" s="54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17"/>
      <c r="C10" s="55"/>
      <c r="D10" s="55"/>
      <c r="E10" s="55"/>
      <c r="F10" s="55"/>
      <c r="G10" s="55"/>
      <c r="H10" s="56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18"/>
      <c r="C11" s="53"/>
      <c r="D11" s="53"/>
      <c r="E11" s="53"/>
      <c r="F11" s="53"/>
      <c r="G11" s="53"/>
      <c r="H11" s="54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17"/>
      <c r="C12" s="55"/>
      <c r="D12" s="55"/>
      <c r="E12" s="55"/>
      <c r="F12" s="55"/>
      <c r="G12" s="55"/>
      <c r="H12" s="56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18"/>
      <c r="C13" s="53"/>
      <c r="D13" s="53"/>
      <c r="E13" s="53"/>
      <c r="F13" s="53"/>
      <c r="G13" s="53"/>
      <c r="H13" s="54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17"/>
      <c r="C14" s="55"/>
      <c r="D14" s="55"/>
      <c r="E14" s="55"/>
      <c r="F14" s="55"/>
      <c r="G14" s="55"/>
      <c r="H14" s="56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18"/>
      <c r="C15" s="53"/>
      <c r="D15" s="53"/>
      <c r="E15" s="53"/>
      <c r="F15" s="53"/>
      <c r="G15" s="53"/>
      <c r="H15" s="54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17"/>
      <c r="C16" s="55"/>
      <c r="D16" s="55"/>
      <c r="E16" s="55"/>
      <c r="F16" s="55"/>
      <c r="G16" s="55"/>
      <c r="H16" s="56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18"/>
      <c r="C17" s="53"/>
      <c r="D17" s="53"/>
      <c r="E17" s="53"/>
      <c r="F17" s="53"/>
      <c r="G17" s="53"/>
      <c r="H17" s="54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17"/>
      <c r="C18" s="55"/>
      <c r="D18" s="55"/>
      <c r="E18" s="55"/>
      <c r="F18" s="55"/>
      <c r="G18" s="55"/>
      <c r="H18" s="56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18"/>
      <c r="C19" s="53"/>
      <c r="D19" s="53"/>
      <c r="E19" s="53"/>
      <c r="F19" s="53"/>
      <c r="G19" s="53"/>
      <c r="H19" s="54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17"/>
      <c r="C20" s="55"/>
      <c r="D20" s="55"/>
      <c r="E20" s="55"/>
      <c r="F20" s="55"/>
      <c r="G20" s="55"/>
      <c r="H20" s="56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18"/>
      <c r="C21" s="53"/>
      <c r="D21" s="53"/>
      <c r="E21" s="53"/>
      <c r="F21" s="53"/>
      <c r="G21" s="53"/>
      <c r="H21" s="54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17"/>
      <c r="C22" s="55"/>
      <c r="D22" s="55"/>
      <c r="E22" s="55"/>
      <c r="F22" s="55"/>
      <c r="G22" s="55"/>
      <c r="H22" s="56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18"/>
      <c r="C23" s="53"/>
      <c r="D23" s="53"/>
      <c r="E23" s="53"/>
      <c r="F23" s="53"/>
      <c r="G23" s="53"/>
      <c r="H23" s="54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17"/>
      <c r="C24" s="55"/>
      <c r="D24" s="55"/>
      <c r="E24" s="55"/>
      <c r="F24" s="55"/>
      <c r="G24" s="55"/>
      <c r="H24" s="56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18"/>
      <c r="C25" s="53"/>
      <c r="D25" s="53"/>
      <c r="E25" s="53"/>
      <c r="F25" s="53"/>
      <c r="G25" s="53"/>
      <c r="H25" s="54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17"/>
      <c r="C26" s="55"/>
      <c r="D26" s="55"/>
      <c r="E26" s="55"/>
      <c r="F26" s="55"/>
      <c r="G26" s="55"/>
      <c r="H26" s="56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18"/>
      <c r="C27" s="53"/>
      <c r="D27" s="53"/>
      <c r="E27" s="53"/>
      <c r="F27" s="53"/>
      <c r="G27" s="53"/>
      <c r="H27" s="54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17"/>
      <c r="C28" s="55"/>
      <c r="D28" s="55"/>
      <c r="E28" s="55"/>
      <c r="F28" s="55"/>
      <c r="G28" s="55"/>
      <c r="H28" s="56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18"/>
      <c r="C29" s="53"/>
      <c r="D29" s="53"/>
      <c r="E29" s="53"/>
      <c r="F29" s="53"/>
      <c r="G29" s="53"/>
      <c r="H29" s="54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17"/>
      <c r="C30" s="55"/>
      <c r="D30" s="55"/>
      <c r="E30" s="55"/>
      <c r="F30" s="55"/>
      <c r="G30" s="55"/>
      <c r="H30" s="56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18"/>
      <c r="C31" s="53"/>
      <c r="D31" s="53"/>
      <c r="E31" s="53"/>
      <c r="F31" s="53"/>
      <c r="G31" s="53"/>
      <c r="H31" s="54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17"/>
      <c r="C32" s="55"/>
      <c r="D32" s="55"/>
      <c r="E32" s="55"/>
      <c r="F32" s="55"/>
      <c r="G32" s="55"/>
      <c r="H32" s="56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18"/>
      <c r="C33" s="53"/>
      <c r="D33" s="53"/>
      <c r="E33" s="53"/>
      <c r="F33" s="53"/>
      <c r="G33" s="53"/>
      <c r="H33" s="54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17"/>
      <c r="C34" s="55"/>
      <c r="D34" s="55"/>
      <c r="E34" s="55"/>
      <c r="F34" s="55"/>
      <c r="G34" s="55"/>
      <c r="H34" s="56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21" t="s">
        <v>181</v>
      </c>
      <c r="B1" s="21"/>
      <c r="C1" s="21"/>
      <c r="D1" s="21"/>
      <c r="E1" s="21"/>
      <c r="F1" s="21"/>
      <c r="G1" s="21"/>
      <c r="H1" s="21"/>
      <c r="I1" s="21"/>
    </row>
    <row r="2" customFormat="false" ht="25.5" hidden="false" customHeight="true" outlineLevel="0" collapsed="false">
      <c r="A2" s="22" t="s">
        <v>182</v>
      </c>
      <c r="B2" s="22"/>
      <c r="C2" s="22"/>
      <c r="D2" s="22"/>
      <c r="E2" s="22"/>
      <c r="F2" s="22"/>
      <c r="G2" s="22"/>
      <c r="H2" s="22"/>
      <c r="I2" s="22"/>
    </row>
    <row r="3" customFormat="false" ht="15" hidden="false" customHeight="false" outlineLevel="0" collapsed="false">
      <c r="A3" s="23" t="s">
        <v>30</v>
      </c>
      <c r="B3" s="23" t="s">
        <v>183</v>
      </c>
      <c r="C3" s="23" t="s">
        <v>184</v>
      </c>
      <c r="D3" s="23" t="s">
        <v>185</v>
      </c>
      <c r="E3" s="23" t="s">
        <v>186</v>
      </c>
      <c r="F3" s="23" t="s">
        <v>187</v>
      </c>
      <c r="G3" s="23" t="s">
        <v>188</v>
      </c>
      <c r="H3" s="23" t="s">
        <v>189</v>
      </c>
      <c r="I3" s="23" t="s">
        <v>190</v>
      </c>
    </row>
    <row r="4" customFormat="false" ht="15" hidden="false" customHeight="false" outlineLevel="0" collapsed="false">
      <c r="A4" s="57" t="n">
        <v>1</v>
      </c>
      <c r="B4" s="58" t="s">
        <v>191</v>
      </c>
      <c r="C4" s="59"/>
      <c r="D4" s="59"/>
      <c r="E4" s="59"/>
      <c r="F4" s="59"/>
      <c r="G4" s="59"/>
      <c r="H4" s="59"/>
      <c r="I4" s="57" t="s">
        <v>192</v>
      </c>
    </row>
    <row r="5" customFormat="false" ht="15" hidden="false" customHeight="false" outlineLevel="0" collapsed="false">
      <c r="A5" s="4" t="n">
        <v>2</v>
      </c>
      <c r="B5" s="5" t="s">
        <v>193</v>
      </c>
      <c r="C5" s="18"/>
      <c r="D5" s="18"/>
      <c r="E5" s="18"/>
      <c r="F5" s="18"/>
      <c r="G5" s="18"/>
      <c r="H5" s="18"/>
      <c r="I5" s="4" t="s">
        <v>194</v>
      </c>
    </row>
    <row r="6" customFormat="false" ht="15" hidden="false" customHeight="false" outlineLevel="0" collapsed="false">
      <c r="A6" s="8" t="n">
        <v>3</v>
      </c>
      <c r="B6" s="9" t="s">
        <v>195</v>
      </c>
      <c r="C6" s="17"/>
      <c r="D6" s="17"/>
      <c r="E6" s="17"/>
      <c r="F6" s="17"/>
      <c r="G6" s="17"/>
      <c r="H6" s="17"/>
      <c r="I6" s="8" t="s">
        <v>196</v>
      </c>
    </row>
    <row r="7" customFormat="false" ht="15" hidden="false" customHeight="false" outlineLevel="0" collapsed="false">
      <c r="A7" s="4" t="n">
        <v>4</v>
      </c>
      <c r="B7" s="5" t="s">
        <v>197</v>
      </c>
      <c r="C7" s="18"/>
      <c r="D7" s="18"/>
      <c r="E7" s="18"/>
      <c r="F7" s="18"/>
      <c r="G7" s="18"/>
      <c r="H7" s="18"/>
      <c r="I7" s="4" t="s">
        <v>198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2</v>
      </c>
      <c r="B9" s="18"/>
      <c r="C9" s="18"/>
      <c r="D9" s="18"/>
      <c r="E9" s="18"/>
      <c r="F9" s="18"/>
      <c r="G9" s="18"/>
      <c r="H9" s="18"/>
      <c r="I9" s="18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4</v>
      </c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6</v>
      </c>
      <c r="B13" s="18"/>
      <c r="C13" s="18"/>
      <c r="D13" s="18"/>
      <c r="E13" s="18"/>
      <c r="F13" s="18"/>
      <c r="G13" s="18"/>
      <c r="H13" s="18"/>
      <c r="I13" s="18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8</v>
      </c>
      <c r="B15" s="18"/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10</v>
      </c>
      <c r="B17" s="18"/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12</v>
      </c>
      <c r="B19" s="18"/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14</v>
      </c>
      <c r="B21" s="18"/>
      <c r="C21" s="18"/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199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60" t="s">
        <v>200</v>
      </c>
      <c r="B2" s="60"/>
      <c r="C2" s="60"/>
      <c r="D2" s="60"/>
      <c r="E2" s="60"/>
      <c r="F2" s="60"/>
    </row>
    <row r="3" customFormat="false" ht="15" hidden="false" customHeight="false" outlineLevel="0" collapsed="false">
      <c r="A3" s="16" t="s">
        <v>2</v>
      </c>
      <c r="B3" s="16" t="s">
        <v>201</v>
      </c>
      <c r="C3" s="16" t="s">
        <v>202</v>
      </c>
      <c r="D3" s="16" t="s">
        <v>203</v>
      </c>
      <c r="E3" s="16" t="s">
        <v>140</v>
      </c>
      <c r="F3" s="16" t="s">
        <v>204</v>
      </c>
    </row>
    <row r="4" customFormat="false" ht="31.5" hidden="false" customHeight="true" outlineLevel="0" collapsed="false">
      <c r="A4" s="8" t="n">
        <v>1</v>
      </c>
      <c r="B4" s="9" t="s">
        <v>205</v>
      </c>
      <c r="C4" s="10" t="s">
        <v>206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207</v>
      </c>
      <c r="C5" s="6" t="s">
        <v>208</v>
      </c>
      <c r="D5" s="18"/>
      <c r="E5" s="18"/>
      <c r="F5" s="18"/>
    </row>
    <row r="6" customFormat="false" ht="31.5" hidden="false" customHeight="true" outlineLevel="0" collapsed="false">
      <c r="A6" s="8" t="n">
        <v>3</v>
      </c>
      <c r="B6" s="9" t="s">
        <v>209</v>
      </c>
      <c r="C6" s="10" t="s">
        <v>210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211</v>
      </c>
      <c r="C7" s="6" t="s">
        <v>212</v>
      </c>
      <c r="D7" s="18"/>
      <c r="E7" s="18"/>
      <c r="F7" s="18"/>
    </row>
    <row r="8" customFormat="false" ht="31.5" hidden="false" customHeight="true" outlineLevel="0" collapsed="false">
      <c r="A8" s="8" t="n">
        <v>5</v>
      </c>
      <c r="B8" s="9" t="s">
        <v>213</v>
      </c>
      <c r="C8" s="10" t="s">
        <v>214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215</v>
      </c>
      <c r="C9" s="6" t="s">
        <v>216</v>
      </c>
      <c r="D9" s="18"/>
      <c r="E9" s="18"/>
      <c r="F9" s="18"/>
    </row>
    <row r="10" customFormat="false" ht="31.5" hidden="false" customHeight="true" outlineLevel="0" collapsed="false">
      <c r="A10" s="8" t="n">
        <v>7</v>
      </c>
      <c r="B10" s="9" t="s">
        <v>217</v>
      </c>
      <c r="C10" s="10" t="s">
        <v>218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219</v>
      </c>
      <c r="C11" s="6" t="s">
        <v>220</v>
      </c>
      <c r="D11" s="18"/>
      <c r="E11" s="18"/>
      <c r="F11" s="18"/>
    </row>
    <row r="12" customFormat="false" ht="31.5" hidden="false" customHeight="true" outlineLevel="0" collapsed="false">
      <c r="A12" s="8" t="n">
        <v>9</v>
      </c>
      <c r="B12" s="9" t="s">
        <v>221</v>
      </c>
      <c r="C12" s="10" t="s">
        <v>222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223</v>
      </c>
      <c r="C13" s="6" t="s">
        <v>224</v>
      </c>
      <c r="D13" s="18"/>
      <c r="E13" s="18"/>
      <c r="F13" s="18"/>
    </row>
    <row r="14" customFormat="false" ht="31.5" hidden="false" customHeight="true" outlineLevel="0" collapsed="false">
      <c r="A14" s="8" t="n">
        <v>11</v>
      </c>
      <c r="B14" s="9" t="s">
        <v>225</v>
      </c>
      <c r="C14" s="10" t="s">
        <v>226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227</v>
      </c>
      <c r="C15" s="6" t="s">
        <v>228</v>
      </c>
      <c r="D15" s="18"/>
      <c r="E15" s="18"/>
      <c r="F15" s="18"/>
    </row>
    <row r="16" customFormat="false" ht="31.5" hidden="false" customHeight="true" outlineLevel="0" collapsed="false">
      <c r="A16" s="8" t="n">
        <v>13</v>
      </c>
      <c r="B16" s="9" t="s">
        <v>229</v>
      </c>
      <c r="C16" s="10" t="s">
        <v>230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231</v>
      </c>
      <c r="C17" s="6" t="s">
        <v>232</v>
      </c>
      <c r="D17" s="18"/>
      <c r="E17" s="18"/>
      <c r="F17" s="18"/>
    </row>
    <row r="18" customFormat="false" ht="31.5" hidden="false" customHeight="true" outlineLevel="0" collapsed="false">
      <c r="A18" s="8" t="n">
        <v>15</v>
      </c>
      <c r="B18" s="9" t="s">
        <v>233</v>
      </c>
      <c r="C18" s="10" t="s">
        <v>234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235</v>
      </c>
      <c r="C19" s="6" t="s">
        <v>236</v>
      </c>
      <c r="D19" s="18"/>
      <c r="E19" s="18"/>
      <c r="F19" s="18"/>
    </row>
    <row r="20" customFormat="false" ht="31.5" hidden="false" customHeight="true" outlineLevel="0" collapsed="false">
      <c r="A20" s="8" t="n">
        <v>17</v>
      </c>
      <c r="B20" s="9" t="s">
        <v>237</v>
      </c>
      <c r="C20" s="10" t="s">
        <v>238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239</v>
      </c>
      <c r="C21" s="6" t="s">
        <v>240</v>
      </c>
      <c r="D21" s="18"/>
      <c r="E21" s="18"/>
      <c r="F21" s="18"/>
    </row>
    <row r="22" customFormat="false" ht="31.5" hidden="false" customHeight="true" outlineLevel="0" collapsed="false">
      <c r="A22" s="8" t="n">
        <v>19</v>
      </c>
      <c r="B22" s="9" t="s">
        <v>241</v>
      </c>
      <c r="C22" s="10" t="s">
        <v>242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243</v>
      </c>
      <c r="C23" s="6" t="s">
        <v>244</v>
      </c>
      <c r="D23" s="18"/>
      <c r="E23" s="18"/>
      <c r="F23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2026-05-07T04:41:38Z</dcterms:created>
  <dc:creator>openpyxl</dc:creator>
  <dc:description/>
  <dc:language>en-US</dc:language>
  <cp:lastModifiedBy/>
  <dcterms:modified xsi:type="dcterms:W3CDTF">2026-05-07T04:41:38Z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