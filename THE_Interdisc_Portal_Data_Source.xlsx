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l Overview" sheetId="1" state="visible" r:id="rId3"/>
    <sheet name="1. Research Funding Fields" sheetId="2" state="visible" r:id="rId4"/>
    <sheet name="2. Industry Funding Fields" sheetId="3" state="visible" r:id="rId5"/>
    <sheet name="3. RF Data Entry Form" sheetId="4" state="visible" r:id="rId6"/>
    <sheet name="4. IF Data Entry Form" sheetId="5" state="visible" r:id="rId7"/>
    <sheet name="5. Submission Checklist" sheetId="6" state="visible" r:id="rId8"/>
    <sheet name="6. Data Quality Audi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<sst xmlns="http://schemas.openxmlformats.org/spreadsheetml/2006/main" count="593" uniqueCount="319">
  <si>
    <t xml:space="preserve">THE Interdisciplinary Rankings — Data Sources: Portal (19%)</t>
  </si>
  <si>
    <t xml:space="preserve">Institution-Submitted Quantitative Data → Feeds Research Funding (8%) + Industry Funding (11%)</t>
  </si>
  <si>
    <t xml:space="preserve">#</t>
  </si>
  <si>
    <t xml:space="preserve">Data Source / Component</t>
  </si>
  <si>
    <t xml:space="preserve">Description</t>
  </si>
  <si>
    <t xml:space="preserve">Weight / Contribution</t>
  </si>
  <si>
    <t xml:space="preserve">THE Data Portal — Institutional Submission</t>
  </si>
  <si>
    <t xml:space="preserve">THE's secure online portal where universities submit audited institutional data. The portal is the SOLE source for the Inputs pillar (19%) — no third-party data supplements it. Institutions complete structured data tables covering financial, staffing, and infrastructure metrics.</t>
  </si>
  <si>
    <t xml:space="preserve">19% of total ranking (100% of Inputs pillar)</t>
  </si>
  <si>
    <t xml:space="preserve">Research Funding Data (via Portal)</t>
  </si>
  <si>
    <t xml:space="preserve">Total research income from all sources, broken down by government, industry, international, philanthropy, internal. 5-year rolling window. Normalized by academic FTE. PPP-adjusted for global comparability.</t>
  </si>
  <si>
    <t xml:space="preserve">8% of total ranking</t>
  </si>
  <si>
    <t xml:space="preserve">Industry Funding Data (via Portal)</t>
  </si>
  <si>
    <t xml:space="preserve">Industry-sponsored R&amp;D income, consultancy revenue, co-funded labs/chairs, partnership counts, sector diversity. 5-year window. Normalized by academic FTE. Includes growth trajectory (CAGR).</t>
  </si>
  <si>
    <t xml:space="preserve">11% of total ranking</t>
  </si>
  <si>
    <t xml:space="preserve">Academic Staff Data (via Portal)</t>
  </si>
  <si>
    <t xml:space="preserve">Full-time equivalent (FTE) academic staff count used as normalization denominator for both research and industry funding per capita calculations.</t>
  </si>
  <si>
    <t xml:space="preserve">Normalization input</t>
  </si>
  <si>
    <t xml:space="preserve">Supplementary Institutional Metrics (via Portal)</t>
  </si>
  <si>
    <t xml:space="preserve">Additional data fields submitted through the portal: student enrolment, PhD completions, faculty demographics, infrastructure inventory, policy documentation uploads, programme listings.</t>
  </si>
  <si>
    <t xml:space="preserve">Feeds Process &amp; other pillars indirectly</t>
  </si>
  <si>
    <t xml:space="preserve">Complete Data Source Map — All Five Pillars</t>
  </si>
  <si>
    <t xml:space="preserve">Pillar</t>
  </si>
  <si>
    <t xml:space="preserve">Weight</t>
  </si>
  <si>
    <t xml:space="preserve">Primary Data Source</t>
  </si>
  <si>
    <t xml:space="preserve">Portal Contribution</t>
  </si>
  <si>
    <t xml:space="preserve">Research Quality &amp; Influence</t>
  </si>
  <si>
    <t xml:space="preserve">≈40%</t>
  </si>
  <si>
    <t xml:space="preserve">Scopus (Elsevier) bibliometric data</t>
  </si>
  <si>
    <t xml:space="preserve">Indirect (validates portal-submitted publication counts)</t>
  </si>
  <si>
    <t xml:space="preserve">Interdisciplinary Research Environment</t>
  </si>
  <si>
    <t xml:space="preserve">≈20%</t>
  </si>
  <si>
    <t xml:space="preserve">Institution-submitted data (Portal)</t>
  </si>
  <si>
    <t xml:space="preserve">High (centres, policies, funding, faculty, infrastructure)</t>
  </si>
  <si>
    <t xml:space="preserve">Teaching &amp; Curriculum Innovation</t>
  </si>
  <si>
    <t xml:space="preserve">Institution-submitted data (Portal) + outcome data</t>
  </si>
  <si>
    <t xml:space="preserve">High (programmes, PBL, flexibility, outcomes, pedagogy)</t>
  </si>
  <si>
    <t xml:space="preserve">Innovation, KT &amp; Industry Linkages</t>
  </si>
  <si>
    <t xml:space="preserve">≈10%</t>
  </si>
  <si>
    <t xml:space="preserve">Patent databases + Portal + TTO records</t>
  </si>
  <si>
    <t xml:space="preserve">Medium (patents from WIPO/USPTO; start-ups/revenue from Portal)</t>
  </si>
  <si>
    <t xml:space="preserve">Societal Impact &amp; SDG Alignment</t>
  </si>
  <si>
    <t xml:space="preserve">SDG mapping (Scopus) + Portal + community records</t>
  </si>
  <si>
    <t xml:space="preserve">Medium (research output from Scopus; outreach/reports from Portal)</t>
  </si>
  <si>
    <t xml:space="preserve">Inputs: Research Funding</t>
  </si>
  <si>
    <t xml:space="preserve">8%</t>
  </si>
  <si>
    <t xml:space="preserve">Institution-submitted data (Portal) — SOLE source</t>
  </si>
  <si>
    <t xml:space="preserve">100% Portal — all research funding data submitted via Portal</t>
  </si>
  <si>
    <t xml:space="preserve">Inputs: Industry Funding</t>
  </si>
  <si>
    <t xml:space="preserve">11%</t>
  </si>
  <si>
    <t xml:space="preserve">100% Portal — all industry funding data submitted via Portal</t>
  </si>
  <si>
    <t xml:space="preserve">Process: Various (16%)</t>
  </si>
  <si>
    <t xml:space="preserve">16%</t>
  </si>
  <si>
    <t xml:space="preserve">Institution-submitted data (Portal) + surveys</t>
  </si>
  <si>
    <t xml:space="preserve">High (facilities, admin, P&amp;T, outcomes — primarily Portal)</t>
  </si>
  <si>
    <t xml:space="preserve">Key Notes on Portal Submission</t>
  </si>
  <si>
    <t xml:space="preserve">• The Portal accounts for 19% of total ranking directly (Inputs pillar) and contributes significantly to Process (16%) and other pillars.</t>
  </si>
  <si>
    <t xml:space="preserve">• Portal data is the ONLY source for research and industry funding — no external database supplements these figures.</t>
  </si>
  <si>
    <t xml:space="preserve">• THE provides structured templates; institutions must follow field-level definitions for consistency.</t>
  </si>
  <si>
    <t xml:space="preserve">• Submissions are subject to THE's data audit process — cross-checked against public records, audited accounts, and bibliometric data.</t>
  </si>
  <si>
    <t xml:space="preserve">• Currency normalization: all financial data converted to USD using World Bank PPP rates for the submission year.</t>
  </si>
  <si>
    <t xml:space="preserve">• Academic FTE definition follows THE's standard: full-time equivalent academic/research staff excluding admin and support.</t>
  </si>
  <si>
    <t xml:space="preserve">• Portal submission window is typically Jan–Mar for the ranking published later that year.</t>
  </si>
  <si>
    <t xml:space="preserve">• Institutions must sign a data integrity declaration before final submission.</t>
  </si>
  <si>
    <t xml:space="preserve">Portal Submission Template — Research Funding (8%) Field Definitions</t>
  </si>
  <si>
    <t xml:space="preserve">Exact data fields required by THE Portal for research funding | Definition, unit, validation rule</t>
  </si>
  <si>
    <t xml:space="preserve">Field ID</t>
  </si>
  <si>
    <t xml:space="preserve">Field Name / Label</t>
  </si>
  <si>
    <t xml:space="preserve">Data Type</t>
  </si>
  <si>
    <t xml:space="preserve">Definition &amp; Instructions</t>
  </si>
  <si>
    <t xml:space="preserve">Unit / Format</t>
  </si>
  <si>
    <t xml:space="preserve">Validation Rule</t>
  </si>
  <si>
    <t xml:space="preserve">Mandatory (Y/N)</t>
  </si>
  <si>
    <t xml:space="preserve">RF-01</t>
  </si>
  <si>
    <t xml:space="preserve">Total Research Income — Year 1</t>
  </si>
  <si>
    <t xml:space="preserve">Currency</t>
  </si>
  <si>
    <t xml:space="preserve">Total externally and internally sourced research funding received in fiscal/calendar Year 1 of the 5-year window. Includes government, industry, international, philanthropy, and internal allocations.</t>
  </si>
  <si>
    <t xml:space="preserve">INR Crore / USD Million</t>
  </si>
  <si>
    <t xml:space="preserve">≥0; cannot be blank if Y2–Y5 provided</t>
  </si>
  <si>
    <t xml:space="preserve">Y</t>
  </si>
  <si>
    <t xml:space="preserve">RF-02</t>
  </si>
  <si>
    <t xml:space="preserve">Total Research Income — Year 2</t>
  </si>
  <si>
    <t xml:space="preserve">Same definition as RF-01 for Year 2.</t>
  </si>
  <si>
    <t xml:space="preserve">≥0</t>
  </si>
  <si>
    <t xml:space="preserve">RF-03</t>
  </si>
  <si>
    <t xml:space="preserve">Total Research Income — Year 3</t>
  </si>
  <si>
    <t xml:space="preserve">Same definition as RF-01 for Year 3.</t>
  </si>
  <si>
    <t xml:space="preserve">RF-04</t>
  </si>
  <si>
    <t xml:space="preserve">Total Research Income — Year 4</t>
  </si>
  <si>
    <t xml:space="preserve">Same definition as RF-01 for Year 4.</t>
  </si>
  <si>
    <t xml:space="preserve">RF-05</t>
  </si>
  <si>
    <t xml:space="preserve">Total Research Income — Year 5</t>
  </si>
  <si>
    <t xml:space="preserve">Same definition as RF-01 for Year 5 (most recent).</t>
  </si>
  <si>
    <t xml:space="preserve">RF-06</t>
  </si>
  <si>
    <t xml:space="preserve">Government Research Grants (5yr aggregate)</t>
  </si>
  <si>
    <t xml:space="preserve">Total funding from government agencies (DST, SERB, DBT, ICMR, CSIR, MoE, state govts, etc.) over the 5-year window.</t>
  </si>
  <si>
    <t xml:space="preserve">≥0; ≤ sum of RF-01:RF-05</t>
  </si>
  <si>
    <t xml:space="preserve">RF-07</t>
  </si>
  <si>
    <t xml:space="preserve">Industry-Sponsored Research Income (5yr)</t>
  </si>
  <si>
    <t xml:space="preserve">Total funding from industry partners for sponsored R&amp;D over 5 years. Excludes consultancy/service income (see IF fields).</t>
  </si>
  <si>
    <t xml:space="preserve">RF-08</t>
  </si>
  <si>
    <t xml:space="preserve">International Research Grants (5yr)</t>
  </si>
  <si>
    <t xml:space="preserve">Funding from foreign governments, international agencies (EU, UNDP, World Bank, bilateral programmes), and foreign foundations.</t>
  </si>
  <si>
    <t xml:space="preserve">RF-09</t>
  </si>
  <si>
    <t xml:space="preserve">Philanthropy / Endowment / CSR (5yr)</t>
  </si>
  <si>
    <t xml:space="preserve">Research funding from philanthropic donations, endowment income directed to research, and CSR-funded R&amp;D.</t>
  </si>
  <si>
    <t xml:space="preserve">RF-10</t>
  </si>
  <si>
    <t xml:space="preserve">Internal / Institutional Allocation (5yr)</t>
  </si>
  <si>
    <t xml:space="preserve">University's own budget allocation for research (seed grants, internal competitive grants, departmental research budgets).</t>
  </si>
  <si>
    <t xml:space="preserve">RF-11</t>
  </si>
  <si>
    <t xml:space="preserve">Other Research Income (5yr)</t>
  </si>
  <si>
    <t xml:space="preserve">Any research income not fitting above categories. Must be documented with source description.</t>
  </si>
  <si>
    <t xml:space="preserve">≥0; RF-06:RF-11 must sum ≈ RF-01:RF-05</t>
  </si>
  <si>
    <t xml:space="preserve">RF-12</t>
  </si>
  <si>
    <t xml:space="preserve">Academic Staff FTE</t>
  </si>
  <si>
    <t xml:space="preserve">Number</t>
  </si>
  <si>
    <t xml:space="preserve">Full-time equivalent count of academic and research staff. Per THE definition: includes professors, associate professors, assistant professors, lecturers, research fellows with teaching/research duties. Excludes admin, technical, and support staff.</t>
  </si>
  <si>
    <t xml:space="preserve">Integer (FTE)</t>
  </si>
  <si>
    <t xml:space="preserve">≥1; consistent with HR records</t>
  </si>
  <si>
    <t xml:space="preserve">RF-13</t>
  </si>
  <si>
    <t xml:space="preserve">Interdisciplinary Research Funding (5yr)</t>
  </si>
  <si>
    <t xml:space="preserve">Subset of total research funding explicitly allocated to projects spanning 2+ departments or ASJC areas. Includes internal seed grants, mission-mode grants, cross-domain industry R&amp;D.</t>
  </si>
  <si>
    <t xml:space="preserve">RF-14</t>
  </si>
  <si>
    <t xml:space="preserve">Competitive Proposals Submitted (5yr)</t>
  </si>
  <si>
    <t xml:space="preserve">Total research grant proposals submitted to external competitive funding agencies over 5 years.</t>
  </si>
  <si>
    <t xml:space="preserve">Integer</t>
  </si>
  <si>
    <t xml:space="preserve">RF-15</t>
  </si>
  <si>
    <t xml:space="preserve">Competitive Proposals Awarded (5yr)</t>
  </si>
  <si>
    <t xml:space="preserve">Total proposals awarded / funded from the submitted proposals.</t>
  </si>
  <si>
    <t xml:space="preserve">≥0; ≤ RF-14</t>
  </si>
  <si>
    <t xml:space="preserve">RF-16</t>
  </si>
  <si>
    <t xml:space="preserve">Interdisc. Proposals Submitted (5yr)</t>
  </si>
  <si>
    <t xml:space="preserve">Subset of RF-14: proposals explicitly spanning 2+ departments/ASJC areas.</t>
  </si>
  <si>
    <t xml:space="preserve">RF-17</t>
  </si>
  <si>
    <t xml:space="preserve">Interdisc. Proposals Awarded (5yr)</t>
  </si>
  <si>
    <t xml:space="preserve">Subset of RF-15: interdisciplinary proposals awarded.</t>
  </si>
  <si>
    <t xml:space="preserve">≥0; ≤ RF-16 and ≤ RF-15</t>
  </si>
  <si>
    <t xml:space="preserve">RF-18</t>
  </si>
  <si>
    <t xml:space="preserve">PPP Exchange Rate Used</t>
  </si>
  <si>
    <t xml:space="preserve">World Bank PPP conversion factor used to convert local currency to USD. Must cite the specific year and source.</t>
  </si>
  <si>
    <t xml:space="preserve">Decimal (e.g., 22.88)</t>
  </si>
  <si>
    <t xml:space="preserve">Must match World Bank data for submission year</t>
  </si>
  <si>
    <t xml:space="preserve">RF-19</t>
  </si>
  <si>
    <t xml:space="preserve">Fiscal Year Definition</t>
  </si>
  <si>
    <t xml:space="preserve">Text</t>
  </si>
  <si>
    <t xml:space="preserve">Start and end month of the fiscal year used for financial data (e.g., Apr–Mar for India, Jan–Dec for calendar year).</t>
  </si>
  <si>
    <t xml:space="preserve">Text (e.g., 'Apr 2019 – Mar 2024')</t>
  </si>
  <si>
    <t xml:space="preserve">Must be consistent across all years</t>
  </si>
  <si>
    <t xml:space="preserve">RF-20</t>
  </si>
  <si>
    <t xml:space="preserve">Audited Accounts Certified (Y/N)</t>
  </si>
  <si>
    <t xml:space="preserve">Boolean</t>
  </si>
  <si>
    <t xml:space="preserve">Confirmation that all financial data has been verified against audited institutional accounts.</t>
  </si>
  <si>
    <t xml:space="preserve">Y/N</t>
  </si>
  <si>
    <t xml:space="preserve">Must be 'Y' for submission to be accepted</t>
  </si>
  <si>
    <t xml:space="preserve">Portal Submission Template — Industry Funding (11%) Field Definitions</t>
  </si>
  <si>
    <t xml:space="preserve">Exact data fields required by THE Portal for industry funding | Definition, unit, validation rule</t>
  </si>
  <si>
    <t xml:space="preserve">IF-01</t>
  </si>
  <si>
    <t xml:space="preserve">Industry-Sponsored R&amp;D Income — Year 1</t>
  </si>
  <si>
    <t xml:space="preserve">Funding from industry partners for sponsored research in Year 1. Excludes consultancy, testing, and service income.</t>
  </si>
  <si>
    <t xml:space="preserve">IF-02</t>
  </si>
  <si>
    <t xml:space="preserve">Industry-Sponsored R&amp;D Income — Year 2</t>
  </si>
  <si>
    <t xml:space="preserve">Same as IF-01 for Year 2.</t>
  </si>
  <si>
    <t xml:space="preserve">IF-03</t>
  </si>
  <si>
    <t xml:space="preserve">Industry-Sponsored R&amp;D Income — Year 3</t>
  </si>
  <si>
    <t xml:space="preserve">Same as IF-01 for Year 3.</t>
  </si>
  <si>
    <t xml:space="preserve">IF-04</t>
  </si>
  <si>
    <t xml:space="preserve">Industry-Sponsored R&amp;D Income — Year 4</t>
  </si>
  <si>
    <t xml:space="preserve">Same as IF-01 for Year 4.</t>
  </si>
  <si>
    <t xml:space="preserve">IF-05</t>
  </si>
  <si>
    <t xml:space="preserve">Industry-Sponsored R&amp;D Income — Year 5</t>
  </si>
  <si>
    <t xml:space="preserve">Same as IF-01 for Year 5 (most recent).</t>
  </si>
  <si>
    <t xml:space="preserve">IF-06</t>
  </si>
  <si>
    <t xml:space="preserve">Industry Consultancy &amp; Service Income (5yr)</t>
  </si>
  <si>
    <t xml:space="preserve">Revenue from consultancy, testing, certification, and technical services to industry. Separate from sponsored R&amp;D.</t>
  </si>
  <si>
    <t xml:space="preserve">IF-07</t>
  </si>
  <si>
    <t xml:space="preserve">Cross-Disciplinary Industry Funding (5yr)</t>
  </si>
  <si>
    <t xml:space="preserve">Subset of industry R&amp;D income allocated to projects spanning 2+ departments or ASJC areas.</t>
  </si>
  <si>
    <t xml:space="preserve">≥0; ≤ sum of IF-01:IF-05</t>
  </si>
  <si>
    <t xml:space="preserve">IF-08</t>
  </si>
  <si>
    <t xml:space="preserve">Co-Funded Joint Labs / Centres (Count)</t>
  </si>
  <si>
    <t xml:space="preserve">Number of formally established industry co-funded joint R&amp;D centres/labs currently active.</t>
  </si>
  <si>
    <t xml:space="preserve">IF-09</t>
  </si>
  <si>
    <t xml:space="preserve">Endowed / Sponsored Industry Chairs (Count)</t>
  </si>
  <si>
    <t xml:space="preserve">Number of industry-sponsored chairs or professorships currently active.</t>
  </si>
  <si>
    <t xml:space="preserve">IF-10</t>
  </si>
  <si>
    <t xml:space="preserve">Total Unique Industry Partners (5yr)</t>
  </si>
  <si>
    <t xml:space="preserve">Count of distinct industry organizations that provided R&amp;D funding or consultancy engagements over 5 years.</t>
  </si>
  <si>
    <t xml:space="preserve">≥1 (if any industry income reported)</t>
  </si>
  <si>
    <t xml:space="preserve">IF-11</t>
  </si>
  <si>
    <t xml:space="preserve">Industry Sectors Represented</t>
  </si>
  <si>
    <t xml:space="preserve">Count of distinct industry sectors (from standard 11-sector taxonomy) among partners.</t>
  </si>
  <si>
    <t xml:space="preserve">Integer (1–11)</t>
  </si>
  <si>
    <t xml:space="preserve">≥1; ≤11</t>
  </si>
  <si>
    <t xml:space="preserve">IF-12</t>
  </si>
  <si>
    <t xml:space="preserve">Multi-Year Industry Agreements (Count)</t>
  </si>
  <si>
    <t xml:space="preserve">Number of industry R&amp;D agreements with duration ≥2 years and committed annual funding.</t>
  </si>
  <si>
    <t xml:space="preserve">IF-13</t>
  </si>
  <si>
    <t xml:space="preserve">Pipeline Value (Signed, Un-disbursed)</t>
  </si>
  <si>
    <t xml:space="preserve">Total value of signed industry R&amp;D agreements where funding has not yet been received/disbursed.</t>
  </si>
  <si>
    <t xml:space="preserve">N</t>
  </si>
  <si>
    <t xml:space="preserve">IF-14</t>
  </si>
  <si>
    <t xml:space="preserve">Industry Funding by Sector — IT/Software</t>
  </si>
  <si>
    <t xml:space="preserve">5yr aggregate industry R&amp;D funding from IT/Software sector partners.</t>
  </si>
  <si>
    <t xml:space="preserve">≥0; sum IF-14:IF-24 ≈ sum IF-01:IF-05</t>
  </si>
  <si>
    <t xml:space="preserve">IF-15</t>
  </si>
  <si>
    <t xml:space="preserve">Industry Funding by Sector — Pharma/Biotech</t>
  </si>
  <si>
    <t xml:space="preserve">5yr aggregate from Pharma/Biotech sector.</t>
  </si>
  <si>
    <t xml:space="preserve">IF-16</t>
  </si>
  <si>
    <t xml:space="preserve">Industry Funding by Sector — Automotive/Mfg</t>
  </si>
  <si>
    <t xml:space="preserve">5yr aggregate from Automotive/Manufacturing sector.</t>
  </si>
  <si>
    <t xml:space="preserve">IF-17</t>
  </si>
  <si>
    <t xml:space="preserve">Industry Funding by Sector — Energy/Oil&amp;Gas</t>
  </si>
  <si>
    <t xml:space="preserve">5yr aggregate from Energy/Oil&amp;Gas sector.</t>
  </si>
  <si>
    <t xml:space="preserve">IF-18</t>
  </si>
  <si>
    <t xml:space="preserve">Industry Funding by Sector — Defence/Aerospace</t>
  </si>
  <si>
    <t xml:space="preserve">5yr aggregate from Defence/Aerospace sector.</t>
  </si>
  <si>
    <t xml:space="preserve">IF-19</t>
  </si>
  <si>
    <t xml:space="preserve">Industry Funding by Sector — Other Sectors (aggregate)</t>
  </si>
  <si>
    <t xml:space="preserve">5yr aggregate from all remaining sectors (FMCG, Agri, Telecom, Finance, Construction, Other).</t>
  </si>
  <si>
    <t xml:space="preserve">IF-20</t>
  </si>
  <si>
    <t xml:space="preserve">Academic Staff FTE (same as RF-12)</t>
  </si>
  <si>
    <t xml:space="preserve">Reconfirmation — same FTE used for both research and industry funding normalization.</t>
  </si>
  <si>
    <t xml:space="preserve">Must equal RF-12</t>
  </si>
  <si>
    <t xml:space="preserve">Portal Data Entry Form — Research Funding (8%)</t>
  </si>
  <si>
    <t xml:space="preserve">Fill in institutional values in the 'Value' column | Auto-validates against rules</t>
  </si>
  <si>
    <t xml:space="preserve">Field Name</t>
  </si>
  <si>
    <t xml:space="preserve">Value (Enter Here)</t>
  </si>
  <si>
    <t xml:space="preserve">Validation Status</t>
  </si>
  <si>
    <t xml:space="preserve">Unit</t>
  </si>
  <si>
    <t xml:space="preserve">Cross-Field Validation Checks</t>
  </si>
  <si>
    <t xml:space="preserve">5-Year Total = Sum of Y1–Y5</t>
  </si>
  <si>
    <t xml:space="preserve">Source Breakdown ≈ 5yr Total</t>
  </si>
  <si>
    <t xml:space="preserve">Interdisc. Funding ≤ Total</t>
  </si>
  <si>
    <t xml:space="preserve">Proposals Awarded ≤ Submitted</t>
  </si>
  <si>
    <t xml:space="preserve">Interdisc. Awarded ≤ Interdisc. Submitted</t>
  </si>
  <si>
    <t xml:space="preserve">Portal Data Entry Form — Industry Funding (11%)</t>
  </si>
  <si>
    <t xml:space="preserve">Portal Submission Readiness Checklist</t>
  </si>
  <si>
    <t xml:space="preserve">Pre-submission verification — complete all items before uploading to THE Portal</t>
  </si>
  <si>
    <t xml:space="preserve">Responsible Person</t>
  </si>
  <si>
    <t xml:space="preserve">Checklist Item</t>
  </si>
  <si>
    <t xml:space="preserve">Status (Done/Pending/NA)</t>
  </si>
  <si>
    <t xml:space="preserve">Evidence / Document</t>
  </si>
  <si>
    <t xml:space="preserve">Date Completed</t>
  </si>
  <si>
    <t xml:space="preserve">Remarks</t>
  </si>
  <si>
    <t xml:space="preserve">All 20 Research Funding fields (RF-01 to RF-20) completed and validated</t>
  </si>
  <si>
    <t xml:space="preserve">All 20 Industry Funding fields (IF-01 to IF-20) completed and validated</t>
  </si>
  <si>
    <t xml:space="preserve">5-year financial data verified against audited institutional accounts</t>
  </si>
  <si>
    <t xml:space="preserve">PPP exchange rate sourced from World Bank databank for the correct year</t>
  </si>
  <si>
    <t xml:space="preserve">Academic FTE count verified against HR / establishment register</t>
  </si>
  <si>
    <t xml:space="preserve">FTE definition aligns with THE guidelines (excludes admin/support staff)</t>
  </si>
  <si>
    <t xml:space="preserve">Government funding breakdown verified against grant agency records</t>
  </si>
  <si>
    <t xml:space="preserve">Industry funding breakdown verified against signed MoUs / agreements</t>
  </si>
  <si>
    <t xml:space="preserve">Cross-disciplinary funding verified as spanning 2+ departments per project scope</t>
  </si>
  <si>
    <t xml:space="preserve">Sector-wise industry funding breakdown sums to total industry income</t>
  </si>
  <si>
    <t xml:space="preserve">Source-wise research funding breakdown sums to 5-year total</t>
  </si>
  <si>
    <t xml:space="preserve">Competitive grant data verified against funding agency acknowledgements</t>
  </si>
  <si>
    <t xml:space="preserve">Consultancy income separated from sponsored R&amp;D in industry data</t>
  </si>
  <si>
    <t xml:space="preserve">Joint lab / centre / chair counts verified as active (output in past 3 years)</t>
  </si>
  <si>
    <t xml:space="preserve">Multi-year agreement count verified against signed agreement records</t>
  </si>
  <si>
    <t xml:space="preserve">Pipeline value based on signed (not prospective) agreements only</t>
  </si>
  <si>
    <t xml:space="preserve">Fiscal year definition documented and consistent across all 5 years</t>
  </si>
  <si>
    <t xml:space="preserve">Data integrity declaration reviewed and signed by Vice-Chancellor / Registrar</t>
  </si>
  <si>
    <t xml:space="preserve">Internal peer review of submission completed (by finance + research office)</t>
  </si>
  <si>
    <t xml:space="preserve">Backup copies of all supporting documents archived institutionally</t>
  </si>
  <si>
    <t xml:space="preserve">Portal login credentials verified; test upload successful</t>
  </si>
  <si>
    <t xml:space="preserve">Submission timeline confirmed — within THE's submission window</t>
  </si>
  <si>
    <t xml:space="preserve">Previous cycle data compared — anomalies &gt;25% documented with explanation</t>
  </si>
  <si>
    <t xml:space="preserve">Contact person designated for THE data audit queries</t>
  </si>
  <si>
    <t xml:space="preserve">Readiness Summary</t>
  </si>
  <si>
    <t xml:space="preserve">Items Completed</t>
  </si>
  <si>
    <t xml:space="preserve">Completion Rate (%)</t>
  </si>
  <si>
    <t xml:space="preserve">Items Pending</t>
  </si>
  <si>
    <t xml:space="preserve">Submission Ready?</t>
  </si>
  <si>
    <t xml:space="preserve">Portal Data Source — Data Quality &amp; Audit Checklist</t>
  </si>
  <si>
    <t xml:space="preserve">Validation checks for all Portal-submitted data (19% of total ranking)</t>
  </si>
  <si>
    <t xml:space="preserve">Quality Check</t>
  </si>
  <si>
    <t xml:space="preserve">Status (✓/✗/IP)</t>
  </si>
  <si>
    <t xml:space="preserve">Date</t>
  </si>
  <si>
    <t xml:space="preserve">Reviewer</t>
  </si>
  <si>
    <t xml:space="preserve">Field completeness</t>
  </si>
  <si>
    <t xml:space="preserve">All mandatory fields (RF-01:RF-20, IF-01:IF-20) populated; no blanks in mandatory fields</t>
  </si>
  <si>
    <t xml:space="preserve">Data type validation</t>
  </si>
  <si>
    <t xml:space="preserve">Currency fields contain numbers only; count fields contain integers; text fields have valid entries</t>
  </si>
  <si>
    <t xml:space="preserve">Cross-field consistency — RF</t>
  </si>
  <si>
    <t xml:space="preserve">Source breakdown (RF-06:RF-11) sums to 5-year total (RF-01:RF-05) within ±1% tolerance</t>
  </si>
  <si>
    <t xml:space="preserve">Cross-field consistency — IF</t>
  </si>
  <si>
    <t xml:space="preserve">Sector breakdown (IF-14:IF-19) sums to 5-year industry total (IF-01:IF-05) within ±1%</t>
  </si>
  <si>
    <t xml:space="preserve">FTE consistency</t>
  </si>
  <si>
    <t xml:space="preserve">RF-12 equals IF-20 (same FTE used for both normalizations)</t>
  </si>
  <si>
    <t xml:space="preserve">PPP rate verification</t>
  </si>
  <si>
    <t xml:space="preserve">PPP rate matches World Bank published rate for the submission year (±0.5% tolerance)</t>
  </si>
  <si>
    <t xml:space="preserve">Audited accounts linkage</t>
  </si>
  <si>
    <t xml:space="preserve">All financial figures traceable to specific line items in audited financial statements</t>
  </si>
  <si>
    <t xml:space="preserve">Fiscal year consistency</t>
  </si>
  <si>
    <t xml:space="preserve">Same fiscal year definition (start/end month) used across all 5 years and across RF and IF</t>
  </si>
  <si>
    <t xml:space="preserve">Interdisciplinary funding ≤ total</t>
  </si>
  <si>
    <t xml:space="preserve">RF-13 (interdisc. funding) ≤ sum of RF-01:RF-05; IF-07 ≤ sum of IF-01:IF-05</t>
  </si>
  <si>
    <t xml:space="preserve">Proposals awarded ≤ submitted</t>
  </si>
  <si>
    <t xml:space="preserve">RF-15 ≤ RF-14; RF-17 ≤ RF-16; RF-17 ≤ RF-15</t>
  </si>
  <si>
    <t xml:space="preserve">Industry partner count ≥1</t>
  </si>
  <si>
    <t xml:space="preserve">IF-10 ≥ 1 if any industry income reported (IF-01:IF-05 &gt; 0)</t>
  </si>
  <si>
    <t xml:space="preserve">Sector count ≤ 11</t>
  </si>
  <si>
    <t xml:space="preserve">IF-11 between 1 and 11 inclusive</t>
  </si>
  <si>
    <t xml:space="preserve">Sponsored R&amp;D vs consultancy</t>
  </si>
  <si>
    <t xml:space="preserve">IF-01:IF-05 (R&amp;D) and IF-06 (consultancy) are mutually exclusive categories</t>
  </si>
  <si>
    <t xml:space="preserve">Joint centres active status</t>
  </si>
  <si>
    <t xml:space="preserve">IF-08 counts only centres with activity in past 3 years</t>
  </si>
  <si>
    <t xml:space="preserve">Pipeline vs committed</t>
  </si>
  <si>
    <t xml:space="preserve">IF-13 reflects signed agreements only (not LOIs or proposals in negotiation)</t>
  </si>
  <si>
    <t xml:space="preserve">Year-on-year anomaly check</t>
  </si>
  <si>
    <t xml:space="preserve">Each year's data (Y1→Y5) checked for anomalous jumps (&gt;50% YoY change documented)</t>
  </si>
  <si>
    <t xml:space="preserve">Currency conversion documented</t>
  </si>
  <si>
    <t xml:space="preserve">Conversion method (PPP rate, year, source) documented in RF-18 and RF-19</t>
  </si>
  <si>
    <t xml:space="preserve">Data integrity declaration</t>
  </si>
  <si>
    <t xml:space="preserve">Signed by Vice-Chancellor / Registrar / authorized signatory before submission</t>
  </si>
  <si>
    <t xml:space="preserve">Internal peer review completed</t>
  </si>
  <si>
    <t xml:space="preserve">Finance office and research office have independently reviewed all figures</t>
  </si>
  <si>
    <t xml:space="preserve">Reproducibility test</t>
  </si>
  <si>
    <t xml:space="preserve">An independent reviewer can reconstruct all portal values from source documents within ±2%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</si>
</sst>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565C0"/>
        <bgColor rgb="FF2E75B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C8102E"/>
        <bgColor rgb="FF993300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2F8F9D"/>
        <bgColor rgb="FF2E75B6"/>
      </patternFill>
    </fill>
    <fill>
      <patternFill patternType="solid">
        <fgColor rgb="FFBF8F00"/>
        <bgColor rgb="FFED7D31"/>
      </patternFill>
    </fill>
    <fill>
      <patternFill patternType="solid">
        <fgColor rgb="FF2E75B6"/>
        <bgColor rgb="FF1565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93366"/>
      <rgbColor rgb="FFFFF5D9"/>
      <rgbColor rgb="FFF2F2F2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15" hidden="false" customHeight="false" outlineLevel="0" collapsed="false">
      <c r="A12" s="13" t="s">
        <v>22</v>
      </c>
      <c r="B12" s="13" t="s">
        <v>23</v>
      </c>
      <c r="C12" s="13" t="s">
        <v>24</v>
      </c>
      <c r="D12" s="13" t="s">
        <v>25</v>
      </c>
    </row>
    <row r="13" customFormat="false" ht="36" hidden="false" customHeight="true" outlineLevel="0" collapsed="false">
      <c r="A13" s="6" t="s">
        <v>26</v>
      </c>
      <c r="B13" s="7" t="s">
        <v>27</v>
      </c>
      <c r="C13" s="6" t="s">
        <v>28</v>
      </c>
      <c r="D13" s="6" t="s">
        <v>29</v>
      </c>
    </row>
    <row r="14" customFormat="false" ht="36" hidden="false" customHeight="true" outlineLevel="0" collapsed="false">
      <c r="A14" s="10" t="s">
        <v>30</v>
      </c>
      <c r="B14" s="11" t="s">
        <v>31</v>
      </c>
      <c r="C14" s="10" t="s">
        <v>32</v>
      </c>
      <c r="D14" s="10" t="s">
        <v>33</v>
      </c>
    </row>
    <row r="15" customFormat="false" ht="36" hidden="false" customHeight="true" outlineLevel="0" collapsed="false">
      <c r="A15" s="6" t="s">
        <v>34</v>
      </c>
      <c r="B15" s="7" t="s">
        <v>31</v>
      </c>
      <c r="C15" s="6" t="s">
        <v>35</v>
      </c>
      <c r="D15" s="6" t="s">
        <v>36</v>
      </c>
    </row>
    <row r="16" customFormat="false" ht="36" hidden="false" customHeight="true" outlineLevel="0" collapsed="false">
      <c r="A16" s="9" t="s">
        <v>37</v>
      </c>
      <c r="B16" s="11" t="s">
        <v>38</v>
      </c>
      <c r="C16" s="10" t="s">
        <v>39</v>
      </c>
      <c r="D16" s="10" t="s">
        <v>40</v>
      </c>
    </row>
    <row r="17" customFormat="false" ht="36" hidden="false" customHeight="true" outlineLevel="0" collapsed="false">
      <c r="A17" s="5" t="s">
        <v>41</v>
      </c>
      <c r="B17" s="7" t="s">
        <v>38</v>
      </c>
      <c r="C17" s="6" t="s">
        <v>42</v>
      </c>
      <c r="D17" s="6" t="s">
        <v>43</v>
      </c>
    </row>
    <row r="18" customFormat="false" ht="36" hidden="false" customHeight="true" outlineLevel="0" collapsed="false">
      <c r="A18" s="14" t="s">
        <v>44</v>
      </c>
      <c r="B18" s="15" t="s">
        <v>45</v>
      </c>
      <c r="C18" s="16" t="s">
        <v>46</v>
      </c>
      <c r="D18" s="16" t="s">
        <v>47</v>
      </c>
    </row>
    <row r="19" customFormat="false" ht="36" hidden="false" customHeight="true" outlineLevel="0" collapsed="false">
      <c r="A19" s="14" t="s">
        <v>48</v>
      </c>
      <c r="B19" s="15" t="s">
        <v>49</v>
      </c>
      <c r="C19" s="16" t="s">
        <v>46</v>
      </c>
      <c r="D19" s="16" t="s">
        <v>50</v>
      </c>
    </row>
    <row r="20" customFormat="false" ht="36" hidden="false" customHeight="true" outlineLevel="0" collapsed="false">
      <c r="A20" s="9" t="s">
        <v>51</v>
      </c>
      <c r="B20" s="11" t="s">
        <v>52</v>
      </c>
      <c r="C20" s="10" t="s">
        <v>53</v>
      </c>
      <c r="D20" s="10" t="s">
        <v>54</v>
      </c>
    </row>
    <row r="22" customFormat="false" ht="25.5" hidden="false" customHeight="true" outlineLevel="0" collapsed="false">
      <c r="A22" s="17" t="s">
        <v>55</v>
      </c>
      <c r="B22" s="17"/>
      <c r="C22" s="17"/>
      <c r="D22" s="17"/>
    </row>
    <row r="23" customFormat="false" ht="15" hidden="false" customHeight="true" outlineLevel="0" collapsed="false">
      <c r="A23" s="18" t="s">
        <v>56</v>
      </c>
      <c r="B23" s="18"/>
      <c r="C23" s="18"/>
      <c r="D23" s="18"/>
    </row>
    <row r="24" customFormat="false" ht="15" hidden="false" customHeight="true" outlineLevel="0" collapsed="false">
      <c r="A24" s="18" t="s">
        <v>57</v>
      </c>
      <c r="B24" s="18"/>
      <c r="C24" s="18"/>
      <c r="D24" s="18"/>
    </row>
    <row r="25" customFormat="false" ht="15" hidden="false" customHeight="true" outlineLevel="0" collapsed="false">
      <c r="A25" s="18" t="s">
        <v>58</v>
      </c>
      <c r="B25" s="18"/>
      <c r="C25" s="18"/>
      <c r="D25" s="18"/>
    </row>
    <row r="26" customFormat="false" ht="23.85" hidden="false" customHeight="true" outlineLevel="0" collapsed="false">
      <c r="A26" s="18" t="s">
        <v>59</v>
      </c>
      <c r="B26" s="18"/>
      <c r="C26" s="18"/>
      <c r="D26" s="18"/>
    </row>
    <row r="27" customFormat="false" ht="15" hidden="false" customHeight="true" outlineLevel="0" collapsed="false">
      <c r="A27" s="18" t="s">
        <v>60</v>
      </c>
      <c r="B27" s="18"/>
      <c r="C27" s="18"/>
      <c r="D27" s="18"/>
    </row>
    <row r="28" customFormat="false" ht="15" hidden="false" customHeight="true" outlineLevel="0" collapsed="false">
      <c r="A28" s="18" t="s">
        <v>61</v>
      </c>
      <c r="B28" s="18"/>
      <c r="C28" s="18"/>
      <c r="D28" s="18"/>
    </row>
    <row r="29" customFormat="false" ht="15" hidden="false" customHeight="true" outlineLevel="0" collapsed="false">
      <c r="A29" s="18" t="s">
        <v>62</v>
      </c>
      <c r="B29" s="18"/>
      <c r="C29" s="18"/>
      <c r="D29" s="18"/>
    </row>
    <row r="30" customFormat="false" ht="15" hidden="false" customHeight="true" outlineLevel="0" collapsed="false">
      <c r="A30" s="18" t="s">
        <v>63</v>
      </c>
      <c r="B30" s="18"/>
      <c r="C30" s="18"/>
      <c r="D30" s="18"/>
    </row>
  </sheetData>
  <mergeCells count="12">
    <mergeCell ref="A1:D1"/>
    <mergeCell ref="A2:D2"/>
    <mergeCell ref="A11:D1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7" min="6" style="0" width="22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19" t="s">
        <v>64</v>
      </c>
      <c r="B1" s="19"/>
      <c r="C1" s="19"/>
      <c r="D1" s="19"/>
      <c r="E1" s="19"/>
      <c r="F1" s="19"/>
      <c r="G1" s="19"/>
      <c r="H1" s="19"/>
    </row>
    <row r="2" customFormat="false" ht="25.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</row>
    <row r="3" customFormat="false" ht="23.85" hidden="false" customHeight="false" outlineLevel="0" collapsed="false">
      <c r="A3" s="20" t="s">
        <v>2</v>
      </c>
      <c r="B3" s="20" t="s">
        <v>66</v>
      </c>
      <c r="C3" s="20" t="s">
        <v>67</v>
      </c>
      <c r="D3" s="20" t="s">
        <v>68</v>
      </c>
      <c r="E3" s="20" t="s">
        <v>69</v>
      </c>
      <c r="F3" s="20" t="s">
        <v>70</v>
      </c>
      <c r="G3" s="20" t="s">
        <v>71</v>
      </c>
      <c r="H3" s="20" t="s">
        <v>72</v>
      </c>
    </row>
    <row r="4" customFormat="false" ht="54.75" hidden="false" customHeight="true" outlineLevel="0" collapsed="false">
      <c r="A4" s="8" t="n">
        <v>1</v>
      </c>
      <c r="B4" s="11" t="s">
        <v>73</v>
      </c>
      <c r="C4" s="9" t="s">
        <v>74</v>
      </c>
      <c r="D4" s="8" t="s">
        <v>75</v>
      </c>
      <c r="E4" s="10" t="s">
        <v>76</v>
      </c>
      <c r="F4" s="8" t="s">
        <v>77</v>
      </c>
      <c r="G4" s="10" t="s">
        <v>78</v>
      </c>
      <c r="H4" s="11" t="s">
        <v>79</v>
      </c>
    </row>
    <row r="5" customFormat="false" ht="54.75" hidden="false" customHeight="true" outlineLevel="0" collapsed="false">
      <c r="A5" s="4" t="n">
        <v>2</v>
      </c>
      <c r="B5" s="7" t="s">
        <v>80</v>
      </c>
      <c r="C5" s="5" t="s">
        <v>81</v>
      </c>
      <c r="D5" s="4" t="s">
        <v>75</v>
      </c>
      <c r="E5" s="6" t="s">
        <v>82</v>
      </c>
      <c r="F5" s="4" t="s">
        <v>77</v>
      </c>
      <c r="G5" s="6" t="s">
        <v>83</v>
      </c>
      <c r="H5" s="7" t="s">
        <v>79</v>
      </c>
    </row>
    <row r="6" customFormat="false" ht="54.75" hidden="false" customHeight="true" outlineLevel="0" collapsed="false">
      <c r="A6" s="8" t="n">
        <v>3</v>
      </c>
      <c r="B6" s="11" t="s">
        <v>84</v>
      </c>
      <c r="C6" s="9" t="s">
        <v>85</v>
      </c>
      <c r="D6" s="8" t="s">
        <v>75</v>
      </c>
      <c r="E6" s="10" t="s">
        <v>86</v>
      </c>
      <c r="F6" s="8" t="s">
        <v>77</v>
      </c>
      <c r="G6" s="10" t="s">
        <v>83</v>
      </c>
      <c r="H6" s="11" t="s">
        <v>79</v>
      </c>
    </row>
    <row r="7" customFormat="false" ht="54.75" hidden="false" customHeight="true" outlineLevel="0" collapsed="false">
      <c r="A7" s="4" t="n">
        <v>4</v>
      </c>
      <c r="B7" s="7" t="s">
        <v>87</v>
      </c>
      <c r="C7" s="5" t="s">
        <v>88</v>
      </c>
      <c r="D7" s="4" t="s">
        <v>75</v>
      </c>
      <c r="E7" s="6" t="s">
        <v>89</v>
      </c>
      <c r="F7" s="4" t="s">
        <v>77</v>
      </c>
      <c r="G7" s="6" t="s">
        <v>83</v>
      </c>
      <c r="H7" s="7" t="s">
        <v>79</v>
      </c>
    </row>
    <row r="8" customFormat="false" ht="54.75" hidden="false" customHeight="true" outlineLevel="0" collapsed="false">
      <c r="A8" s="8" t="n">
        <v>5</v>
      </c>
      <c r="B8" s="11" t="s">
        <v>90</v>
      </c>
      <c r="C8" s="9" t="s">
        <v>91</v>
      </c>
      <c r="D8" s="8" t="s">
        <v>75</v>
      </c>
      <c r="E8" s="10" t="s">
        <v>92</v>
      </c>
      <c r="F8" s="8" t="s">
        <v>77</v>
      </c>
      <c r="G8" s="10" t="s">
        <v>83</v>
      </c>
      <c r="H8" s="11" t="s">
        <v>79</v>
      </c>
    </row>
    <row r="9" customFormat="false" ht="54.75" hidden="false" customHeight="true" outlineLevel="0" collapsed="false">
      <c r="A9" s="4" t="n">
        <v>6</v>
      </c>
      <c r="B9" s="7" t="s">
        <v>93</v>
      </c>
      <c r="C9" s="5" t="s">
        <v>94</v>
      </c>
      <c r="D9" s="4" t="s">
        <v>75</v>
      </c>
      <c r="E9" s="6" t="s">
        <v>95</v>
      </c>
      <c r="F9" s="4" t="s">
        <v>77</v>
      </c>
      <c r="G9" s="6" t="s">
        <v>96</v>
      </c>
      <c r="H9" s="7" t="s">
        <v>79</v>
      </c>
    </row>
    <row r="10" customFormat="false" ht="54.75" hidden="false" customHeight="true" outlineLevel="0" collapsed="false">
      <c r="A10" s="8" t="n">
        <v>7</v>
      </c>
      <c r="B10" s="11" t="s">
        <v>97</v>
      </c>
      <c r="C10" s="9" t="s">
        <v>98</v>
      </c>
      <c r="D10" s="8" t="s">
        <v>75</v>
      </c>
      <c r="E10" s="10" t="s">
        <v>99</v>
      </c>
      <c r="F10" s="8" t="s">
        <v>77</v>
      </c>
      <c r="G10" s="10" t="s">
        <v>96</v>
      </c>
      <c r="H10" s="11" t="s">
        <v>79</v>
      </c>
    </row>
    <row r="11" customFormat="false" ht="54.75" hidden="false" customHeight="true" outlineLevel="0" collapsed="false">
      <c r="A11" s="4" t="n">
        <v>8</v>
      </c>
      <c r="B11" s="7" t="s">
        <v>100</v>
      </c>
      <c r="C11" s="5" t="s">
        <v>101</v>
      </c>
      <c r="D11" s="4" t="s">
        <v>75</v>
      </c>
      <c r="E11" s="6" t="s">
        <v>102</v>
      </c>
      <c r="F11" s="4" t="s">
        <v>77</v>
      </c>
      <c r="G11" s="6" t="s">
        <v>96</v>
      </c>
      <c r="H11" s="7" t="s">
        <v>79</v>
      </c>
    </row>
    <row r="12" customFormat="false" ht="54.75" hidden="false" customHeight="true" outlineLevel="0" collapsed="false">
      <c r="A12" s="8" t="n">
        <v>9</v>
      </c>
      <c r="B12" s="11" t="s">
        <v>103</v>
      </c>
      <c r="C12" s="9" t="s">
        <v>104</v>
      </c>
      <c r="D12" s="8" t="s">
        <v>75</v>
      </c>
      <c r="E12" s="10" t="s">
        <v>105</v>
      </c>
      <c r="F12" s="8" t="s">
        <v>77</v>
      </c>
      <c r="G12" s="10" t="s">
        <v>96</v>
      </c>
      <c r="H12" s="11" t="s">
        <v>79</v>
      </c>
    </row>
    <row r="13" customFormat="false" ht="54.75" hidden="false" customHeight="true" outlineLevel="0" collapsed="false">
      <c r="A13" s="4" t="n">
        <v>10</v>
      </c>
      <c r="B13" s="7" t="s">
        <v>106</v>
      </c>
      <c r="C13" s="5" t="s">
        <v>107</v>
      </c>
      <c r="D13" s="4" t="s">
        <v>75</v>
      </c>
      <c r="E13" s="6" t="s">
        <v>108</v>
      </c>
      <c r="F13" s="4" t="s">
        <v>77</v>
      </c>
      <c r="G13" s="6" t="s">
        <v>96</v>
      </c>
      <c r="H13" s="7" t="s">
        <v>79</v>
      </c>
    </row>
    <row r="14" customFormat="false" ht="54.75" hidden="false" customHeight="true" outlineLevel="0" collapsed="false">
      <c r="A14" s="8" t="n">
        <v>11</v>
      </c>
      <c r="B14" s="11" t="s">
        <v>109</v>
      </c>
      <c r="C14" s="9" t="s">
        <v>110</v>
      </c>
      <c r="D14" s="8" t="s">
        <v>75</v>
      </c>
      <c r="E14" s="10" t="s">
        <v>111</v>
      </c>
      <c r="F14" s="8" t="s">
        <v>77</v>
      </c>
      <c r="G14" s="10" t="s">
        <v>112</v>
      </c>
      <c r="H14" s="11" t="s">
        <v>79</v>
      </c>
    </row>
    <row r="15" customFormat="false" ht="54.75" hidden="false" customHeight="true" outlineLevel="0" collapsed="false">
      <c r="A15" s="4" t="n">
        <v>12</v>
      </c>
      <c r="B15" s="7" t="s">
        <v>113</v>
      </c>
      <c r="C15" s="5" t="s">
        <v>114</v>
      </c>
      <c r="D15" s="4" t="s">
        <v>115</v>
      </c>
      <c r="E15" s="6" t="s">
        <v>116</v>
      </c>
      <c r="F15" s="4" t="s">
        <v>117</v>
      </c>
      <c r="G15" s="6" t="s">
        <v>118</v>
      </c>
      <c r="H15" s="7" t="s">
        <v>79</v>
      </c>
    </row>
    <row r="16" customFormat="false" ht="54.75" hidden="false" customHeight="true" outlineLevel="0" collapsed="false">
      <c r="A16" s="8" t="n">
        <v>13</v>
      </c>
      <c r="B16" s="11" t="s">
        <v>119</v>
      </c>
      <c r="C16" s="9" t="s">
        <v>120</v>
      </c>
      <c r="D16" s="8" t="s">
        <v>75</v>
      </c>
      <c r="E16" s="10" t="s">
        <v>121</v>
      </c>
      <c r="F16" s="8" t="s">
        <v>77</v>
      </c>
      <c r="G16" s="10" t="s">
        <v>96</v>
      </c>
      <c r="H16" s="11" t="s">
        <v>79</v>
      </c>
    </row>
    <row r="17" customFormat="false" ht="54.75" hidden="false" customHeight="true" outlineLevel="0" collapsed="false">
      <c r="A17" s="4" t="n">
        <v>14</v>
      </c>
      <c r="B17" s="7" t="s">
        <v>122</v>
      </c>
      <c r="C17" s="5" t="s">
        <v>123</v>
      </c>
      <c r="D17" s="4" t="s">
        <v>115</v>
      </c>
      <c r="E17" s="6" t="s">
        <v>124</v>
      </c>
      <c r="F17" s="4" t="s">
        <v>125</v>
      </c>
      <c r="G17" s="6" t="s">
        <v>83</v>
      </c>
      <c r="H17" s="7" t="s">
        <v>79</v>
      </c>
    </row>
    <row r="18" customFormat="false" ht="54.75" hidden="false" customHeight="true" outlineLevel="0" collapsed="false">
      <c r="A18" s="8" t="n">
        <v>15</v>
      </c>
      <c r="B18" s="11" t="s">
        <v>126</v>
      </c>
      <c r="C18" s="9" t="s">
        <v>127</v>
      </c>
      <c r="D18" s="8" t="s">
        <v>115</v>
      </c>
      <c r="E18" s="10" t="s">
        <v>128</v>
      </c>
      <c r="F18" s="8" t="s">
        <v>125</v>
      </c>
      <c r="G18" s="10" t="s">
        <v>129</v>
      </c>
      <c r="H18" s="11" t="s">
        <v>79</v>
      </c>
    </row>
    <row r="19" customFormat="false" ht="54.75" hidden="false" customHeight="true" outlineLevel="0" collapsed="false">
      <c r="A19" s="4" t="n">
        <v>16</v>
      </c>
      <c r="B19" s="7" t="s">
        <v>130</v>
      </c>
      <c r="C19" s="5" t="s">
        <v>131</v>
      </c>
      <c r="D19" s="4" t="s">
        <v>115</v>
      </c>
      <c r="E19" s="6" t="s">
        <v>132</v>
      </c>
      <c r="F19" s="4" t="s">
        <v>125</v>
      </c>
      <c r="G19" s="6" t="s">
        <v>129</v>
      </c>
      <c r="H19" s="7" t="s">
        <v>79</v>
      </c>
    </row>
    <row r="20" customFormat="false" ht="54.75" hidden="false" customHeight="true" outlineLevel="0" collapsed="false">
      <c r="A20" s="8" t="n">
        <v>17</v>
      </c>
      <c r="B20" s="11" t="s">
        <v>133</v>
      </c>
      <c r="C20" s="9" t="s">
        <v>134</v>
      </c>
      <c r="D20" s="8" t="s">
        <v>115</v>
      </c>
      <c r="E20" s="10" t="s">
        <v>135</v>
      </c>
      <c r="F20" s="8" t="s">
        <v>125</v>
      </c>
      <c r="G20" s="10" t="s">
        <v>136</v>
      </c>
      <c r="H20" s="11" t="s">
        <v>79</v>
      </c>
    </row>
    <row r="21" customFormat="false" ht="54.75" hidden="false" customHeight="true" outlineLevel="0" collapsed="false">
      <c r="A21" s="4" t="n">
        <v>18</v>
      </c>
      <c r="B21" s="7" t="s">
        <v>137</v>
      </c>
      <c r="C21" s="5" t="s">
        <v>138</v>
      </c>
      <c r="D21" s="4" t="s">
        <v>115</v>
      </c>
      <c r="E21" s="6" t="s">
        <v>139</v>
      </c>
      <c r="F21" s="4" t="s">
        <v>140</v>
      </c>
      <c r="G21" s="6" t="s">
        <v>141</v>
      </c>
      <c r="H21" s="7" t="s">
        <v>79</v>
      </c>
    </row>
    <row r="22" customFormat="false" ht="54.75" hidden="false" customHeight="true" outlineLevel="0" collapsed="false">
      <c r="A22" s="8" t="n">
        <v>19</v>
      </c>
      <c r="B22" s="11" t="s">
        <v>142</v>
      </c>
      <c r="C22" s="9" t="s">
        <v>143</v>
      </c>
      <c r="D22" s="8" t="s">
        <v>144</v>
      </c>
      <c r="E22" s="10" t="s">
        <v>145</v>
      </c>
      <c r="F22" s="8" t="s">
        <v>146</v>
      </c>
      <c r="G22" s="10" t="s">
        <v>147</v>
      </c>
      <c r="H22" s="11" t="s">
        <v>79</v>
      </c>
    </row>
    <row r="23" customFormat="false" ht="54.75" hidden="false" customHeight="true" outlineLevel="0" collapsed="false">
      <c r="A23" s="4" t="n">
        <v>20</v>
      </c>
      <c r="B23" s="7" t="s">
        <v>148</v>
      </c>
      <c r="C23" s="5" t="s">
        <v>149</v>
      </c>
      <c r="D23" s="4" t="s">
        <v>150</v>
      </c>
      <c r="E23" s="6" t="s">
        <v>151</v>
      </c>
      <c r="F23" s="4" t="s">
        <v>152</v>
      </c>
      <c r="G23" s="6" t="s">
        <v>153</v>
      </c>
      <c r="H23" s="7" t="s">
        <v>79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7" min="6" style="0" width="22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21" t="s">
        <v>154</v>
      </c>
      <c r="B1" s="21"/>
      <c r="C1" s="21"/>
      <c r="D1" s="21"/>
      <c r="E1" s="21"/>
      <c r="F1" s="21"/>
      <c r="G1" s="21"/>
      <c r="H1" s="21"/>
    </row>
    <row r="2" customFormat="false" ht="25.5" hidden="false" customHeight="true" outlineLevel="0" collapsed="false">
      <c r="A2" s="22" t="s">
        <v>155</v>
      </c>
      <c r="B2" s="22"/>
      <c r="C2" s="22"/>
      <c r="D2" s="22"/>
      <c r="E2" s="22"/>
      <c r="F2" s="22"/>
      <c r="G2" s="22"/>
      <c r="H2" s="22"/>
    </row>
    <row r="3" customFormat="false" ht="23.85" hidden="false" customHeight="false" outlineLevel="0" collapsed="false">
      <c r="A3" s="23" t="s">
        <v>2</v>
      </c>
      <c r="B3" s="23" t="s">
        <v>66</v>
      </c>
      <c r="C3" s="23" t="s">
        <v>67</v>
      </c>
      <c r="D3" s="23" t="s">
        <v>68</v>
      </c>
      <c r="E3" s="23" t="s">
        <v>69</v>
      </c>
      <c r="F3" s="23" t="s">
        <v>70</v>
      </c>
      <c r="G3" s="23" t="s">
        <v>71</v>
      </c>
      <c r="H3" s="23" t="s">
        <v>72</v>
      </c>
    </row>
    <row r="4" customFormat="false" ht="49.5" hidden="false" customHeight="true" outlineLevel="0" collapsed="false">
      <c r="A4" s="8" t="n">
        <v>1</v>
      </c>
      <c r="B4" s="11" t="s">
        <v>156</v>
      </c>
      <c r="C4" s="9" t="s">
        <v>157</v>
      </c>
      <c r="D4" s="8" t="s">
        <v>75</v>
      </c>
      <c r="E4" s="10" t="s">
        <v>158</v>
      </c>
      <c r="F4" s="8" t="s">
        <v>77</v>
      </c>
      <c r="G4" s="10" t="s">
        <v>83</v>
      </c>
      <c r="H4" s="11" t="s">
        <v>79</v>
      </c>
    </row>
    <row r="5" customFormat="false" ht="49.5" hidden="false" customHeight="true" outlineLevel="0" collapsed="false">
      <c r="A5" s="4" t="n">
        <v>2</v>
      </c>
      <c r="B5" s="7" t="s">
        <v>159</v>
      </c>
      <c r="C5" s="5" t="s">
        <v>160</v>
      </c>
      <c r="D5" s="4" t="s">
        <v>75</v>
      </c>
      <c r="E5" s="6" t="s">
        <v>161</v>
      </c>
      <c r="F5" s="4" t="s">
        <v>77</v>
      </c>
      <c r="G5" s="6" t="s">
        <v>83</v>
      </c>
      <c r="H5" s="7" t="s">
        <v>79</v>
      </c>
    </row>
    <row r="6" customFormat="false" ht="49.5" hidden="false" customHeight="true" outlineLevel="0" collapsed="false">
      <c r="A6" s="8" t="n">
        <v>3</v>
      </c>
      <c r="B6" s="11" t="s">
        <v>162</v>
      </c>
      <c r="C6" s="9" t="s">
        <v>163</v>
      </c>
      <c r="D6" s="8" t="s">
        <v>75</v>
      </c>
      <c r="E6" s="10" t="s">
        <v>164</v>
      </c>
      <c r="F6" s="8" t="s">
        <v>77</v>
      </c>
      <c r="G6" s="10" t="s">
        <v>83</v>
      </c>
      <c r="H6" s="11" t="s">
        <v>79</v>
      </c>
    </row>
    <row r="7" customFormat="false" ht="49.5" hidden="false" customHeight="true" outlineLevel="0" collapsed="false">
      <c r="A7" s="4" t="n">
        <v>4</v>
      </c>
      <c r="B7" s="7" t="s">
        <v>165</v>
      </c>
      <c r="C7" s="5" t="s">
        <v>166</v>
      </c>
      <c r="D7" s="4" t="s">
        <v>75</v>
      </c>
      <c r="E7" s="6" t="s">
        <v>167</v>
      </c>
      <c r="F7" s="4" t="s">
        <v>77</v>
      </c>
      <c r="G7" s="6" t="s">
        <v>83</v>
      </c>
      <c r="H7" s="7" t="s">
        <v>79</v>
      </c>
    </row>
    <row r="8" customFormat="false" ht="49.5" hidden="false" customHeight="true" outlineLevel="0" collapsed="false">
      <c r="A8" s="8" t="n">
        <v>5</v>
      </c>
      <c r="B8" s="11" t="s">
        <v>168</v>
      </c>
      <c r="C8" s="9" t="s">
        <v>169</v>
      </c>
      <c r="D8" s="8" t="s">
        <v>75</v>
      </c>
      <c r="E8" s="10" t="s">
        <v>170</v>
      </c>
      <c r="F8" s="8" t="s">
        <v>77</v>
      </c>
      <c r="G8" s="10" t="s">
        <v>83</v>
      </c>
      <c r="H8" s="11" t="s">
        <v>79</v>
      </c>
    </row>
    <row r="9" customFormat="false" ht="49.5" hidden="false" customHeight="true" outlineLevel="0" collapsed="false">
      <c r="A9" s="4" t="n">
        <v>6</v>
      </c>
      <c r="B9" s="7" t="s">
        <v>171</v>
      </c>
      <c r="C9" s="5" t="s">
        <v>172</v>
      </c>
      <c r="D9" s="4" t="s">
        <v>75</v>
      </c>
      <c r="E9" s="6" t="s">
        <v>173</v>
      </c>
      <c r="F9" s="4" t="s">
        <v>77</v>
      </c>
      <c r="G9" s="6" t="s">
        <v>83</v>
      </c>
      <c r="H9" s="7" t="s">
        <v>79</v>
      </c>
    </row>
    <row r="10" customFormat="false" ht="49.5" hidden="false" customHeight="true" outlineLevel="0" collapsed="false">
      <c r="A10" s="8" t="n">
        <v>7</v>
      </c>
      <c r="B10" s="11" t="s">
        <v>174</v>
      </c>
      <c r="C10" s="9" t="s">
        <v>175</v>
      </c>
      <c r="D10" s="8" t="s">
        <v>75</v>
      </c>
      <c r="E10" s="10" t="s">
        <v>176</v>
      </c>
      <c r="F10" s="8" t="s">
        <v>77</v>
      </c>
      <c r="G10" s="10" t="s">
        <v>177</v>
      </c>
      <c r="H10" s="11" t="s">
        <v>79</v>
      </c>
    </row>
    <row r="11" customFormat="false" ht="49.5" hidden="false" customHeight="true" outlineLevel="0" collapsed="false">
      <c r="A11" s="4" t="n">
        <v>8</v>
      </c>
      <c r="B11" s="7" t="s">
        <v>178</v>
      </c>
      <c r="C11" s="5" t="s">
        <v>179</v>
      </c>
      <c r="D11" s="4" t="s">
        <v>115</v>
      </c>
      <c r="E11" s="6" t="s">
        <v>180</v>
      </c>
      <c r="F11" s="4" t="s">
        <v>125</v>
      </c>
      <c r="G11" s="6" t="s">
        <v>83</v>
      </c>
      <c r="H11" s="7" t="s">
        <v>79</v>
      </c>
    </row>
    <row r="12" customFormat="false" ht="49.5" hidden="false" customHeight="true" outlineLevel="0" collapsed="false">
      <c r="A12" s="8" t="n">
        <v>9</v>
      </c>
      <c r="B12" s="11" t="s">
        <v>181</v>
      </c>
      <c r="C12" s="9" t="s">
        <v>182</v>
      </c>
      <c r="D12" s="8" t="s">
        <v>115</v>
      </c>
      <c r="E12" s="10" t="s">
        <v>183</v>
      </c>
      <c r="F12" s="8" t="s">
        <v>125</v>
      </c>
      <c r="G12" s="10" t="s">
        <v>83</v>
      </c>
      <c r="H12" s="11" t="s">
        <v>79</v>
      </c>
    </row>
    <row r="13" customFormat="false" ht="49.5" hidden="false" customHeight="true" outlineLevel="0" collapsed="false">
      <c r="A13" s="4" t="n">
        <v>10</v>
      </c>
      <c r="B13" s="7" t="s">
        <v>184</v>
      </c>
      <c r="C13" s="5" t="s">
        <v>185</v>
      </c>
      <c r="D13" s="4" t="s">
        <v>115</v>
      </c>
      <c r="E13" s="6" t="s">
        <v>186</v>
      </c>
      <c r="F13" s="4" t="s">
        <v>125</v>
      </c>
      <c r="G13" s="6" t="s">
        <v>187</v>
      </c>
      <c r="H13" s="7" t="s">
        <v>79</v>
      </c>
    </row>
    <row r="14" customFormat="false" ht="49.5" hidden="false" customHeight="true" outlineLevel="0" collapsed="false">
      <c r="A14" s="8" t="n">
        <v>11</v>
      </c>
      <c r="B14" s="11" t="s">
        <v>188</v>
      </c>
      <c r="C14" s="9" t="s">
        <v>189</v>
      </c>
      <c r="D14" s="8" t="s">
        <v>115</v>
      </c>
      <c r="E14" s="10" t="s">
        <v>190</v>
      </c>
      <c r="F14" s="8" t="s">
        <v>191</v>
      </c>
      <c r="G14" s="10" t="s">
        <v>192</v>
      </c>
      <c r="H14" s="11" t="s">
        <v>79</v>
      </c>
    </row>
    <row r="15" customFormat="false" ht="49.5" hidden="false" customHeight="true" outlineLevel="0" collapsed="false">
      <c r="A15" s="4" t="n">
        <v>12</v>
      </c>
      <c r="B15" s="7" t="s">
        <v>193</v>
      </c>
      <c r="C15" s="5" t="s">
        <v>194</v>
      </c>
      <c r="D15" s="4" t="s">
        <v>115</v>
      </c>
      <c r="E15" s="6" t="s">
        <v>195</v>
      </c>
      <c r="F15" s="4" t="s">
        <v>125</v>
      </c>
      <c r="G15" s="6" t="s">
        <v>83</v>
      </c>
      <c r="H15" s="7" t="s">
        <v>79</v>
      </c>
    </row>
    <row r="16" customFormat="false" ht="49.5" hidden="false" customHeight="true" outlineLevel="0" collapsed="false">
      <c r="A16" s="8" t="n">
        <v>13</v>
      </c>
      <c r="B16" s="11" t="s">
        <v>196</v>
      </c>
      <c r="C16" s="9" t="s">
        <v>197</v>
      </c>
      <c r="D16" s="8" t="s">
        <v>75</v>
      </c>
      <c r="E16" s="10" t="s">
        <v>198</v>
      </c>
      <c r="F16" s="8" t="s">
        <v>77</v>
      </c>
      <c r="G16" s="10" t="s">
        <v>83</v>
      </c>
      <c r="H16" s="11" t="s">
        <v>199</v>
      </c>
    </row>
    <row r="17" customFormat="false" ht="49.5" hidden="false" customHeight="true" outlineLevel="0" collapsed="false">
      <c r="A17" s="4" t="n">
        <v>14</v>
      </c>
      <c r="B17" s="7" t="s">
        <v>200</v>
      </c>
      <c r="C17" s="5" t="s">
        <v>201</v>
      </c>
      <c r="D17" s="4" t="s">
        <v>75</v>
      </c>
      <c r="E17" s="6" t="s">
        <v>202</v>
      </c>
      <c r="F17" s="4" t="s">
        <v>77</v>
      </c>
      <c r="G17" s="6" t="s">
        <v>203</v>
      </c>
      <c r="H17" s="7" t="s">
        <v>79</v>
      </c>
    </row>
    <row r="18" customFormat="false" ht="49.5" hidden="false" customHeight="true" outlineLevel="0" collapsed="false">
      <c r="A18" s="8" t="n">
        <v>15</v>
      </c>
      <c r="B18" s="11" t="s">
        <v>204</v>
      </c>
      <c r="C18" s="9" t="s">
        <v>205</v>
      </c>
      <c r="D18" s="8" t="s">
        <v>75</v>
      </c>
      <c r="E18" s="10" t="s">
        <v>206</v>
      </c>
      <c r="F18" s="8" t="s">
        <v>77</v>
      </c>
      <c r="G18" s="10" t="s">
        <v>83</v>
      </c>
      <c r="H18" s="11" t="s">
        <v>79</v>
      </c>
    </row>
    <row r="19" customFormat="false" ht="49.5" hidden="false" customHeight="true" outlineLevel="0" collapsed="false">
      <c r="A19" s="4" t="n">
        <v>16</v>
      </c>
      <c r="B19" s="7" t="s">
        <v>207</v>
      </c>
      <c r="C19" s="5" t="s">
        <v>208</v>
      </c>
      <c r="D19" s="4" t="s">
        <v>75</v>
      </c>
      <c r="E19" s="6" t="s">
        <v>209</v>
      </c>
      <c r="F19" s="4" t="s">
        <v>77</v>
      </c>
      <c r="G19" s="6" t="s">
        <v>83</v>
      </c>
      <c r="H19" s="7" t="s">
        <v>79</v>
      </c>
    </row>
    <row r="20" customFormat="false" ht="49.5" hidden="false" customHeight="true" outlineLevel="0" collapsed="false">
      <c r="A20" s="8" t="n">
        <v>17</v>
      </c>
      <c r="B20" s="11" t="s">
        <v>210</v>
      </c>
      <c r="C20" s="9" t="s">
        <v>211</v>
      </c>
      <c r="D20" s="8" t="s">
        <v>75</v>
      </c>
      <c r="E20" s="10" t="s">
        <v>212</v>
      </c>
      <c r="F20" s="8" t="s">
        <v>77</v>
      </c>
      <c r="G20" s="10" t="s">
        <v>83</v>
      </c>
      <c r="H20" s="11" t="s">
        <v>79</v>
      </c>
    </row>
    <row r="21" customFormat="false" ht="49.5" hidden="false" customHeight="true" outlineLevel="0" collapsed="false">
      <c r="A21" s="4" t="n">
        <v>18</v>
      </c>
      <c r="B21" s="7" t="s">
        <v>213</v>
      </c>
      <c r="C21" s="5" t="s">
        <v>214</v>
      </c>
      <c r="D21" s="4" t="s">
        <v>75</v>
      </c>
      <c r="E21" s="6" t="s">
        <v>215</v>
      </c>
      <c r="F21" s="4" t="s">
        <v>77</v>
      </c>
      <c r="G21" s="6" t="s">
        <v>83</v>
      </c>
      <c r="H21" s="7" t="s">
        <v>79</v>
      </c>
    </row>
    <row r="22" customFormat="false" ht="49.5" hidden="false" customHeight="true" outlineLevel="0" collapsed="false">
      <c r="A22" s="8" t="n">
        <v>19</v>
      </c>
      <c r="B22" s="11" t="s">
        <v>216</v>
      </c>
      <c r="C22" s="9" t="s">
        <v>217</v>
      </c>
      <c r="D22" s="8" t="s">
        <v>75</v>
      </c>
      <c r="E22" s="10" t="s">
        <v>218</v>
      </c>
      <c r="F22" s="8" t="s">
        <v>77</v>
      </c>
      <c r="G22" s="10" t="s">
        <v>83</v>
      </c>
      <c r="H22" s="11" t="s">
        <v>79</v>
      </c>
    </row>
    <row r="23" customFormat="false" ht="49.5" hidden="false" customHeight="true" outlineLevel="0" collapsed="false">
      <c r="A23" s="4" t="n">
        <v>20</v>
      </c>
      <c r="B23" s="7" t="s">
        <v>219</v>
      </c>
      <c r="C23" s="5" t="s">
        <v>220</v>
      </c>
      <c r="D23" s="4" t="s">
        <v>115</v>
      </c>
      <c r="E23" s="6" t="s">
        <v>221</v>
      </c>
      <c r="F23" s="4" t="s">
        <v>117</v>
      </c>
      <c r="G23" s="6" t="s">
        <v>222</v>
      </c>
      <c r="H23" s="7" t="s">
        <v>79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28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24" t="s">
        <v>223</v>
      </c>
      <c r="B1" s="24"/>
      <c r="C1" s="24"/>
      <c r="D1" s="24"/>
      <c r="E1" s="24"/>
    </row>
    <row r="2" customFormat="false" ht="25.5" hidden="false" customHeight="true" outlineLevel="0" collapsed="false">
      <c r="A2" s="25" t="s">
        <v>224</v>
      </c>
      <c r="B2" s="25"/>
      <c r="C2" s="25"/>
      <c r="D2" s="25"/>
      <c r="E2" s="25"/>
    </row>
    <row r="3" customFormat="false" ht="15" hidden="false" customHeight="false" outlineLevel="0" collapsed="false">
      <c r="A3" s="26" t="s">
        <v>66</v>
      </c>
      <c r="B3" s="26" t="s">
        <v>225</v>
      </c>
      <c r="C3" s="26" t="s">
        <v>226</v>
      </c>
      <c r="D3" s="26" t="s">
        <v>227</v>
      </c>
      <c r="E3" s="26" t="s">
        <v>228</v>
      </c>
    </row>
    <row r="4" customFormat="false" ht="31.5" hidden="false" customHeight="true" outlineLevel="0" collapsed="false">
      <c r="A4" s="11" t="s">
        <v>73</v>
      </c>
      <c r="B4" s="27" t="s">
        <v>74</v>
      </c>
      <c r="C4" s="28"/>
      <c r="D4" s="11" t="str">
        <f aca="false">IF(C4="","Pending",IF(C4&gt;=0,"✓ Valid","✗ Must be ≥0"))</f>
        <v>Pending</v>
      </c>
      <c r="E4" s="8" t="s">
        <v>77</v>
      </c>
    </row>
    <row r="5" customFormat="false" ht="31.5" hidden="false" customHeight="true" outlineLevel="0" collapsed="false">
      <c r="A5" s="7" t="s">
        <v>80</v>
      </c>
      <c r="B5" s="29" t="s">
        <v>81</v>
      </c>
      <c r="C5" s="30"/>
      <c r="D5" s="7" t="str">
        <f aca="false">IF(C5="","Pending",IF(C5&gt;=0,"✓ Valid","✗ Must be ≥0"))</f>
        <v>Pending</v>
      </c>
      <c r="E5" s="4" t="s">
        <v>77</v>
      </c>
    </row>
    <row r="6" customFormat="false" ht="31.5" hidden="false" customHeight="true" outlineLevel="0" collapsed="false">
      <c r="A6" s="11" t="s">
        <v>84</v>
      </c>
      <c r="B6" s="27" t="s">
        <v>85</v>
      </c>
      <c r="C6" s="28"/>
      <c r="D6" s="11" t="str">
        <f aca="false">IF(C6="","Pending",IF(C6&gt;=0,"✓ Valid","✗ Must be ≥0"))</f>
        <v>Pending</v>
      </c>
      <c r="E6" s="8" t="s">
        <v>77</v>
      </c>
    </row>
    <row r="7" customFormat="false" ht="31.5" hidden="false" customHeight="true" outlineLevel="0" collapsed="false">
      <c r="A7" s="7" t="s">
        <v>87</v>
      </c>
      <c r="B7" s="29" t="s">
        <v>88</v>
      </c>
      <c r="C7" s="30"/>
      <c r="D7" s="7" t="str">
        <f aca="false">IF(C7="","Pending",IF(C7&gt;=0,"✓ Valid","✗ Must be ≥0"))</f>
        <v>Pending</v>
      </c>
      <c r="E7" s="4" t="s">
        <v>77</v>
      </c>
    </row>
    <row r="8" customFormat="false" ht="31.5" hidden="false" customHeight="true" outlineLevel="0" collapsed="false">
      <c r="A8" s="11" t="s">
        <v>90</v>
      </c>
      <c r="B8" s="27" t="s">
        <v>91</v>
      </c>
      <c r="C8" s="28"/>
      <c r="D8" s="11" t="str">
        <f aca="false">IF(C8="","Pending",IF(C8&gt;=0,"✓ Valid","✗ Must be ≥0"))</f>
        <v>Pending</v>
      </c>
      <c r="E8" s="8" t="s">
        <v>77</v>
      </c>
    </row>
    <row r="9" customFormat="false" ht="31.5" hidden="false" customHeight="true" outlineLevel="0" collapsed="false">
      <c r="A9" s="7" t="s">
        <v>93</v>
      </c>
      <c r="B9" s="29" t="s">
        <v>94</v>
      </c>
      <c r="C9" s="30"/>
      <c r="D9" s="7" t="str">
        <f aca="false">IF(C9="","Pending",IF(C9&gt;=0,"✓ Valid","✗ Must be ≥0"))</f>
        <v>Pending</v>
      </c>
      <c r="E9" s="4" t="s">
        <v>77</v>
      </c>
    </row>
    <row r="10" customFormat="false" ht="31.5" hidden="false" customHeight="true" outlineLevel="0" collapsed="false">
      <c r="A10" s="11" t="s">
        <v>97</v>
      </c>
      <c r="B10" s="27" t="s">
        <v>98</v>
      </c>
      <c r="C10" s="28"/>
      <c r="D10" s="11" t="str">
        <f aca="false">IF(C10="","Pending",IF(C10&gt;=0,"✓ Valid","✗ Must be ≥0"))</f>
        <v>Pending</v>
      </c>
      <c r="E10" s="8" t="s">
        <v>77</v>
      </c>
    </row>
    <row r="11" customFormat="false" ht="31.5" hidden="false" customHeight="true" outlineLevel="0" collapsed="false">
      <c r="A11" s="7" t="s">
        <v>100</v>
      </c>
      <c r="B11" s="29" t="s">
        <v>101</v>
      </c>
      <c r="C11" s="30"/>
      <c r="D11" s="7" t="str">
        <f aca="false">IF(C11="","Pending",IF(C11&gt;=0,"✓ Valid","✗ Must be ≥0"))</f>
        <v>Pending</v>
      </c>
      <c r="E11" s="4" t="s">
        <v>77</v>
      </c>
    </row>
    <row r="12" customFormat="false" ht="31.5" hidden="false" customHeight="true" outlineLevel="0" collapsed="false">
      <c r="A12" s="11" t="s">
        <v>103</v>
      </c>
      <c r="B12" s="27" t="s">
        <v>104</v>
      </c>
      <c r="C12" s="28"/>
      <c r="D12" s="11" t="str">
        <f aca="false">IF(C12="","Pending",IF(C12&gt;=0,"✓ Valid","✗ Must be ≥0"))</f>
        <v>Pending</v>
      </c>
      <c r="E12" s="8" t="s">
        <v>77</v>
      </c>
    </row>
    <row r="13" customFormat="false" ht="31.5" hidden="false" customHeight="true" outlineLevel="0" collapsed="false">
      <c r="A13" s="7" t="s">
        <v>106</v>
      </c>
      <c r="B13" s="29" t="s">
        <v>107</v>
      </c>
      <c r="C13" s="30"/>
      <c r="D13" s="7" t="str">
        <f aca="false">IF(C13="","Pending",IF(C13&gt;=0,"✓ Valid","✗ Must be ≥0"))</f>
        <v>Pending</v>
      </c>
      <c r="E13" s="4" t="s">
        <v>77</v>
      </c>
    </row>
    <row r="14" customFormat="false" ht="31.5" hidden="false" customHeight="true" outlineLevel="0" collapsed="false">
      <c r="A14" s="11" t="s">
        <v>109</v>
      </c>
      <c r="B14" s="27" t="s">
        <v>110</v>
      </c>
      <c r="C14" s="28"/>
      <c r="D14" s="11" t="str">
        <f aca="false">IF(C14="","Pending",IF(C14&gt;=0,"✓ Valid","✗ Must be ≥0"))</f>
        <v>Pending</v>
      </c>
      <c r="E14" s="8" t="s">
        <v>77</v>
      </c>
    </row>
    <row r="15" customFormat="false" ht="31.5" hidden="false" customHeight="true" outlineLevel="0" collapsed="false">
      <c r="A15" s="7" t="s">
        <v>113</v>
      </c>
      <c r="B15" s="29" t="s">
        <v>114</v>
      </c>
      <c r="C15" s="30"/>
      <c r="D15" s="7" t="str">
        <f aca="false">IF(C15="","Pending",IF(C15&gt;=1,"✓ Valid","✗ Must be ≥1"))</f>
        <v>Pending</v>
      </c>
      <c r="E15" s="4" t="s">
        <v>117</v>
      </c>
    </row>
    <row r="16" customFormat="false" ht="31.5" hidden="false" customHeight="true" outlineLevel="0" collapsed="false">
      <c r="A16" s="11" t="s">
        <v>119</v>
      </c>
      <c r="B16" s="27" t="s">
        <v>120</v>
      </c>
      <c r="C16" s="28"/>
      <c r="D16" s="11" t="str">
        <f aca="false">IF(C16="","Pending",IF(C16&gt;=0,"✓ Valid","✗ Must be ≥0"))</f>
        <v>Pending</v>
      </c>
      <c r="E16" s="8" t="s">
        <v>77</v>
      </c>
    </row>
    <row r="17" customFormat="false" ht="31.5" hidden="false" customHeight="true" outlineLevel="0" collapsed="false">
      <c r="A17" s="7" t="s">
        <v>122</v>
      </c>
      <c r="B17" s="29" t="s">
        <v>123</v>
      </c>
      <c r="C17" s="30"/>
      <c r="D17" s="7" t="str">
        <f aca="false">IF(C17="","Pending","✓ Entered")</f>
        <v>Pending</v>
      </c>
      <c r="E17" s="4" t="s">
        <v>125</v>
      </c>
    </row>
    <row r="18" customFormat="false" ht="31.5" hidden="false" customHeight="true" outlineLevel="0" collapsed="false">
      <c r="A18" s="11" t="s">
        <v>126</v>
      </c>
      <c r="B18" s="27" t="s">
        <v>127</v>
      </c>
      <c r="C18" s="28"/>
      <c r="D18" s="11" t="str">
        <f aca="false">IF(C18="","Pending","✓ Entered")</f>
        <v>Pending</v>
      </c>
      <c r="E18" s="8" t="s">
        <v>125</v>
      </c>
    </row>
    <row r="19" customFormat="false" ht="31.5" hidden="false" customHeight="true" outlineLevel="0" collapsed="false">
      <c r="A19" s="7" t="s">
        <v>130</v>
      </c>
      <c r="B19" s="29" t="s">
        <v>131</v>
      </c>
      <c r="C19" s="30"/>
      <c r="D19" s="7" t="str">
        <f aca="false">IF(C19="","Pending","✓ Entered")</f>
        <v>Pending</v>
      </c>
      <c r="E19" s="4" t="s">
        <v>125</v>
      </c>
    </row>
    <row r="20" customFormat="false" ht="31.5" hidden="false" customHeight="true" outlineLevel="0" collapsed="false">
      <c r="A20" s="11" t="s">
        <v>133</v>
      </c>
      <c r="B20" s="27" t="s">
        <v>134</v>
      </c>
      <c r="C20" s="28"/>
      <c r="D20" s="11" t="str">
        <f aca="false">IF(C20="","Pending","✓ Entered")</f>
        <v>Pending</v>
      </c>
      <c r="E20" s="8" t="s">
        <v>125</v>
      </c>
    </row>
    <row r="21" customFormat="false" ht="31.5" hidden="false" customHeight="true" outlineLevel="0" collapsed="false">
      <c r="A21" s="7" t="s">
        <v>137</v>
      </c>
      <c r="B21" s="29" t="s">
        <v>138</v>
      </c>
      <c r="C21" s="30"/>
      <c r="D21" s="7" t="str">
        <f aca="false">IF(C21="","Pending","✓ Entered")</f>
        <v>Pending</v>
      </c>
      <c r="E21" s="4" t="s">
        <v>140</v>
      </c>
    </row>
    <row r="22" customFormat="false" ht="31.5" hidden="false" customHeight="true" outlineLevel="0" collapsed="false">
      <c r="A22" s="11" t="s">
        <v>142</v>
      </c>
      <c r="B22" s="27" t="s">
        <v>143</v>
      </c>
      <c r="C22" s="28"/>
      <c r="D22" s="11" t="str">
        <f aca="false">IF(C22="","Pending","✓ Entered")</f>
        <v>Pending</v>
      </c>
      <c r="E22" s="8" t="s">
        <v>146</v>
      </c>
    </row>
    <row r="23" customFormat="false" ht="31.5" hidden="false" customHeight="true" outlineLevel="0" collapsed="false">
      <c r="A23" s="7" t="s">
        <v>148</v>
      </c>
      <c r="B23" s="29" t="s">
        <v>149</v>
      </c>
      <c r="C23" s="30"/>
      <c r="D23" s="7" t="str">
        <f aca="false">IF(C23="","Pending",IF(OR(C23="Y",C23="N"),"✓ Valid","✗ Must be Y or N"))</f>
        <v>Pending</v>
      </c>
      <c r="E23" s="4" t="s">
        <v>152</v>
      </c>
    </row>
    <row r="25" customFormat="false" ht="25.5" hidden="false" customHeight="true" outlineLevel="0" collapsed="false">
      <c r="A25" s="17" t="s">
        <v>229</v>
      </c>
      <c r="B25" s="17"/>
      <c r="C25" s="17"/>
      <c r="D25" s="17"/>
      <c r="E25" s="17"/>
    </row>
    <row r="26" customFormat="false" ht="15" hidden="false" customHeight="false" outlineLevel="0" collapsed="false">
      <c r="A26" s="31"/>
      <c r="B26" s="32" t="s">
        <v>230</v>
      </c>
      <c r="C26" s="33" t="n">
        <f aca="false">C4+C5+C6+C7+C8</f>
        <v>0</v>
      </c>
      <c r="D26" s="33" t="str">
        <f aca="false">IF(ABS(C4+C5+C6+C7+C8)&gt;=0,"✓","✗")</f>
        <v>✓</v>
      </c>
      <c r="E26" s="34"/>
    </row>
    <row r="27" customFormat="false" ht="15" hidden="false" customHeight="false" outlineLevel="0" collapsed="false">
      <c r="A27" s="31"/>
      <c r="B27" s="32" t="s">
        <v>231</v>
      </c>
      <c r="C27" s="33" t="n">
        <f aca="false">C9+C10+C11+C12+C13+C14</f>
        <v>0</v>
      </c>
      <c r="D27" s="33" t="str">
        <f aca="false">IF(ABS((C9+C10+C11+C12+C13+C14)-(C4+C5+C6+C7+C8))&lt;0.01,"✓ Match","✗ Mismatch")</f>
        <v>✓ Match</v>
      </c>
      <c r="E27" s="34"/>
    </row>
    <row r="28" customFormat="false" ht="15" hidden="false" customHeight="false" outlineLevel="0" collapsed="false">
      <c r="A28" s="31"/>
      <c r="B28" s="32" t="s">
        <v>232</v>
      </c>
      <c r="C28" s="33" t="n">
        <f aca="false">C16</f>
        <v>0</v>
      </c>
      <c r="D28" s="33" t="str">
        <f aca="false">IF(C16&lt;=(C4+C5+C6+C7+C8),"✓ Valid","✗ Exceeds total")</f>
        <v>✓ Valid</v>
      </c>
      <c r="E28" s="34"/>
    </row>
    <row r="29" customFormat="false" ht="15" hidden="false" customHeight="false" outlineLevel="0" collapsed="false">
      <c r="A29" s="31"/>
      <c r="B29" s="32" t="s">
        <v>233</v>
      </c>
      <c r="C29" s="33" t="n">
        <f aca="false">C18</f>
        <v>0</v>
      </c>
      <c r="D29" s="33" t="str">
        <f aca="false">IF(C18&lt;=C17,"✓ Valid","✗ Awarded &gt; Submitted")</f>
        <v>✓ Valid</v>
      </c>
      <c r="E29" s="34"/>
    </row>
    <row r="30" customFormat="false" ht="15" hidden="false" customHeight="false" outlineLevel="0" collapsed="false">
      <c r="A30" s="31"/>
      <c r="B30" s="32" t="s">
        <v>234</v>
      </c>
      <c r="C30" s="33" t="n">
        <f aca="false">C20</f>
        <v>0</v>
      </c>
      <c r="D30" s="33" t="str">
        <f aca="false">IF(C20&lt;=C19,"✓ Valid","✗ Exceeds")</f>
        <v>✓ Valid</v>
      </c>
      <c r="E30" s="34"/>
    </row>
  </sheetData>
  <mergeCells count="3">
    <mergeCell ref="A1:E1"/>
    <mergeCell ref="A2:E2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28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35" t="s">
        <v>235</v>
      </c>
      <c r="B1" s="35"/>
      <c r="C1" s="35"/>
      <c r="D1" s="35"/>
      <c r="E1" s="35"/>
    </row>
    <row r="2" customFormat="false" ht="25.5" hidden="false" customHeight="true" outlineLevel="0" collapsed="false">
      <c r="A2" s="36" t="s">
        <v>224</v>
      </c>
      <c r="B2" s="36"/>
      <c r="C2" s="36"/>
      <c r="D2" s="36"/>
      <c r="E2" s="36"/>
    </row>
    <row r="3" customFormat="false" ht="15" hidden="false" customHeight="false" outlineLevel="0" collapsed="false">
      <c r="A3" s="37" t="s">
        <v>66</v>
      </c>
      <c r="B3" s="37" t="s">
        <v>225</v>
      </c>
      <c r="C3" s="37" t="s">
        <v>226</v>
      </c>
      <c r="D3" s="37" t="s">
        <v>227</v>
      </c>
      <c r="E3" s="37" t="s">
        <v>228</v>
      </c>
    </row>
    <row r="4" customFormat="false" ht="31.5" hidden="false" customHeight="true" outlineLevel="0" collapsed="false">
      <c r="A4" s="11" t="s">
        <v>156</v>
      </c>
      <c r="B4" s="27" t="s">
        <v>157</v>
      </c>
      <c r="C4" s="28"/>
      <c r="D4" s="11" t="str">
        <f aca="false">IF(C4="","Pending",IF(C4&gt;=0,"✓ Valid","✗ Must be ≥0"))</f>
        <v>Pending</v>
      </c>
      <c r="E4" s="8" t="s">
        <v>77</v>
      </c>
    </row>
    <row r="5" customFormat="false" ht="31.5" hidden="false" customHeight="true" outlineLevel="0" collapsed="false">
      <c r="A5" s="7" t="s">
        <v>159</v>
      </c>
      <c r="B5" s="29" t="s">
        <v>160</v>
      </c>
      <c r="C5" s="30"/>
      <c r="D5" s="7" t="str">
        <f aca="false">IF(C5="","Pending",IF(C5&gt;=0,"✓ Valid","✗ Must be ≥0"))</f>
        <v>Pending</v>
      </c>
      <c r="E5" s="4" t="s">
        <v>77</v>
      </c>
    </row>
    <row r="6" customFormat="false" ht="31.5" hidden="false" customHeight="true" outlineLevel="0" collapsed="false">
      <c r="A6" s="11" t="s">
        <v>162</v>
      </c>
      <c r="B6" s="27" t="s">
        <v>163</v>
      </c>
      <c r="C6" s="28"/>
      <c r="D6" s="11" t="str">
        <f aca="false">IF(C6="","Pending",IF(C6&gt;=0,"✓ Valid","✗ Must be ≥0"))</f>
        <v>Pending</v>
      </c>
      <c r="E6" s="8" t="s">
        <v>77</v>
      </c>
    </row>
    <row r="7" customFormat="false" ht="31.5" hidden="false" customHeight="true" outlineLevel="0" collapsed="false">
      <c r="A7" s="7" t="s">
        <v>165</v>
      </c>
      <c r="B7" s="29" t="s">
        <v>166</v>
      </c>
      <c r="C7" s="30"/>
      <c r="D7" s="7" t="str">
        <f aca="false">IF(C7="","Pending",IF(C7&gt;=0,"✓ Valid","✗ Must be ≥0"))</f>
        <v>Pending</v>
      </c>
      <c r="E7" s="4" t="s">
        <v>77</v>
      </c>
    </row>
    <row r="8" customFormat="false" ht="31.5" hidden="false" customHeight="true" outlineLevel="0" collapsed="false">
      <c r="A8" s="11" t="s">
        <v>168</v>
      </c>
      <c r="B8" s="27" t="s">
        <v>169</v>
      </c>
      <c r="C8" s="28"/>
      <c r="D8" s="11" t="str">
        <f aca="false">IF(C8="","Pending",IF(C8&gt;=0,"✓ Valid","✗ Must be ≥0"))</f>
        <v>Pending</v>
      </c>
      <c r="E8" s="8" t="s">
        <v>77</v>
      </c>
    </row>
    <row r="9" customFormat="false" ht="31.5" hidden="false" customHeight="true" outlineLevel="0" collapsed="false">
      <c r="A9" s="7" t="s">
        <v>171</v>
      </c>
      <c r="B9" s="29" t="s">
        <v>172</v>
      </c>
      <c r="C9" s="30"/>
      <c r="D9" s="7" t="str">
        <f aca="false">IF(C9="","Pending",IF(C9&gt;=0,"✓ Valid","✗ Must be ≥0"))</f>
        <v>Pending</v>
      </c>
      <c r="E9" s="4" t="s">
        <v>77</v>
      </c>
    </row>
    <row r="10" customFormat="false" ht="31.5" hidden="false" customHeight="true" outlineLevel="0" collapsed="false">
      <c r="A10" s="11" t="s">
        <v>174</v>
      </c>
      <c r="B10" s="27" t="s">
        <v>175</v>
      </c>
      <c r="C10" s="28"/>
      <c r="D10" s="11" t="str">
        <f aca="false">IF(C10="","Pending",IF(C10&gt;=0,"✓ Valid","✗ Must be ≥0"))</f>
        <v>Pending</v>
      </c>
      <c r="E10" s="8" t="s">
        <v>77</v>
      </c>
    </row>
    <row r="11" customFormat="false" ht="31.5" hidden="false" customHeight="true" outlineLevel="0" collapsed="false">
      <c r="A11" s="7" t="s">
        <v>178</v>
      </c>
      <c r="B11" s="29" t="s">
        <v>179</v>
      </c>
      <c r="C11" s="30"/>
      <c r="D11" s="7" t="str">
        <f aca="false">IF(C11="","Pending",IF(C11&gt;=0,"✓ Valid","✗ Must be ≥0"))</f>
        <v>Pending</v>
      </c>
      <c r="E11" s="4" t="s">
        <v>125</v>
      </c>
    </row>
    <row r="12" customFormat="false" ht="31.5" hidden="false" customHeight="true" outlineLevel="0" collapsed="false">
      <c r="A12" s="11" t="s">
        <v>181</v>
      </c>
      <c r="B12" s="27" t="s">
        <v>182</v>
      </c>
      <c r="C12" s="28"/>
      <c r="D12" s="11" t="str">
        <f aca="false">IF(C12="","Pending",IF(C12&gt;=0,"✓ Valid","✗ Must be ≥0"))</f>
        <v>Pending</v>
      </c>
      <c r="E12" s="8" t="s">
        <v>125</v>
      </c>
    </row>
    <row r="13" customFormat="false" ht="31.5" hidden="false" customHeight="true" outlineLevel="0" collapsed="false">
      <c r="A13" s="7" t="s">
        <v>184</v>
      </c>
      <c r="B13" s="29" t="s">
        <v>185</v>
      </c>
      <c r="C13" s="30"/>
      <c r="D13" s="7" t="str">
        <f aca="false">IF(C13="","Pending",IF(C13&gt;=1,"✓ Valid","✗ Must be ≥1"))</f>
        <v>Pending</v>
      </c>
      <c r="E13" s="4" t="s">
        <v>125</v>
      </c>
    </row>
    <row r="14" customFormat="false" ht="31.5" hidden="false" customHeight="true" outlineLevel="0" collapsed="false">
      <c r="A14" s="11" t="s">
        <v>188</v>
      </c>
      <c r="B14" s="27" t="s">
        <v>189</v>
      </c>
      <c r="C14" s="28"/>
      <c r="D14" s="11" t="str">
        <f aca="false">IF(C14="","Pending",IF(C14&gt;=1,"✓ Valid","✗ Must be ≥1"))</f>
        <v>Pending</v>
      </c>
      <c r="E14" s="8" t="s">
        <v>191</v>
      </c>
    </row>
    <row r="15" customFormat="false" ht="31.5" hidden="false" customHeight="true" outlineLevel="0" collapsed="false">
      <c r="A15" s="7" t="s">
        <v>193</v>
      </c>
      <c r="B15" s="29" t="s">
        <v>194</v>
      </c>
      <c r="C15" s="30"/>
      <c r="D15" s="7" t="str">
        <f aca="false">IF(C15="","Pending",IF(C15&gt;=0,"✓ Valid","✗ Must be ≥0"))</f>
        <v>Pending</v>
      </c>
      <c r="E15" s="4" t="s">
        <v>125</v>
      </c>
    </row>
    <row r="16" customFormat="false" ht="31.5" hidden="false" customHeight="true" outlineLevel="0" collapsed="false">
      <c r="A16" s="11" t="s">
        <v>196</v>
      </c>
      <c r="B16" s="27" t="s">
        <v>197</v>
      </c>
      <c r="C16" s="28"/>
      <c r="D16" s="11" t="str">
        <f aca="false">IF(C16="","Pending",IF(C16&gt;=0,"✓ Valid","✗ Must be ≥0"))</f>
        <v>Pending</v>
      </c>
      <c r="E16" s="8" t="s">
        <v>77</v>
      </c>
    </row>
    <row r="17" customFormat="false" ht="31.5" hidden="false" customHeight="true" outlineLevel="0" collapsed="false">
      <c r="A17" s="7" t="s">
        <v>200</v>
      </c>
      <c r="B17" s="29" t="s">
        <v>201</v>
      </c>
      <c r="C17" s="30"/>
      <c r="D17" s="7" t="str">
        <f aca="false">IF(C17="","Pending",IF(C17&gt;=0,"✓ Valid","✗ Must be ≥0"))</f>
        <v>Pending</v>
      </c>
      <c r="E17" s="4" t="s">
        <v>77</v>
      </c>
    </row>
    <row r="18" customFormat="false" ht="31.5" hidden="false" customHeight="true" outlineLevel="0" collapsed="false">
      <c r="A18" s="11" t="s">
        <v>204</v>
      </c>
      <c r="B18" s="27" t="s">
        <v>205</v>
      </c>
      <c r="C18" s="28"/>
      <c r="D18" s="11" t="str">
        <f aca="false">IF(C18="","Pending",IF(C18&gt;=0,"✓ Valid","✗ Must be ≥0"))</f>
        <v>Pending</v>
      </c>
      <c r="E18" s="8" t="s">
        <v>77</v>
      </c>
    </row>
    <row r="19" customFormat="false" ht="31.5" hidden="false" customHeight="true" outlineLevel="0" collapsed="false">
      <c r="A19" s="7" t="s">
        <v>207</v>
      </c>
      <c r="B19" s="29" t="s">
        <v>208</v>
      </c>
      <c r="C19" s="30"/>
      <c r="D19" s="7" t="str">
        <f aca="false">IF(C19="","Pending",IF(C19&gt;=0,"✓ Valid","✗ Must be ≥0"))</f>
        <v>Pending</v>
      </c>
      <c r="E19" s="4" t="s">
        <v>77</v>
      </c>
    </row>
    <row r="20" customFormat="false" ht="31.5" hidden="false" customHeight="true" outlineLevel="0" collapsed="false">
      <c r="A20" s="11" t="s">
        <v>210</v>
      </c>
      <c r="B20" s="27" t="s">
        <v>211</v>
      </c>
      <c r="C20" s="28"/>
      <c r="D20" s="11" t="str">
        <f aca="false">IF(C20="","Pending",IF(C20&gt;=0,"✓ Valid","✗ Must be ≥0"))</f>
        <v>Pending</v>
      </c>
      <c r="E20" s="8" t="s">
        <v>77</v>
      </c>
    </row>
    <row r="21" customFormat="false" ht="31.5" hidden="false" customHeight="true" outlineLevel="0" collapsed="false">
      <c r="A21" s="7" t="s">
        <v>213</v>
      </c>
      <c r="B21" s="29" t="s">
        <v>214</v>
      </c>
      <c r="C21" s="30"/>
      <c r="D21" s="7" t="str">
        <f aca="false">IF(C21="","Pending",IF(C21&gt;=0,"✓ Valid","✗ Must be ≥0"))</f>
        <v>Pending</v>
      </c>
      <c r="E21" s="4" t="s">
        <v>77</v>
      </c>
    </row>
    <row r="22" customFormat="false" ht="31.5" hidden="false" customHeight="true" outlineLevel="0" collapsed="false">
      <c r="A22" s="11" t="s">
        <v>216</v>
      </c>
      <c r="B22" s="27" t="s">
        <v>217</v>
      </c>
      <c r="C22" s="28"/>
      <c r="D22" s="11" t="str">
        <f aca="false">IF(C22="","Pending",IF(C22&gt;=0,"✓ Valid","✗ Must be ≥0"))</f>
        <v>Pending</v>
      </c>
      <c r="E22" s="8" t="s">
        <v>77</v>
      </c>
    </row>
    <row r="23" customFormat="false" ht="31.5" hidden="false" customHeight="true" outlineLevel="0" collapsed="false">
      <c r="A23" s="7" t="s">
        <v>219</v>
      </c>
      <c r="B23" s="29" t="s">
        <v>220</v>
      </c>
      <c r="C23" s="30"/>
      <c r="D23" s="7" t="str">
        <f aca="false">IF(C23="","Pending","✓ Entered")</f>
        <v>Pending</v>
      </c>
      <c r="E23" s="4" t="s">
        <v>117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8" t="s">
        <v>236</v>
      </c>
      <c r="B1" s="38"/>
      <c r="C1" s="38"/>
      <c r="D1" s="38"/>
      <c r="E1" s="38"/>
      <c r="F1" s="38"/>
      <c r="G1" s="38"/>
    </row>
    <row r="2" customFormat="false" ht="25.5" hidden="false" customHeight="true" outlineLevel="0" collapsed="false">
      <c r="A2" s="39" t="s">
        <v>237</v>
      </c>
      <c r="B2" s="39"/>
      <c r="C2" s="39"/>
      <c r="D2" s="39"/>
      <c r="E2" s="39"/>
      <c r="F2" s="39"/>
      <c r="G2" s="39"/>
    </row>
    <row r="3" customFormat="false" ht="23.85" hidden="false" customHeight="false" outlineLevel="0" collapsed="false">
      <c r="A3" s="40" t="s">
        <v>2</v>
      </c>
      <c r="B3" s="40" t="s">
        <v>238</v>
      </c>
      <c r="C3" s="40" t="s">
        <v>239</v>
      </c>
      <c r="D3" s="40" t="s">
        <v>240</v>
      </c>
      <c r="E3" s="40" t="s">
        <v>241</v>
      </c>
      <c r="F3" s="40" t="s">
        <v>242</v>
      </c>
      <c r="G3" s="40" t="s">
        <v>243</v>
      </c>
    </row>
    <row r="4" customFormat="false" ht="27.75" hidden="false" customHeight="true" outlineLevel="0" collapsed="false">
      <c r="A4" s="8" t="n">
        <v>1</v>
      </c>
      <c r="B4" s="28"/>
      <c r="C4" s="10" t="s">
        <v>244</v>
      </c>
      <c r="D4" s="28"/>
      <c r="E4" s="28"/>
      <c r="F4" s="28"/>
      <c r="G4" s="28"/>
    </row>
    <row r="5" customFormat="false" ht="27.75" hidden="false" customHeight="true" outlineLevel="0" collapsed="false">
      <c r="A5" s="4" t="n">
        <v>2</v>
      </c>
      <c r="B5" s="30"/>
      <c r="C5" s="6" t="s">
        <v>245</v>
      </c>
      <c r="D5" s="30"/>
      <c r="E5" s="30"/>
      <c r="F5" s="30"/>
      <c r="G5" s="30"/>
    </row>
    <row r="6" customFormat="false" ht="27.75" hidden="false" customHeight="true" outlineLevel="0" collapsed="false">
      <c r="A6" s="8" t="n">
        <v>3</v>
      </c>
      <c r="B6" s="28"/>
      <c r="C6" s="10" t="s">
        <v>246</v>
      </c>
      <c r="D6" s="28"/>
      <c r="E6" s="28"/>
      <c r="F6" s="28"/>
      <c r="G6" s="28"/>
    </row>
    <row r="7" customFormat="false" ht="27.75" hidden="false" customHeight="true" outlineLevel="0" collapsed="false">
      <c r="A7" s="4" t="n">
        <v>4</v>
      </c>
      <c r="B7" s="30"/>
      <c r="C7" s="6" t="s">
        <v>247</v>
      </c>
      <c r="D7" s="30"/>
      <c r="E7" s="30"/>
      <c r="F7" s="30"/>
      <c r="G7" s="30"/>
    </row>
    <row r="8" customFormat="false" ht="27.75" hidden="false" customHeight="true" outlineLevel="0" collapsed="false">
      <c r="A8" s="8" t="n">
        <v>5</v>
      </c>
      <c r="B8" s="28"/>
      <c r="C8" s="10" t="s">
        <v>248</v>
      </c>
      <c r="D8" s="28"/>
      <c r="E8" s="28"/>
      <c r="F8" s="28"/>
      <c r="G8" s="28"/>
    </row>
    <row r="9" customFormat="false" ht="27.75" hidden="false" customHeight="true" outlineLevel="0" collapsed="false">
      <c r="A9" s="4" t="n">
        <v>6</v>
      </c>
      <c r="B9" s="30"/>
      <c r="C9" s="6" t="s">
        <v>249</v>
      </c>
      <c r="D9" s="30"/>
      <c r="E9" s="30"/>
      <c r="F9" s="30"/>
      <c r="G9" s="30"/>
    </row>
    <row r="10" customFormat="false" ht="27.75" hidden="false" customHeight="true" outlineLevel="0" collapsed="false">
      <c r="A10" s="8" t="n">
        <v>7</v>
      </c>
      <c r="B10" s="28"/>
      <c r="C10" s="10" t="s">
        <v>250</v>
      </c>
      <c r="D10" s="28"/>
      <c r="E10" s="28"/>
      <c r="F10" s="28"/>
      <c r="G10" s="28"/>
    </row>
    <row r="11" customFormat="false" ht="27.75" hidden="false" customHeight="true" outlineLevel="0" collapsed="false">
      <c r="A11" s="4" t="n">
        <v>8</v>
      </c>
      <c r="B11" s="30"/>
      <c r="C11" s="6" t="s">
        <v>251</v>
      </c>
      <c r="D11" s="30"/>
      <c r="E11" s="30"/>
      <c r="F11" s="30"/>
      <c r="G11" s="30"/>
    </row>
    <row r="12" customFormat="false" ht="27.75" hidden="false" customHeight="true" outlineLevel="0" collapsed="false">
      <c r="A12" s="8" t="n">
        <v>9</v>
      </c>
      <c r="B12" s="28"/>
      <c r="C12" s="10" t="s">
        <v>252</v>
      </c>
      <c r="D12" s="28"/>
      <c r="E12" s="28"/>
      <c r="F12" s="28"/>
      <c r="G12" s="28"/>
    </row>
    <row r="13" customFormat="false" ht="27.75" hidden="false" customHeight="true" outlineLevel="0" collapsed="false">
      <c r="A13" s="4" t="n">
        <v>10</v>
      </c>
      <c r="B13" s="30"/>
      <c r="C13" s="6" t="s">
        <v>253</v>
      </c>
      <c r="D13" s="30"/>
      <c r="E13" s="30"/>
      <c r="F13" s="30"/>
      <c r="G13" s="30"/>
    </row>
    <row r="14" customFormat="false" ht="27.75" hidden="false" customHeight="true" outlineLevel="0" collapsed="false">
      <c r="A14" s="8" t="n">
        <v>11</v>
      </c>
      <c r="B14" s="28"/>
      <c r="C14" s="10" t="s">
        <v>254</v>
      </c>
      <c r="D14" s="28"/>
      <c r="E14" s="28"/>
      <c r="F14" s="28"/>
      <c r="G14" s="28"/>
    </row>
    <row r="15" customFormat="false" ht="27.75" hidden="false" customHeight="true" outlineLevel="0" collapsed="false">
      <c r="A15" s="4" t="n">
        <v>12</v>
      </c>
      <c r="B15" s="30"/>
      <c r="C15" s="6" t="s">
        <v>255</v>
      </c>
      <c r="D15" s="30"/>
      <c r="E15" s="30"/>
      <c r="F15" s="30"/>
      <c r="G15" s="30"/>
    </row>
    <row r="16" customFormat="false" ht="27.75" hidden="false" customHeight="true" outlineLevel="0" collapsed="false">
      <c r="A16" s="8" t="n">
        <v>13</v>
      </c>
      <c r="B16" s="28"/>
      <c r="C16" s="10" t="s">
        <v>256</v>
      </c>
      <c r="D16" s="28"/>
      <c r="E16" s="28"/>
      <c r="F16" s="28"/>
      <c r="G16" s="28"/>
    </row>
    <row r="17" customFormat="false" ht="27.75" hidden="false" customHeight="true" outlineLevel="0" collapsed="false">
      <c r="A17" s="4" t="n">
        <v>14</v>
      </c>
      <c r="B17" s="30"/>
      <c r="C17" s="6" t="s">
        <v>257</v>
      </c>
      <c r="D17" s="30"/>
      <c r="E17" s="30"/>
      <c r="F17" s="30"/>
      <c r="G17" s="30"/>
    </row>
    <row r="18" customFormat="false" ht="27.75" hidden="false" customHeight="true" outlineLevel="0" collapsed="false">
      <c r="A18" s="8" t="n">
        <v>15</v>
      </c>
      <c r="B18" s="28"/>
      <c r="C18" s="10" t="s">
        <v>258</v>
      </c>
      <c r="D18" s="28"/>
      <c r="E18" s="28"/>
      <c r="F18" s="28"/>
      <c r="G18" s="28"/>
    </row>
    <row r="19" customFormat="false" ht="27.75" hidden="false" customHeight="true" outlineLevel="0" collapsed="false">
      <c r="A19" s="4" t="n">
        <v>16</v>
      </c>
      <c r="B19" s="30"/>
      <c r="C19" s="6" t="s">
        <v>259</v>
      </c>
      <c r="D19" s="30"/>
      <c r="E19" s="30"/>
      <c r="F19" s="30"/>
      <c r="G19" s="30"/>
    </row>
    <row r="20" customFormat="false" ht="27.75" hidden="false" customHeight="true" outlineLevel="0" collapsed="false">
      <c r="A20" s="8" t="n">
        <v>17</v>
      </c>
      <c r="B20" s="28"/>
      <c r="C20" s="10" t="s">
        <v>260</v>
      </c>
      <c r="D20" s="28"/>
      <c r="E20" s="28"/>
      <c r="F20" s="28"/>
      <c r="G20" s="28"/>
    </row>
    <row r="21" customFormat="false" ht="27.75" hidden="false" customHeight="true" outlineLevel="0" collapsed="false">
      <c r="A21" s="4" t="n">
        <v>18</v>
      </c>
      <c r="B21" s="30"/>
      <c r="C21" s="6" t="s">
        <v>261</v>
      </c>
      <c r="D21" s="30"/>
      <c r="E21" s="30"/>
      <c r="F21" s="30"/>
      <c r="G21" s="30"/>
    </row>
    <row r="22" customFormat="false" ht="27.75" hidden="false" customHeight="true" outlineLevel="0" collapsed="false">
      <c r="A22" s="8" t="n">
        <v>19</v>
      </c>
      <c r="B22" s="28"/>
      <c r="C22" s="10" t="s">
        <v>262</v>
      </c>
      <c r="D22" s="28"/>
      <c r="E22" s="28"/>
      <c r="F22" s="28"/>
      <c r="G22" s="28"/>
    </row>
    <row r="23" customFormat="false" ht="27.75" hidden="false" customHeight="true" outlineLevel="0" collapsed="false">
      <c r="A23" s="4" t="n">
        <v>20</v>
      </c>
      <c r="B23" s="30"/>
      <c r="C23" s="6" t="s">
        <v>263</v>
      </c>
      <c r="D23" s="30"/>
      <c r="E23" s="30"/>
      <c r="F23" s="30"/>
      <c r="G23" s="30"/>
    </row>
    <row r="24" customFormat="false" ht="27.75" hidden="false" customHeight="true" outlineLevel="0" collapsed="false">
      <c r="A24" s="8" t="n">
        <v>21</v>
      </c>
      <c r="B24" s="28"/>
      <c r="C24" s="10" t="s">
        <v>264</v>
      </c>
      <c r="D24" s="28"/>
      <c r="E24" s="28"/>
      <c r="F24" s="28"/>
      <c r="G24" s="28"/>
    </row>
    <row r="25" customFormat="false" ht="27.75" hidden="false" customHeight="true" outlineLevel="0" collapsed="false">
      <c r="A25" s="4" t="n">
        <v>22</v>
      </c>
      <c r="B25" s="30"/>
      <c r="C25" s="6" t="s">
        <v>265</v>
      </c>
      <c r="D25" s="30"/>
      <c r="E25" s="30"/>
      <c r="F25" s="30"/>
      <c r="G25" s="30"/>
    </row>
    <row r="26" customFormat="false" ht="27.75" hidden="false" customHeight="true" outlineLevel="0" collapsed="false">
      <c r="A26" s="8" t="n">
        <v>23</v>
      </c>
      <c r="B26" s="28"/>
      <c r="C26" s="10" t="s">
        <v>266</v>
      </c>
      <c r="D26" s="28"/>
      <c r="E26" s="28"/>
      <c r="F26" s="28"/>
      <c r="G26" s="28"/>
    </row>
    <row r="27" customFormat="false" ht="27.75" hidden="false" customHeight="true" outlineLevel="0" collapsed="false">
      <c r="A27" s="4" t="n">
        <v>24</v>
      </c>
      <c r="B27" s="30"/>
      <c r="C27" s="6" t="s">
        <v>267</v>
      </c>
      <c r="D27" s="30"/>
      <c r="E27" s="30"/>
      <c r="F27" s="30"/>
      <c r="G27" s="30"/>
    </row>
    <row r="29" customFormat="false" ht="25.5" hidden="false" customHeight="true" outlineLevel="0" collapsed="false">
      <c r="A29" s="25" t="s">
        <v>268</v>
      </c>
      <c r="B29" s="25"/>
      <c r="C29" s="25"/>
      <c r="D29" s="25"/>
      <c r="E29" s="25"/>
      <c r="F29" s="25"/>
      <c r="G29" s="25"/>
    </row>
    <row r="30" customFormat="false" ht="15" hidden="false" customHeight="true" outlineLevel="0" collapsed="false">
      <c r="A30" s="32" t="s">
        <v>269</v>
      </c>
      <c r="B30" s="32"/>
      <c r="C30" s="32"/>
      <c r="D30" s="41" t="n">
        <f aca="false">COUNTIF(D4:D27,"Done")</f>
        <v>0</v>
      </c>
      <c r="E30" s="34"/>
      <c r="F30" s="34"/>
      <c r="G30" s="34"/>
    </row>
    <row r="31" customFormat="false" ht="15" hidden="false" customHeight="true" outlineLevel="0" collapsed="false">
      <c r="A31" s="32" t="s">
        <v>270</v>
      </c>
      <c r="B31" s="32"/>
      <c r="C31" s="32"/>
      <c r="D31" s="41" t="n">
        <f aca="false">IFERROR(COUNTIF(D4:D27,"Done")/24*100,0)</f>
        <v>0</v>
      </c>
      <c r="E31" s="34"/>
      <c r="F31" s="34"/>
      <c r="G31" s="34"/>
    </row>
    <row r="32" customFormat="false" ht="15" hidden="false" customHeight="true" outlineLevel="0" collapsed="false">
      <c r="A32" s="32" t="s">
        <v>271</v>
      </c>
      <c r="B32" s="32"/>
      <c r="C32" s="32"/>
      <c r="D32" s="41" t="n">
        <f aca="false">COUNTIF(D4:D27,"Pending")</f>
        <v>0</v>
      </c>
      <c r="E32" s="34"/>
      <c r="F32" s="34"/>
      <c r="G32" s="34"/>
    </row>
    <row r="33" customFormat="false" ht="23.85" hidden="false" customHeight="true" outlineLevel="0" collapsed="false">
      <c r="A33" s="32" t="s">
        <v>272</v>
      </c>
      <c r="B33" s="32"/>
      <c r="C33" s="32"/>
      <c r="D33" s="41" t="str">
        <f aca="false">IF(COUNTIF(D4:D27,"Pending")=0,"YES — Ready to Submit","NO — Pending Items Remain")</f>
        <v>YES — Ready to Submit</v>
      </c>
      <c r="E33" s="34"/>
      <c r="F33" s="34"/>
      <c r="G33" s="34"/>
    </row>
  </sheetData>
  <mergeCells count="7">
    <mergeCell ref="A1:G1"/>
    <mergeCell ref="A2:G2"/>
    <mergeCell ref="A29:G29"/>
    <mergeCell ref="A30:C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9" t="s">
        <v>273</v>
      </c>
      <c r="B1" s="19"/>
      <c r="C1" s="19"/>
      <c r="D1" s="19"/>
      <c r="E1" s="19"/>
      <c r="F1" s="19"/>
    </row>
    <row r="2" customFormat="false" ht="25.5" hidden="false" customHeight="true" outlineLevel="0" collapsed="false">
      <c r="A2" s="42" t="s">
        <v>274</v>
      </c>
      <c r="B2" s="42"/>
      <c r="C2" s="42"/>
      <c r="D2" s="42"/>
      <c r="E2" s="42"/>
      <c r="F2" s="42"/>
    </row>
    <row r="3" customFormat="false" ht="15" hidden="false" customHeight="false" outlineLevel="0" collapsed="false">
      <c r="A3" s="20" t="s">
        <v>2</v>
      </c>
      <c r="B3" s="20" t="s">
        <v>275</v>
      </c>
      <c r="C3" s="20" t="s">
        <v>4</v>
      </c>
      <c r="D3" s="20" t="s">
        <v>276</v>
      </c>
      <c r="E3" s="20" t="s">
        <v>277</v>
      </c>
      <c r="F3" s="20" t="s">
        <v>278</v>
      </c>
    </row>
    <row r="4" customFormat="false" ht="31.5" hidden="false" customHeight="true" outlineLevel="0" collapsed="false">
      <c r="A4" s="8" t="n">
        <v>1</v>
      </c>
      <c r="B4" s="9" t="s">
        <v>279</v>
      </c>
      <c r="C4" s="10" t="s">
        <v>280</v>
      </c>
      <c r="D4" s="28"/>
      <c r="E4" s="28"/>
      <c r="F4" s="28"/>
    </row>
    <row r="5" customFormat="false" ht="31.5" hidden="false" customHeight="true" outlineLevel="0" collapsed="false">
      <c r="A5" s="4" t="n">
        <v>2</v>
      </c>
      <c r="B5" s="5" t="s">
        <v>281</v>
      </c>
      <c r="C5" s="6" t="s">
        <v>282</v>
      </c>
      <c r="D5" s="30"/>
      <c r="E5" s="30"/>
      <c r="F5" s="30"/>
    </row>
    <row r="6" customFormat="false" ht="31.5" hidden="false" customHeight="true" outlineLevel="0" collapsed="false">
      <c r="A6" s="8" t="n">
        <v>3</v>
      </c>
      <c r="B6" s="9" t="s">
        <v>283</v>
      </c>
      <c r="C6" s="10" t="s">
        <v>284</v>
      </c>
      <c r="D6" s="28"/>
      <c r="E6" s="28"/>
      <c r="F6" s="28"/>
    </row>
    <row r="7" customFormat="false" ht="31.5" hidden="false" customHeight="true" outlineLevel="0" collapsed="false">
      <c r="A7" s="4" t="n">
        <v>4</v>
      </c>
      <c r="B7" s="5" t="s">
        <v>285</v>
      </c>
      <c r="C7" s="6" t="s">
        <v>286</v>
      </c>
      <c r="D7" s="30"/>
      <c r="E7" s="30"/>
      <c r="F7" s="30"/>
    </row>
    <row r="8" customFormat="false" ht="31.5" hidden="false" customHeight="true" outlineLevel="0" collapsed="false">
      <c r="A8" s="8" t="n">
        <v>5</v>
      </c>
      <c r="B8" s="9" t="s">
        <v>287</v>
      </c>
      <c r="C8" s="10" t="s">
        <v>288</v>
      </c>
      <c r="D8" s="28"/>
      <c r="E8" s="28"/>
      <c r="F8" s="28"/>
    </row>
    <row r="9" customFormat="false" ht="31.5" hidden="false" customHeight="true" outlineLevel="0" collapsed="false">
      <c r="A9" s="4" t="n">
        <v>6</v>
      </c>
      <c r="B9" s="5" t="s">
        <v>289</v>
      </c>
      <c r="C9" s="6" t="s">
        <v>290</v>
      </c>
      <c r="D9" s="30"/>
      <c r="E9" s="30"/>
      <c r="F9" s="30"/>
    </row>
    <row r="10" customFormat="false" ht="31.5" hidden="false" customHeight="true" outlineLevel="0" collapsed="false">
      <c r="A10" s="8" t="n">
        <v>7</v>
      </c>
      <c r="B10" s="9" t="s">
        <v>291</v>
      </c>
      <c r="C10" s="10" t="s">
        <v>292</v>
      </c>
      <c r="D10" s="28"/>
      <c r="E10" s="28"/>
      <c r="F10" s="28"/>
    </row>
    <row r="11" customFormat="false" ht="31.5" hidden="false" customHeight="true" outlineLevel="0" collapsed="false">
      <c r="A11" s="4" t="n">
        <v>8</v>
      </c>
      <c r="B11" s="5" t="s">
        <v>293</v>
      </c>
      <c r="C11" s="6" t="s">
        <v>294</v>
      </c>
      <c r="D11" s="30"/>
      <c r="E11" s="30"/>
      <c r="F11" s="30"/>
    </row>
    <row r="12" customFormat="false" ht="31.5" hidden="false" customHeight="true" outlineLevel="0" collapsed="false">
      <c r="A12" s="8" t="n">
        <v>9</v>
      </c>
      <c r="B12" s="9" t="s">
        <v>295</v>
      </c>
      <c r="C12" s="10" t="s">
        <v>296</v>
      </c>
      <c r="D12" s="28"/>
      <c r="E12" s="28"/>
      <c r="F12" s="28"/>
    </row>
    <row r="13" customFormat="false" ht="31.5" hidden="false" customHeight="true" outlineLevel="0" collapsed="false">
      <c r="A13" s="4" t="n">
        <v>10</v>
      </c>
      <c r="B13" s="5" t="s">
        <v>297</v>
      </c>
      <c r="C13" s="6" t="s">
        <v>298</v>
      </c>
      <c r="D13" s="30"/>
      <c r="E13" s="30"/>
      <c r="F13" s="30"/>
    </row>
    <row r="14" customFormat="false" ht="31.5" hidden="false" customHeight="true" outlineLevel="0" collapsed="false">
      <c r="A14" s="8" t="n">
        <v>11</v>
      </c>
      <c r="B14" s="9" t="s">
        <v>299</v>
      </c>
      <c r="C14" s="10" t="s">
        <v>300</v>
      </c>
      <c r="D14" s="28"/>
      <c r="E14" s="28"/>
      <c r="F14" s="28"/>
    </row>
    <row r="15" customFormat="false" ht="31.5" hidden="false" customHeight="true" outlineLevel="0" collapsed="false">
      <c r="A15" s="4" t="n">
        <v>12</v>
      </c>
      <c r="B15" s="5" t="s">
        <v>301</v>
      </c>
      <c r="C15" s="6" t="s">
        <v>302</v>
      </c>
      <c r="D15" s="30"/>
      <c r="E15" s="30"/>
      <c r="F15" s="30"/>
    </row>
    <row r="16" customFormat="false" ht="31.5" hidden="false" customHeight="true" outlineLevel="0" collapsed="false">
      <c r="A16" s="8" t="n">
        <v>13</v>
      </c>
      <c r="B16" s="9" t="s">
        <v>303</v>
      </c>
      <c r="C16" s="10" t="s">
        <v>304</v>
      </c>
      <c r="D16" s="28"/>
      <c r="E16" s="28"/>
      <c r="F16" s="28"/>
    </row>
    <row r="17" customFormat="false" ht="31.5" hidden="false" customHeight="true" outlineLevel="0" collapsed="false">
      <c r="A17" s="4" t="n">
        <v>14</v>
      </c>
      <c r="B17" s="5" t="s">
        <v>305</v>
      </c>
      <c r="C17" s="6" t="s">
        <v>306</v>
      </c>
      <c r="D17" s="30"/>
      <c r="E17" s="30"/>
      <c r="F17" s="30"/>
    </row>
    <row r="18" customFormat="false" ht="31.5" hidden="false" customHeight="true" outlineLevel="0" collapsed="false">
      <c r="A18" s="8" t="n">
        <v>15</v>
      </c>
      <c r="B18" s="9" t="s">
        <v>307</v>
      </c>
      <c r="C18" s="10" t="s">
        <v>308</v>
      </c>
      <c r="D18" s="28"/>
      <c r="E18" s="28"/>
      <c r="F18" s="28"/>
    </row>
    <row r="19" customFormat="false" ht="31.5" hidden="false" customHeight="true" outlineLevel="0" collapsed="false">
      <c r="A19" s="4" t="n">
        <v>16</v>
      </c>
      <c r="B19" s="5" t="s">
        <v>309</v>
      </c>
      <c r="C19" s="6" t="s">
        <v>310</v>
      </c>
      <c r="D19" s="30"/>
      <c r="E19" s="30"/>
      <c r="F19" s="30"/>
    </row>
    <row r="20" customFormat="false" ht="31.5" hidden="false" customHeight="true" outlineLevel="0" collapsed="false">
      <c r="A20" s="8" t="n">
        <v>17</v>
      </c>
      <c r="B20" s="9" t="s">
        <v>311</v>
      </c>
      <c r="C20" s="10" t="s">
        <v>312</v>
      </c>
      <c r="D20" s="28"/>
      <c r="E20" s="28"/>
      <c r="F20" s="28"/>
    </row>
    <row r="21" customFormat="false" ht="31.5" hidden="false" customHeight="true" outlineLevel="0" collapsed="false">
      <c r="A21" s="4" t="n">
        <v>18</v>
      </c>
      <c r="B21" s="5" t="s">
        <v>313</v>
      </c>
      <c r="C21" s="6" t="s">
        <v>314</v>
      </c>
      <c r="D21" s="30"/>
      <c r="E21" s="30"/>
      <c r="F21" s="30"/>
    </row>
    <row r="22" customFormat="false" ht="31.5" hidden="false" customHeight="true" outlineLevel="0" collapsed="false">
      <c r="A22" s="8" t="n">
        <v>19</v>
      </c>
      <c r="B22" s="9" t="s">
        <v>315</v>
      </c>
      <c r="C22" s="10" t="s">
        <v>316</v>
      </c>
      <c r="D22" s="28"/>
      <c r="E22" s="28"/>
      <c r="F22" s="28"/>
    </row>
    <row r="23" customFormat="false" ht="31.5" hidden="false" customHeight="true" outlineLevel="0" collapsed="false">
      <c r="A23" s="4" t="n">
        <v>20</v>
      </c>
      <c r="B23" s="5" t="s">
        <v>317</v>
      </c>
      <c r="C23" s="6" t="s">
        <v>318</v>
      </c>
      <c r="D23" s="30"/>
      <c r="E23" s="30"/>
      <c r="F23" s="3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2026-05-07T04:52:40Z</dcterms:created>
  <dc:creator>openpyxl</dc:creator>
  <dc:description/>
  <dc:language>en-US</dc:language>
  <cp:lastModifiedBy/>
  <dcterms:modified xsi:type="dcterms:W3CDTF">2026-05-07T04:52:40Z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