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Overall Proportion" sheetId="2" state="visible" r:id="rId4"/>
    <sheet name="2. Proportion Trend" sheetId="3" state="visible" r:id="rId5"/>
    <sheet name="3. Depth-Weighted" sheetId="4" state="visible" r:id="rId6"/>
    <sheet name="4. Proportion by Pub Type" sheetId="5" state="visible" r:id="rId7"/>
    <sheet name="5. Benchmark Comparison" sheetId="6" state="visible" r:id="rId8"/>
    <sheet name="6. Proportion by Pair" sheetId="7" state="visible" r:id="rId9"/>
    <sheet name="7. Specialist vs Comprehensive" sheetId="8" state="visible" r:id="rId10"/>
    <sheet name="8. Composite Proportion Score" sheetId="9" state="visible" r:id="rId11"/>
    <sheet name="9. Benchmarking" sheetId="10" state="visible" r:id="rId12"/>
    <sheet name="10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<sst xmlns="http://schemas.openxmlformats.org/spreadsheetml/2006/main" count="255" uniqueCount="220">
  <si>
    <t xml:space="preserve">THE Interdisciplinary Rankings — Outputs (65%) → Proportion of Publications (5%)</t>
  </si>
  <si>
    <t xml:space="preserve">Measures the SHARE of Interdisciplinary Research Within Total Output | 5% of Total Ranking</t>
  </si>
  <si>
    <t xml:space="preserve">#</t>
  </si>
  <si>
    <t xml:space="preserve">Sub-Indicator</t>
  </si>
  <si>
    <t xml:space="preserve">Description &amp; Measurement</t>
  </si>
  <si>
    <t xml:space="preserve">Approx. Weight</t>
  </si>
  <si>
    <t xml:space="preserve">Overall Interdisciplinary Proportion</t>
  </si>
  <si>
    <t xml:space="preserve">Percentage of total Scopus-indexed publications (articles, reviews, conference papers) that span 2+ ASJC top-level areas over a 5-year window. Core metric: (Interdisc. Pubs / Total Pubs) × 100. Institutions with higher proportions demonstrate a systemic culture of cross-domain research, not just occasional collaboration.</t>
  </si>
  <si>
    <t xml:space="preserve">~2%</t>
  </si>
  <si>
    <t xml:space="preserve">Proportion Trend (YoY Change in %)</t>
  </si>
  <si>
    <t xml:space="preserve">Year-on-year change in the interdisciplinary proportion: is the SHARE of interdisciplinary work growing relative to total output? Calculated as the slope of the 5-year proportion series. Positive slope = institution is becoming MORE interdisciplinary over time.</t>
  </si>
  <si>
    <t xml:space="preserve">~1%</t>
  </si>
  <si>
    <t xml:space="preserve">Depth-Weighted Proportion</t>
  </si>
  <si>
    <t xml:space="preserve">Not all interdisciplinary publications are equally cross-domain. Papers spanning 3+ ASJC areas are 'deeper' interdisciplinary than those spanning exactly 2. Depth-weighted proportion = (2-area pubs × 1 + 3-area × 2 + 4+-area × 3) / (Total pubs × 3) × 100. Rewards deeper cross-domain integration.</t>
  </si>
  <si>
    <t xml:space="preserve">Proportion by Publication Type</t>
  </si>
  <si>
    <t xml:space="preserve">Breakdown of the interdisciplinary proportion across publication types: articles, reviews, conference papers. Identifies whether interdisciplinarity is concentrated in one type (e.g., reviews, which naturally cite across fields) or broad across original research articles.</t>
  </si>
  <si>
    <t xml:space="preserve">~0.5%</t>
  </si>
  <si>
    <t xml:space="preserve">Proportion Relative to National / Disciplinary Benchmark</t>
  </si>
  <si>
    <t xml:space="preserve">Compares the institution's interdisciplinary proportion against: (a) national average for similar-sized institutions, (b) disciplinary norms (engineering-focused vs. comprehensive university benchmarks). Scores above benchmark receive a premium.</t>
  </si>
  <si>
    <t xml:space="preserve">Key Notes — Proportion vs. Volume</t>
  </si>
  <si>
    <t xml:space="preserve">• PROPORTION (this sheet, 5%) ≠ VOLUME (Number of Publications sheet, 10%). Both are in the Outputs pillar but measure different things.</t>
  </si>
  <si>
    <t xml:space="preserve">• Volume = how MANY interdisciplinary papers. Proportion = what SHARE of total output is interdisciplinary.</t>
  </si>
  <si>
    <t xml:space="preserve">• A small university with 100 pubs and 40 interdisc. (40%) scores higher on proportion than a large one with 5000 pubs and 500 interdisc. (10%).</t>
  </si>
  <si>
    <t xml:space="preserve">• Proportion is size-neutral — does NOT need FTE normalization (it's already a ratio).</t>
  </si>
  <si>
    <t xml:space="preserve">• Depth-weighted proportion rewards 3+ ASJC papers more than 2-ASJC papers — capturing genuine convergent science.</t>
  </si>
  <si>
    <t xml:space="preserve">• Proportion trend captures trajectory: an institution moving from 15% to 25% over 5 years is actively building interdisciplinary culture.</t>
  </si>
  <si>
    <t xml:space="preserve">• Data source: Scopus. 5-year rolling window. Same ASJC classification and publication type filters as Volume sheet.</t>
  </si>
  <si>
    <t xml:space="preserve">• Scoring: each sub-indicator normalized 0–100; composite weighted average produces final Proportion score.</t>
  </si>
  <si>
    <t xml:space="preserve">Overall Interdisciplinary Proportion (5-Year Window)</t>
  </si>
  <si>
    <t xml:space="preserve">Core metric: (Interdisc. Pubs / Total Pubs) × 100 | Scopus-indexed articles, reviews, conference papers</t>
  </si>
  <si>
    <t xml:space="preserve">S.No.</t>
  </si>
  <si>
    <t xml:space="preserve">University Name</t>
  </si>
  <si>
    <t xml:space="preserve">Country</t>
  </si>
  <si>
    <t xml:space="preserve">Total Publications (5yr)</t>
  </si>
  <si>
    <t xml:space="preserve">Single-ASJC Pubs</t>
  </si>
  <si>
    <t xml:space="preserve">Interdisc. Pubs (2+ ASJC)</t>
  </si>
  <si>
    <t xml:space="preserve">% Interdisciplinary</t>
  </si>
  <si>
    <t xml:space="preserve">Interdisc. Pubs (3+ ASJC)</t>
  </si>
  <si>
    <t xml:space="preserve">% Deep Interdisc. (3+ ASJC)</t>
  </si>
  <si>
    <t xml:space="preserve">Reporting Period</t>
  </si>
  <si>
    <t xml:space="preserve">Summary Statistics</t>
  </si>
  <si>
    <t xml:space="preserve">Average Interdisc. Proportion (%)</t>
  </si>
  <si>
    <t xml:space="preserve">Median Interdisc. Proportion (%)</t>
  </si>
  <si>
    <t xml:space="preserve">Highest Proportion (%)</t>
  </si>
  <si>
    <t xml:space="preserve">Lowest Proportion (%)</t>
  </si>
  <si>
    <t xml:space="preserve">Average Deep Interdisc. (3+ ASJC) %</t>
  </si>
  <si>
    <t xml:space="preserve">Interdisciplinary Proportion Trend — 5-Year Year-on-Year Trajectory</t>
  </si>
  <si>
    <t xml:space="preserve">Annual total pubs, interdisc. pubs, and proportion (%) | Slope = direction of interdisciplinary culture</t>
  </si>
  <si>
    <t xml:space="preserve">Y1 Total</t>
  </si>
  <si>
    <t xml:space="preserve">Y1 Interdisc.</t>
  </si>
  <si>
    <t xml:space="preserve">Y1 %</t>
  </si>
  <si>
    <t xml:space="preserve">Y2 Total</t>
  </si>
  <si>
    <t xml:space="preserve">Y2 Interdisc.</t>
  </si>
  <si>
    <t xml:space="preserve">Y2 %</t>
  </si>
  <si>
    <t xml:space="preserve">Y3 Total</t>
  </si>
  <si>
    <t xml:space="preserve">Y3 Interdisc.</t>
  </si>
  <si>
    <t xml:space="preserve">Y3 %</t>
  </si>
  <si>
    <t xml:space="preserve">Y5 Proportion (%)</t>
  </si>
  <si>
    <t xml:space="preserve">Change (Y5% − Y1%)</t>
  </si>
  <si>
    <t xml:space="preserve">Trend</t>
  </si>
  <si>
    <t xml:space="preserve">Depth-Weighted Interdisciplinary Proportion</t>
  </si>
  <si>
    <t xml:space="preserve">DWP = (2-area×1 + 3-area×2 + 4+-area×3) / (Total×3) × 100 | Rewards deeper cross-domain integration</t>
  </si>
  <si>
    <t xml:space="preserve">Pubs in 2 ASJC Areas</t>
  </si>
  <si>
    <t xml:space="preserve">Pubs in 3 ASJC Areas</t>
  </si>
  <si>
    <t xml:space="preserve">Pubs in 4+ ASJC Areas</t>
  </si>
  <si>
    <t xml:space="preserve">Depth-Weighted Score (Numerator)</t>
  </si>
  <si>
    <t xml:space="preserve">Depth-Weighted Proportion (%)</t>
  </si>
  <si>
    <t xml:space="preserve">Depth Distribution Summary</t>
  </si>
  <si>
    <t xml:space="preserve">Average Depth-Weighted Proportion (%)</t>
  </si>
  <si>
    <t xml:space="preserve">Average % that are 3+ ASJC</t>
  </si>
  <si>
    <t xml:space="preserve">Total 4+ ASJC Publications (All Univs)</t>
  </si>
  <si>
    <t xml:space="preserve">Interdisciplinary Proportion by Publication Type</t>
  </si>
  <si>
    <t xml:space="preserve">% interdisciplinary within each publication type | Identifies if interdisc. is concentrated in reviews vs. original articles</t>
  </si>
  <si>
    <t xml:space="preserve">Total Articles</t>
  </si>
  <si>
    <t xml:space="preserve">Interdisc. Articles</t>
  </si>
  <si>
    <t xml:space="preserve">% Interdisc. Articles</t>
  </si>
  <si>
    <t xml:space="preserve">Total Reviews</t>
  </si>
  <si>
    <t xml:space="preserve">Interdisc. Reviews</t>
  </si>
  <si>
    <t xml:space="preserve">% Interdisc. Reviews</t>
  </si>
  <si>
    <t xml:space="preserve">Total Conf. Papers</t>
  </si>
  <si>
    <t xml:space="preserve">Interdisc. Conf.</t>
  </si>
  <si>
    <t xml:space="preserve">% Interdisc. Conf.</t>
  </si>
  <si>
    <t xml:space="preserve">Interdisciplinary Proportion vs. National &amp; Disciplinary Benchmarks</t>
  </si>
  <si>
    <t xml:space="preserve">Institution's % interdisc. compared against: national avg, institution-type avg, disciplinary norm</t>
  </si>
  <si>
    <t xml:space="preserve">Institution % Interdisc.</t>
  </si>
  <si>
    <t xml:space="preserve">National Avg (%)</t>
  </si>
  <si>
    <t xml:space="preserve">Difference vs. National (pp)</t>
  </si>
  <si>
    <t xml:space="preserve">Institution-Type Avg (%)</t>
  </si>
  <si>
    <t xml:space="preserve">Difference vs. Type (pp)</t>
  </si>
  <si>
    <t xml:space="preserve">Above/Below Benchmark</t>
  </si>
  <si>
    <t xml:space="preserve">Benchmark Reference Values (Enter Relevant Benchmarks)</t>
  </si>
  <si>
    <t xml:space="preserve">Benchmark Category</t>
  </si>
  <si>
    <t xml:space="preserve">Country / Region</t>
  </si>
  <si>
    <t xml:space="preserve">Avg Interdisc. %</t>
  </si>
  <si>
    <t xml:space="preserve">Source / Year</t>
  </si>
  <si>
    <t xml:space="preserve">Institution Type</t>
  </si>
  <si>
    <t xml:space="preserve">Notes</t>
  </si>
  <si>
    <t xml:space="preserve">Global Average (All WUR-ranked)</t>
  </si>
  <si>
    <t xml:space="preserve">Global</t>
  </si>
  <si>
    <t xml:space="preserve">THE / Scopus</t>
  </si>
  <si>
    <t xml:space="preserve">Comprehensive</t>
  </si>
  <si>
    <t xml:space="preserve">Global Average (Top 200)</t>
  </si>
  <si>
    <t xml:space="preserve">India Average (NIRF Top 100)</t>
  </si>
  <si>
    <t xml:space="preserve">India</t>
  </si>
  <si>
    <t xml:space="preserve">NIRF / Scopus</t>
  </si>
  <si>
    <t xml:space="preserve">Mixed</t>
  </si>
  <si>
    <t xml:space="preserve">USA Average (R1 Universities)</t>
  </si>
  <si>
    <t xml:space="preserve">USA</t>
  </si>
  <si>
    <t xml:space="preserve">NSF / Scopus</t>
  </si>
  <si>
    <t xml:space="preserve">Research-Intensive</t>
  </si>
  <si>
    <t xml:space="preserve">UK Average (Russell Group)</t>
  </si>
  <si>
    <t xml:space="preserve">UK</t>
  </si>
  <si>
    <t xml:space="preserve">REF / Scopus</t>
  </si>
  <si>
    <t xml:space="preserve">Engineering-focused Institutions</t>
  </si>
  <si>
    <t xml:space="preserve">Scopus</t>
  </si>
  <si>
    <t xml:space="preserve">Technical/IIT-type</t>
  </si>
  <si>
    <t xml:space="preserve">Higher baseline expected</t>
  </si>
  <si>
    <t xml:space="preserve">Comprehensive Universities</t>
  </si>
  <si>
    <t xml:space="preserve">Multi-faculty</t>
  </si>
  <si>
    <t xml:space="preserve">Broader coverage expected</t>
  </si>
  <si>
    <t xml:space="preserve">Medical Universities</t>
  </si>
  <si>
    <t xml:space="preserve">Health-focused</t>
  </si>
  <si>
    <t xml:space="preserve">Lower base but high CS-MEDI crossover</t>
  </si>
  <si>
    <t xml:space="preserve">Interdisciplinary Proportion by ASJC Pair (% of Total Pubs in Each Pair)</t>
  </si>
  <si>
    <t xml:space="preserve">Each cell = (pubs in this pair / total pubs) × 100 | Shows which cross-domain combinations dominate</t>
  </si>
  <si>
    <t xml:space="preserve">University ↓ / Pair →</t>
  </si>
  <si>
    <t xml:space="preserve">CS-MEDI</t>
  </si>
  <si>
    <t xml:space="preserve">CS-ENGI</t>
  </si>
  <si>
    <t xml:space="preserve">CHEM-MATE</t>
  </si>
  <si>
    <t xml:space="preserve">CHEM-ENGI</t>
  </si>
  <si>
    <t xml:space="preserve">PHYS-MATE</t>
  </si>
  <si>
    <t xml:space="preserve">ENGI-ENVI</t>
  </si>
  <si>
    <t xml:space="preserve">BIOC-MEDI</t>
  </si>
  <si>
    <t xml:space="preserve">CS-MATH</t>
  </si>
  <si>
    <t xml:space="preserve">EART-ENVI</t>
  </si>
  <si>
    <t xml:space="preserve">ENER-ENGI</t>
  </si>
  <si>
    <t xml:space="preserve">AGRI-ENVI</t>
  </si>
  <si>
    <t xml:space="preserve">CS-BIOC</t>
  </si>
  <si>
    <t xml:space="preserve">Sum of Pair %</t>
  </si>
  <si>
    <t xml:space="preserve">Specialist vs. Comprehensive University — Proportion Context</t>
  </si>
  <si>
    <t xml:space="preserve">Contextualises proportion by institution type | Specialist (tech/med) vs. comprehensive (multi-faculty)</t>
  </si>
  <si>
    <t xml:space="preserve">Institution Type (Tech/Med/Comprehensive/Other)</t>
  </si>
  <si>
    <t xml:space="preserve">Total ASJC Areas Active</t>
  </si>
  <si>
    <t xml:space="preserve">% Interdisc.</t>
  </si>
  <si>
    <t xml:space="preserve">Benchmark for Type (%)</t>
  </si>
  <si>
    <t xml:space="preserve">Difference vs. Type Benchmark (pp)</t>
  </si>
  <si>
    <t xml:space="preserve">Adjusted Interpretation</t>
  </si>
  <si>
    <t xml:space="preserve">Composite Proportion of Publications Score (0–100) — 5% of Total Ranking</t>
  </si>
  <si>
    <t xml:space="preserve">Weighted composite of 5 sub-indicators | Weights editable in Row 4</t>
  </si>
  <si>
    <t xml:space="preserve">Overall Proportion (A)</t>
  </si>
  <si>
    <t xml:space="preserve">Trend/Slope (B)</t>
  </si>
  <si>
    <t xml:space="preserve">Depth-Weighted (C)</t>
  </si>
  <si>
    <t xml:space="preserve">Type Breakdown (D)</t>
  </si>
  <si>
    <t xml:space="preserve">Benchmark Premium (E)</t>
  </si>
  <si>
    <t xml:space="preserve">Composite Proportion Score</t>
  </si>
  <si>
    <t xml:space="preserve">Global Rank</t>
  </si>
  <si>
    <t xml:space="preserve">Weights →</t>
  </si>
  <si>
    <t xml:space="preserve">Benchmarking — Proportion of Publications</t>
  </si>
  <si>
    <t xml:space="preserve">University / Benchmark</t>
  </si>
  <si>
    <t xml:space="preserve">Overall %</t>
  </si>
  <si>
    <t xml:space="preserve">Depth</t>
  </si>
  <si>
    <t xml:space="preserve">Type</t>
  </si>
  <si>
    <t xml:space="preserve">Benchmark</t>
  </si>
  <si>
    <t xml:space="preserve">Composite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</si>
  <si>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</si>
  <si>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</si>
  <si>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</si>
  <si>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</si>
  <si>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</si>
  <si>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</si>
  <si>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</si>
  <si>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</si>
  <si>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</si>
  <si>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Proportion of Publications — Data Quality &amp; Audit Checklist</t>
  </si>
  <si>
    <t xml:space="preserve">Validation for all sub-indicators of the Proportion component (5% of total ranking)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</si>
  <si>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</si>
  <si>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</si>
  <si>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</si>
  <si>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</si>
  <si>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</si>
  <si>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Proportion denominator consistency</t>
  </si>
  <si>
    <t xml:space="preserve">Total publications (denominator) identical to the figure used in the Number of Publications (10%) sheet</t>
  </si>
  <si>
    <t xml:space="preserve">ASJC interdisciplinary threshold</t>
  </si>
  <si>
    <t xml:space="preserve">Only publications spanning 2+ ASJC TOP-LEVEL areas counted; sub-areas within same top-level excluded</t>
  </si>
  <si>
    <t xml:space="preserve">Publication type filter alignment</t>
  </si>
  <si>
    <t xml:space="preserve">Same types included (articles, reviews, conf. papers) and excluded (editorials, letters, errata) as Volume sheet</t>
  </si>
  <si>
    <t xml:space="preserve">5-year window identical</t>
  </si>
  <si>
    <t xml:space="preserve">Same 5-year calendar window as all other Outputs pillar components</t>
  </si>
  <si>
    <t xml:space="preserve">Depth-weighted formula verification</t>
  </si>
  <si>
    <t xml:space="preserve">DWP = (2-area×1 + 3-area×2 + 4+-area×3) / (Total×3) × 100; verified for 2–3 universities</t>
  </si>
  <si>
    <t xml:space="preserve">Trend calculation method</t>
  </si>
  <si>
    <t xml:space="preserve">YoY proportion change measured as simple difference (Y5% − Y1%) in percentage points; not ratio</t>
  </si>
  <si>
    <t xml:space="preserve">Proportion by type reconciliation</t>
  </si>
  <si>
    <t xml:space="preserve">Sum of interdisc. articles + reviews + conf. papers = total interdisc. pubs (no double counting)</t>
  </si>
  <si>
    <t xml:space="preserve">Benchmark source documentation</t>
  </si>
  <si>
    <t xml:space="preserve">National and institutional-type benchmarks sourced from published data (THE, Scopus, NIRF) with year cited</t>
  </si>
  <si>
    <t xml:space="preserve">Specialist vs. comprehensive classification</t>
  </si>
  <si>
    <t xml:space="preserve">Institution type (Tech/Med/Comprehensive) consistently classified using THE or NIRF definitions</t>
  </si>
  <si>
    <t xml:space="preserve">ASJC pair proportion validation</t>
  </si>
  <si>
    <t xml:space="preserve">Sum of pair-specific proportions ≤ overall interdisciplinary proportion (some pubs span 3+ pairs)</t>
  </si>
  <si>
    <t xml:space="preserve">No size bias in proportion</t>
  </si>
  <si>
    <t xml:space="preserve">Proportion metric confirmed as size-neutral (ratio); no FTE normalization applied to this metric</t>
  </si>
  <si>
    <t xml:space="preserve">Cross-validation with Volume sheet</t>
  </si>
  <si>
    <t xml:space="preserve">Interdisc. pub counts match between Proportion and Number of Publications workbooks</t>
  </si>
  <si>
    <t xml:space="preserve">Zero-publication handling</t>
  </si>
  <si>
    <t xml:space="preserve">Universities with zero total publications excluded from proportion calculation (avoid 0/0)</t>
  </si>
  <si>
    <t xml:space="preserve">Normalization method</t>
  </si>
  <si>
    <t xml:space="preserve">Confirm z-scoring or min-max normalization applied consistently across all universities</t>
  </si>
  <si>
    <t xml:space="preserve">Weight validation</t>
  </si>
  <si>
    <t xml:space="preserve">Sub-indicator weights sum to 100% of the Proportion component (5% of total ranking)</t>
  </si>
  <si>
    <t xml:space="preserve">Outlier detection</t>
  </si>
  <si>
    <t xml:space="preserve">Universities with proportion &gt;3 SD from mean flagged for verification</t>
  </si>
  <si>
    <t xml:space="preserve">Year-on-year trend plausibility</t>
  </si>
  <si>
    <t xml:space="preserve">Proportion changes &gt;10 percentage points in a single year flagged for investigation</t>
  </si>
  <si>
    <t xml:space="preserve">Review article inflation check</t>
  </si>
  <si>
    <t xml:space="preserve">Proportion not artificially inflated by high review article output (reviews naturally cite across fields)</t>
  </si>
  <si>
    <t xml:space="preserve">Scopus data extraction verification</t>
  </si>
  <si>
    <t xml:space="preserve">Data extracted using institutional Scopus affiliation ID; verified against SciVal</t>
  </si>
  <si>
    <t xml:space="preserve">Reproducibility test</t>
  </si>
  <si>
    <t xml:space="preserve">All calculations reproducible by independent analyst using this workbook and Scopus data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</si>
</sst>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\+0.0;\-0.0;0.0"/>
    <numFmt numFmtId="167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455A64"/>
        <bgColor rgb="FF40404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C8102E"/>
        <bgColor rgb="FF993300"/>
      </patternFill>
    </fill>
    <fill>
      <patternFill patternType="solid">
        <fgColor rgb="FF548235"/>
        <bgColor rgb="FF808080"/>
      </patternFill>
    </fill>
    <fill>
      <patternFill patternType="solid">
        <fgColor rgb="FFE2EFDA"/>
        <bgColor rgb="FFF2F2F2"/>
      </patternFill>
    </fill>
    <fill>
      <patternFill patternType="solid">
        <fgColor rgb="FF7030A0"/>
        <bgColor rgb="FF3F51B5"/>
      </patternFill>
    </fill>
    <fill>
      <patternFill patternType="solid">
        <fgColor rgb="FF2F8F9D"/>
        <bgColor rgb="FF2E75B6"/>
      </patternFill>
    </fill>
    <fill>
      <patternFill patternType="solid">
        <fgColor rgb="FFED7D31"/>
        <bgColor rgb="FFFF8080"/>
      </patternFill>
    </fill>
    <fill>
      <patternFill patternType="solid">
        <fgColor rgb="FFBF8F00"/>
        <bgColor rgb="FFED7D31"/>
      </patternFill>
    </fill>
    <fill>
      <patternFill patternType="solid">
        <fgColor rgb="FF3F51B5"/>
        <bgColor rgb="FF455A64"/>
      </patternFill>
    </fill>
    <fill>
      <patternFill patternType="solid">
        <fgColor rgb="FF6D4C41"/>
        <bgColor rgb="FF404040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455A64"/>
      <rgbColor rgb="FF969696"/>
      <rgbColor rgb="FF1A2E4F"/>
      <rgbColor rgb="FF2F8F9D"/>
      <rgbColor rgb="FF003300"/>
      <rgbColor rgb="FF333300"/>
      <rgbColor rgb="FF993300"/>
      <rgbColor rgb="FF6D4C41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5A64"/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90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90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90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11</v>
      </c>
    </row>
    <row r="8" customFormat="false" ht="90" hidden="false" customHeight="true" outlineLevel="0" collapsed="false">
      <c r="A8" s="8" t="n">
        <v>4</v>
      </c>
      <c r="B8" s="9" t="s">
        <v>14</v>
      </c>
      <c r="C8" s="10" t="s">
        <v>15</v>
      </c>
      <c r="D8" s="11" t="s">
        <v>16</v>
      </c>
    </row>
    <row r="9" customFormat="false" ht="90" hidden="false" customHeight="true" outlineLevel="0" collapsed="false">
      <c r="A9" s="4" t="n">
        <v>5</v>
      </c>
      <c r="B9" s="5" t="s">
        <v>17</v>
      </c>
      <c r="C9" s="6" t="s">
        <v>18</v>
      </c>
      <c r="D9" s="7" t="s">
        <v>16</v>
      </c>
    </row>
    <row r="11" customFormat="false" ht="25.5" hidden="false" customHeight="true" outlineLevel="0" collapsed="false">
      <c r="A11" s="12" t="s">
        <v>19</v>
      </c>
      <c r="B11" s="12"/>
      <c r="C11" s="12"/>
      <c r="D11" s="12"/>
    </row>
    <row r="12" customFormat="false" ht="23.85" hidden="false" customHeight="true" outlineLevel="0" collapsed="false">
      <c r="A12" s="13" t="s">
        <v>20</v>
      </c>
      <c r="B12" s="13"/>
      <c r="C12" s="13"/>
      <c r="D12" s="13"/>
    </row>
    <row r="13" customFormat="false" ht="15" hidden="false" customHeight="true" outlineLevel="0" collapsed="false">
      <c r="A13" s="13" t="s">
        <v>21</v>
      </c>
      <c r="B13" s="13"/>
      <c r="C13" s="13"/>
      <c r="D13" s="13"/>
    </row>
    <row r="14" customFormat="false" ht="23.85" hidden="false" customHeight="true" outlineLevel="0" collapsed="false">
      <c r="A14" s="13" t="s">
        <v>22</v>
      </c>
      <c r="B14" s="13"/>
      <c r="C14" s="13"/>
      <c r="D14" s="13"/>
    </row>
    <row r="15" customFormat="false" ht="15" hidden="false" customHeight="true" outlineLevel="0" collapsed="false">
      <c r="A15" s="13" t="s">
        <v>23</v>
      </c>
      <c r="B15" s="13"/>
      <c r="C15" s="13"/>
      <c r="D15" s="13"/>
    </row>
    <row r="16" customFormat="false" ht="15" hidden="false" customHeight="true" outlineLevel="0" collapsed="false">
      <c r="A16" s="13" t="s">
        <v>24</v>
      </c>
      <c r="B16" s="13"/>
      <c r="C16" s="13"/>
      <c r="D16" s="13"/>
    </row>
    <row r="17" customFormat="false" ht="23.85" hidden="false" customHeight="true" outlineLevel="0" collapsed="false">
      <c r="A17" s="13" t="s">
        <v>25</v>
      </c>
      <c r="B17" s="13"/>
      <c r="C17" s="13"/>
      <c r="D17" s="13"/>
    </row>
    <row r="18" customFormat="false" ht="15" hidden="false" customHeight="true" outlineLevel="0" collapsed="false">
      <c r="A18" s="13" t="s">
        <v>26</v>
      </c>
      <c r="B18" s="13"/>
      <c r="C18" s="13"/>
      <c r="D18" s="13"/>
    </row>
    <row r="19" customFormat="false" ht="15" hidden="false" customHeight="true" outlineLevel="0" collapsed="false">
      <c r="A19" s="13" t="s">
        <v>27</v>
      </c>
      <c r="B19" s="13"/>
      <c r="C19" s="13"/>
      <c r="D19" s="13"/>
    </row>
  </sheetData>
  <mergeCells count="11">
    <mergeCell ref="A1:D1"/>
    <mergeCell ref="A2:D2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6" min="4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4" t="s">
        <v>28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25.5" hidden="false" customHeight="true" outlineLevel="0" collapsed="false">
      <c r="A2" s="15" t="s">
        <v>29</v>
      </c>
      <c r="B2" s="15"/>
      <c r="C2" s="15"/>
      <c r="D2" s="15"/>
      <c r="E2" s="15"/>
      <c r="F2" s="15"/>
      <c r="G2" s="15"/>
      <c r="H2" s="15"/>
      <c r="I2" s="15"/>
      <c r="J2" s="15"/>
    </row>
    <row r="3" customFormat="false" ht="23.85" hidden="false" customHeight="false" outlineLevel="0" collapsed="false">
      <c r="A3" s="16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6" t="s">
        <v>35</v>
      </c>
      <c r="G3" s="16" t="s">
        <v>36</v>
      </c>
      <c r="H3" s="16" t="s">
        <v>37</v>
      </c>
      <c r="I3" s="16" t="s">
        <v>38</v>
      </c>
      <c r="J3" s="16" t="s">
        <v>39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8" t="n">
        <f aca="false">IF(D4&gt;0,F4/D4*100,0)</f>
        <v>0</v>
      </c>
      <c r="H4" s="17"/>
      <c r="I4" s="18" t="n">
        <f aca="false">IF(D4&gt;0,H4/D4*100,0)</f>
        <v>0</v>
      </c>
      <c r="J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20" t="n">
        <f aca="false">IF(D5&gt;0,F5/D5*100,0)</f>
        <v>0</v>
      </c>
      <c r="H5" s="19"/>
      <c r="I5" s="20" t="n">
        <f aca="false">IF(D5&gt;0,H5/D5*100,0)</f>
        <v>0</v>
      </c>
      <c r="J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8" t="n">
        <f aca="false">IF(D6&gt;0,F6/D6*100,0)</f>
        <v>0</v>
      </c>
      <c r="H6" s="17"/>
      <c r="I6" s="18" t="n">
        <f aca="false">IF(D6&gt;0,H6/D6*100,0)</f>
        <v>0</v>
      </c>
      <c r="J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20" t="n">
        <f aca="false">IF(D7&gt;0,F7/D7*100,0)</f>
        <v>0</v>
      </c>
      <c r="H7" s="19"/>
      <c r="I7" s="20" t="n">
        <f aca="false">IF(D7&gt;0,H7/D7*100,0)</f>
        <v>0</v>
      </c>
      <c r="J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8" t="n">
        <f aca="false">IF(D8&gt;0,F8/D8*100,0)</f>
        <v>0</v>
      </c>
      <c r="H8" s="17"/>
      <c r="I8" s="18" t="n">
        <f aca="false">IF(D8&gt;0,H8/D8*100,0)</f>
        <v>0</v>
      </c>
      <c r="J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20" t="n">
        <f aca="false">IF(D9&gt;0,F9/D9*100,0)</f>
        <v>0</v>
      </c>
      <c r="H9" s="19"/>
      <c r="I9" s="20" t="n">
        <f aca="false">IF(D9&gt;0,H9/D9*100,0)</f>
        <v>0</v>
      </c>
      <c r="J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8" t="n">
        <f aca="false">IF(D10&gt;0,F10/D10*100,0)</f>
        <v>0</v>
      </c>
      <c r="H10" s="17"/>
      <c r="I10" s="18" t="n">
        <f aca="false">IF(D10&gt;0,H10/D10*100,0)</f>
        <v>0</v>
      </c>
      <c r="J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20" t="n">
        <f aca="false">IF(D11&gt;0,F11/D11*100,0)</f>
        <v>0</v>
      </c>
      <c r="H11" s="19"/>
      <c r="I11" s="20" t="n">
        <f aca="false">IF(D11&gt;0,H11/D11*100,0)</f>
        <v>0</v>
      </c>
      <c r="J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8" t="n">
        <f aca="false">IF(D12&gt;0,F12/D12*100,0)</f>
        <v>0</v>
      </c>
      <c r="H12" s="17"/>
      <c r="I12" s="18" t="n">
        <f aca="false">IF(D12&gt;0,H12/D12*100,0)</f>
        <v>0</v>
      </c>
      <c r="J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20" t="n">
        <f aca="false">IF(D13&gt;0,F13/D13*100,0)</f>
        <v>0</v>
      </c>
      <c r="H13" s="19"/>
      <c r="I13" s="20" t="n">
        <f aca="false">IF(D13&gt;0,H13/D13*100,0)</f>
        <v>0</v>
      </c>
      <c r="J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8" t="n">
        <f aca="false">IF(D14&gt;0,F14/D14*100,0)</f>
        <v>0</v>
      </c>
      <c r="H14" s="17"/>
      <c r="I14" s="18" t="n">
        <f aca="false">IF(D14&gt;0,H14/D14*100,0)</f>
        <v>0</v>
      </c>
      <c r="J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20" t="n">
        <f aca="false">IF(D15&gt;0,F15/D15*100,0)</f>
        <v>0</v>
      </c>
      <c r="H15" s="19"/>
      <c r="I15" s="20" t="n">
        <f aca="false">IF(D15&gt;0,H15/D15*100,0)</f>
        <v>0</v>
      </c>
      <c r="J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8" t="n">
        <f aca="false">IF(D16&gt;0,F16/D16*100,0)</f>
        <v>0</v>
      </c>
      <c r="H16" s="17"/>
      <c r="I16" s="18" t="n">
        <f aca="false">IF(D16&gt;0,H16/D16*100,0)</f>
        <v>0</v>
      </c>
      <c r="J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20" t="n">
        <f aca="false">IF(D17&gt;0,F17/D17*100,0)</f>
        <v>0</v>
      </c>
      <c r="H17" s="19"/>
      <c r="I17" s="20" t="n">
        <f aca="false">IF(D17&gt;0,H17/D17*100,0)</f>
        <v>0</v>
      </c>
      <c r="J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8" t="n">
        <f aca="false">IF(D18&gt;0,F18/D18*100,0)</f>
        <v>0</v>
      </c>
      <c r="H18" s="17"/>
      <c r="I18" s="18" t="n">
        <f aca="false">IF(D18&gt;0,H18/D18*100,0)</f>
        <v>0</v>
      </c>
      <c r="J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20" t="n">
        <f aca="false">IF(D19&gt;0,F19/D19*100,0)</f>
        <v>0</v>
      </c>
      <c r="H19" s="19"/>
      <c r="I19" s="20" t="n">
        <f aca="false">IF(D19&gt;0,H19/D19*100,0)</f>
        <v>0</v>
      </c>
      <c r="J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8" t="n">
        <f aca="false">IF(D20&gt;0,F20/D20*100,0)</f>
        <v>0</v>
      </c>
      <c r="H20" s="17"/>
      <c r="I20" s="18" t="n">
        <f aca="false">IF(D20&gt;0,H20/D20*100,0)</f>
        <v>0</v>
      </c>
      <c r="J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20" t="n">
        <f aca="false">IF(D21&gt;0,F21/D21*100,0)</f>
        <v>0</v>
      </c>
      <c r="H21" s="19"/>
      <c r="I21" s="20" t="n">
        <f aca="false">IF(D21&gt;0,H21/D21*100,0)</f>
        <v>0</v>
      </c>
      <c r="J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8" t="n">
        <f aca="false">IF(D22&gt;0,F22/D22*100,0)</f>
        <v>0</v>
      </c>
      <c r="H22" s="17"/>
      <c r="I22" s="18" t="n">
        <f aca="false">IF(D22&gt;0,H22/D22*100,0)</f>
        <v>0</v>
      </c>
      <c r="J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20" t="n">
        <f aca="false">IF(D23&gt;0,F23/D23*100,0)</f>
        <v>0</v>
      </c>
      <c r="H23" s="19"/>
      <c r="I23" s="20" t="n">
        <f aca="false">IF(D23&gt;0,H23/D23*100,0)</f>
        <v>0</v>
      </c>
      <c r="J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8" t="n">
        <f aca="false">IF(D24&gt;0,F24/D24*100,0)</f>
        <v>0</v>
      </c>
      <c r="H24" s="17"/>
      <c r="I24" s="18" t="n">
        <f aca="false">IF(D24&gt;0,H24/D24*100,0)</f>
        <v>0</v>
      </c>
      <c r="J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20" t="n">
        <f aca="false">IF(D25&gt;0,F25/D25*100,0)</f>
        <v>0</v>
      </c>
      <c r="H25" s="19"/>
      <c r="I25" s="20" t="n">
        <f aca="false">IF(D25&gt;0,H25/D25*100,0)</f>
        <v>0</v>
      </c>
      <c r="J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8" t="n">
        <f aca="false">IF(D26&gt;0,F26/D26*100,0)</f>
        <v>0</v>
      </c>
      <c r="H26" s="17"/>
      <c r="I26" s="18" t="n">
        <f aca="false">IF(D26&gt;0,H26/D26*100,0)</f>
        <v>0</v>
      </c>
      <c r="J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20" t="n">
        <f aca="false">IF(D27&gt;0,F27/D27*100,0)</f>
        <v>0</v>
      </c>
      <c r="H27" s="19"/>
      <c r="I27" s="20" t="n">
        <f aca="false">IF(D27&gt;0,H27/D27*100,0)</f>
        <v>0</v>
      </c>
      <c r="J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8" t="n">
        <f aca="false">IF(D28&gt;0,F28/D28*100,0)</f>
        <v>0</v>
      </c>
      <c r="H28" s="17"/>
      <c r="I28" s="18" t="n">
        <f aca="false">IF(D28&gt;0,H28/D28*100,0)</f>
        <v>0</v>
      </c>
      <c r="J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20" t="n">
        <f aca="false">IF(D29&gt;0,F29/D29*100,0)</f>
        <v>0</v>
      </c>
      <c r="H29" s="19"/>
      <c r="I29" s="20" t="n">
        <f aca="false">IF(D29&gt;0,H29/D29*100,0)</f>
        <v>0</v>
      </c>
      <c r="J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8" t="n">
        <f aca="false">IF(D30&gt;0,F30/D30*100,0)</f>
        <v>0</v>
      </c>
      <c r="H30" s="17"/>
      <c r="I30" s="18" t="n">
        <f aca="false">IF(D30&gt;0,H30/D30*100,0)</f>
        <v>0</v>
      </c>
      <c r="J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20" t="n">
        <f aca="false">IF(D31&gt;0,F31/D31*100,0)</f>
        <v>0</v>
      </c>
      <c r="H31" s="19"/>
      <c r="I31" s="20" t="n">
        <f aca="false">IF(D31&gt;0,H31/D31*100,0)</f>
        <v>0</v>
      </c>
      <c r="J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8" t="n">
        <f aca="false">IF(D32&gt;0,F32/D32*100,0)</f>
        <v>0</v>
      </c>
      <c r="H32" s="17"/>
      <c r="I32" s="18" t="n">
        <f aca="false">IF(D32&gt;0,H32/D32*100,0)</f>
        <v>0</v>
      </c>
      <c r="J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20" t="n">
        <f aca="false">IF(D33&gt;0,F33/D33*100,0)</f>
        <v>0</v>
      </c>
      <c r="H33" s="19"/>
      <c r="I33" s="20" t="n">
        <f aca="false">IF(D33&gt;0,H33/D33*100,0)</f>
        <v>0</v>
      </c>
      <c r="J33" s="19"/>
    </row>
    <row r="35" customFormat="false" ht="25.5" hidden="false" customHeight="true" outlineLevel="0" collapsed="false">
      <c r="A35" s="21" t="s">
        <v>40</v>
      </c>
      <c r="B35" s="21"/>
      <c r="C35" s="21"/>
      <c r="D35" s="21"/>
      <c r="E35" s="21"/>
      <c r="F35" s="21"/>
      <c r="G35" s="21"/>
      <c r="H35" s="21"/>
      <c r="I35" s="21"/>
      <c r="J35" s="21"/>
    </row>
    <row r="36" customFormat="false" ht="15" hidden="false" customHeight="true" outlineLevel="0" collapsed="false">
      <c r="A36" s="22" t="s">
        <v>41</v>
      </c>
      <c r="B36" s="22"/>
      <c r="C36" s="22"/>
      <c r="D36" s="22"/>
      <c r="E36" s="23" t="n">
        <f aca="false">IF(COUNTA(G4:G33)&gt;0,AVERAGE(G4:G33),0)</f>
        <v>0</v>
      </c>
      <c r="F36" s="24"/>
      <c r="G36" s="24"/>
      <c r="H36" s="24"/>
      <c r="I36" s="24"/>
      <c r="J36" s="24"/>
    </row>
    <row r="37" customFormat="false" ht="15" hidden="false" customHeight="true" outlineLevel="0" collapsed="false">
      <c r="A37" s="22" t="s">
        <v>42</v>
      </c>
      <c r="B37" s="22"/>
      <c r="C37" s="22"/>
      <c r="D37" s="22"/>
      <c r="E37" s="23" t="n">
        <f aca="false">MEDIAN(G4:G33)</f>
        <v>0</v>
      </c>
      <c r="F37" s="24"/>
      <c r="G37" s="24"/>
      <c r="H37" s="24"/>
      <c r="I37" s="24"/>
      <c r="J37" s="24"/>
    </row>
    <row r="38" customFormat="false" ht="15" hidden="false" customHeight="true" outlineLevel="0" collapsed="false">
      <c r="A38" s="22" t="s">
        <v>43</v>
      </c>
      <c r="B38" s="22"/>
      <c r="C38" s="22"/>
      <c r="D38" s="22"/>
      <c r="E38" s="23" t="n">
        <f aca="false">MAX(G4:G33)</f>
        <v>0</v>
      </c>
      <c r="F38" s="24"/>
      <c r="G38" s="24"/>
      <c r="H38" s="24"/>
      <c r="I38" s="24"/>
      <c r="J38" s="24"/>
    </row>
    <row r="39" customFormat="false" ht="15" hidden="false" customHeight="true" outlineLevel="0" collapsed="false">
      <c r="A39" s="22" t="s">
        <v>44</v>
      </c>
      <c r="B39" s="22"/>
      <c r="C39" s="22"/>
      <c r="D39" s="22"/>
      <c r="E39" s="23" t="n">
        <f aca="false">MIN(G4:G33)</f>
        <v>0</v>
      </c>
      <c r="F39" s="24"/>
      <c r="G39" s="24"/>
      <c r="H39" s="24"/>
      <c r="I39" s="24"/>
      <c r="J39" s="24"/>
    </row>
    <row r="40" customFormat="false" ht="15" hidden="false" customHeight="true" outlineLevel="0" collapsed="false">
      <c r="A40" s="22" t="s">
        <v>45</v>
      </c>
      <c r="B40" s="22"/>
      <c r="C40" s="22"/>
      <c r="D40" s="22"/>
      <c r="E40" s="23" t="n">
        <f aca="false">IF(COUNTA(I4:I33)&gt;0,AVERAGE(I4:I33),0)</f>
        <v>0</v>
      </c>
      <c r="F40" s="24"/>
      <c r="G40" s="24"/>
      <c r="H40" s="24"/>
      <c r="I40" s="24"/>
      <c r="J40" s="24"/>
    </row>
  </sheetData>
  <mergeCells count="8">
    <mergeCell ref="A1:J1"/>
    <mergeCell ref="A2:J2"/>
    <mergeCell ref="A35:J35"/>
    <mergeCell ref="A36:D36"/>
    <mergeCell ref="A37:D37"/>
    <mergeCell ref="A38:D38"/>
    <mergeCell ref="A39:D39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12" min="3" style="0" width="14"/>
    <col collapsed="false" customWidth="true" hidden="false" outlineLevel="0" max="14" min="13" style="0" width="18"/>
    <col collapsed="false" customWidth="true" hidden="false" outlineLevel="0" max="15" min="15" style="0" width="14"/>
  </cols>
  <sheetData>
    <row r="1" customFormat="false" ht="33.75" hidden="false" customHeight="true" outlineLevel="0" collapsed="false">
      <c r="A1" s="25" t="s">
        <v>46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customFormat="false" ht="25.5" hidden="false" customHeight="true" outlineLevel="0" collapsed="false">
      <c r="A2" s="21" t="s">
        <v>47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customFormat="false" ht="23.85" hidden="false" customHeight="false" outlineLevel="0" collapsed="false">
      <c r="A3" s="26" t="s">
        <v>30</v>
      </c>
      <c r="B3" s="26" t="s">
        <v>31</v>
      </c>
      <c r="C3" s="26" t="s">
        <v>32</v>
      </c>
      <c r="D3" s="26" t="s">
        <v>48</v>
      </c>
      <c r="E3" s="26" t="s">
        <v>49</v>
      </c>
      <c r="F3" s="26" t="s">
        <v>50</v>
      </c>
      <c r="G3" s="26" t="s">
        <v>51</v>
      </c>
      <c r="H3" s="26" t="s">
        <v>52</v>
      </c>
      <c r="I3" s="26" t="s">
        <v>53</v>
      </c>
      <c r="J3" s="26" t="s">
        <v>54</v>
      </c>
      <c r="K3" s="26" t="s">
        <v>55</v>
      </c>
      <c r="L3" s="26" t="s">
        <v>56</v>
      </c>
      <c r="M3" s="26" t="s">
        <v>57</v>
      </c>
      <c r="N3" s="26" t="s">
        <v>58</v>
      </c>
      <c r="O3" s="26" t="s">
        <v>59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8" t="n">
        <f aca="false">IF(D4&gt;0,E4/D4*100,0)</f>
        <v>0</v>
      </c>
      <c r="G4" s="17"/>
      <c r="H4" s="17"/>
      <c r="I4" s="18" t="n">
        <f aca="false">IF(G4&gt;0,H4/G4*100,0)</f>
        <v>0</v>
      </c>
      <c r="J4" s="17"/>
      <c r="K4" s="17"/>
      <c r="L4" s="18" t="n">
        <f aca="false">IF(J4&gt;0,K4/J4*100,0)</f>
        <v>0</v>
      </c>
      <c r="M4" s="17"/>
      <c r="N4" s="27" t="n">
        <f aca="false">M4-F4</f>
        <v>0</v>
      </c>
      <c r="O4" s="11" t="str">
        <f aca="false">IF(N4&gt;=5,"Strong Growth",IF(N4&gt;=2,"Growing",IF(N4&gt;=-2,"Stable",IF(N4&gt;=-5,"Declining","Sharp Decline"))))</f>
        <v>Stable</v>
      </c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20" t="n">
        <f aca="false">IF(D5&gt;0,E5/D5*100,0)</f>
        <v>0</v>
      </c>
      <c r="G5" s="19"/>
      <c r="H5" s="19"/>
      <c r="I5" s="20" t="n">
        <f aca="false">IF(G5&gt;0,H5/G5*100,0)</f>
        <v>0</v>
      </c>
      <c r="J5" s="19"/>
      <c r="K5" s="19"/>
      <c r="L5" s="20" t="n">
        <f aca="false">IF(J5&gt;0,K5/J5*100,0)</f>
        <v>0</v>
      </c>
      <c r="M5" s="19"/>
      <c r="N5" s="28" t="n">
        <f aca="false">M5-F5</f>
        <v>0</v>
      </c>
      <c r="O5" s="7" t="str">
        <f aca="false">IF(N5&gt;=5,"Strong Growth",IF(N5&gt;=2,"Growing",IF(N5&gt;=-2,"Stable",IF(N5&gt;=-5,"Declining","Sharp Decline"))))</f>
        <v>Stable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8" t="n">
        <f aca="false">IF(D6&gt;0,E6/D6*100,0)</f>
        <v>0</v>
      </c>
      <c r="G6" s="17"/>
      <c r="H6" s="17"/>
      <c r="I6" s="18" t="n">
        <f aca="false">IF(G6&gt;0,H6/G6*100,0)</f>
        <v>0</v>
      </c>
      <c r="J6" s="17"/>
      <c r="K6" s="17"/>
      <c r="L6" s="18" t="n">
        <f aca="false">IF(J6&gt;0,K6/J6*100,0)</f>
        <v>0</v>
      </c>
      <c r="M6" s="17"/>
      <c r="N6" s="27" t="n">
        <f aca="false">M6-F6</f>
        <v>0</v>
      </c>
      <c r="O6" s="11" t="str">
        <f aca="false">IF(N6&gt;=5,"Strong Growth",IF(N6&gt;=2,"Growing",IF(N6&gt;=-2,"Stable",IF(N6&gt;=-5,"Declining","Sharp Decline"))))</f>
        <v>Stable</v>
      </c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20" t="n">
        <f aca="false">IF(D7&gt;0,E7/D7*100,0)</f>
        <v>0</v>
      </c>
      <c r="G7" s="19"/>
      <c r="H7" s="19"/>
      <c r="I7" s="20" t="n">
        <f aca="false">IF(G7&gt;0,H7/G7*100,0)</f>
        <v>0</v>
      </c>
      <c r="J7" s="19"/>
      <c r="K7" s="19"/>
      <c r="L7" s="20" t="n">
        <f aca="false">IF(J7&gt;0,K7/J7*100,0)</f>
        <v>0</v>
      </c>
      <c r="M7" s="19"/>
      <c r="N7" s="28" t="n">
        <f aca="false">M7-F7</f>
        <v>0</v>
      </c>
      <c r="O7" s="7" t="str">
        <f aca="false">IF(N7&gt;=5,"Strong Growth",IF(N7&gt;=2,"Growing",IF(N7&gt;=-2,"Stable",IF(N7&gt;=-5,"Declining","Sharp Decline"))))</f>
        <v>Stable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8" t="n">
        <f aca="false">IF(D8&gt;0,E8/D8*100,0)</f>
        <v>0</v>
      </c>
      <c r="G8" s="17"/>
      <c r="H8" s="17"/>
      <c r="I8" s="18" t="n">
        <f aca="false">IF(G8&gt;0,H8/G8*100,0)</f>
        <v>0</v>
      </c>
      <c r="J8" s="17"/>
      <c r="K8" s="17"/>
      <c r="L8" s="18" t="n">
        <f aca="false">IF(J8&gt;0,K8/J8*100,0)</f>
        <v>0</v>
      </c>
      <c r="M8" s="17"/>
      <c r="N8" s="27" t="n">
        <f aca="false">M8-F8</f>
        <v>0</v>
      </c>
      <c r="O8" s="11" t="str">
        <f aca="false">IF(N8&gt;=5,"Strong Growth",IF(N8&gt;=2,"Growing",IF(N8&gt;=-2,"Stable",IF(N8&gt;=-5,"Declining","Sharp Decline"))))</f>
        <v>Stable</v>
      </c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20" t="n">
        <f aca="false">IF(D9&gt;0,E9/D9*100,0)</f>
        <v>0</v>
      </c>
      <c r="G9" s="19"/>
      <c r="H9" s="19"/>
      <c r="I9" s="20" t="n">
        <f aca="false">IF(G9&gt;0,H9/G9*100,0)</f>
        <v>0</v>
      </c>
      <c r="J9" s="19"/>
      <c r="K9" s="19"/>
      <c r="L9" s="20" t="n">
        <f aca="false">IF(J9&gt;0,K9/J9*100,0)</f>
        <v>0</v>
      </c>
      <c r="M9" s="19"/>
      <c r="N9" s="28" t="n">
        <f aca="false">M9-F9</f>
        <v>0</v>
      </c>
      <c r="O9" s="7" t="str">
        <f aca="false">IF(N9&gt;=5,"Strong Growth",IF(N9&gt;=2,"Growing",IF(N9&gt;=-2,"Stable",IF(N9&gt;=-5,"Declining","Sharp Decline"))))</f>
        <v>Stable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8" t="n">
        <f aca="false">IF(D10&gt;0,E10/D10*100,0)</f>
        <v>0</v>
      </c>
      <c r="G10" s="17"/>
      <c r="H10" s="17"/>
      <c r="I10" s="18" t="n">
        <f aca="false">IF(G10&gt;0,H10/G10*100,0)</f>
        <v>0</v>
      </c>
      <c r="J10" s="17"/>
      <c r="K10" s="17"/>
      <c r="L10" s="18" t="n">
        <f aca="false">IF(J10&gt;0,K10/J10*100,0)</f>
        <v>0</v>
      </c>
      <c r="M10" s="17"/>
      <c r="N10" s="27" t="n">
        <f aca="false">M10-F10</f>
        <v>0</v>
      </c>
      <c r="O10" s="11" t="str">
        <f aca="false">IF(N10&gt;=5,"Strong Growth",IF(N10&gt;=2,"Growing",IF(N10&gt;=-2,"Stable",IF(N10&gt;=-5,"Declining","Sharp Decline"))))</f>
        <v>Stable</v>
      </c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20" t="n">
        <f aca="false">IF(D11&gt;0,E11/D11*100,0)</f>
        <v>0</v>
      </c>
      <c r="G11" s="19"/>
      <c r="H11" s="19"/>
      <c r="I11" s="20" t="n">
        <f aca="false">IF(G11&gt;0,H11/G11*100,0)</f>
        <v>0</v>
      </c>
      <c r="J11" s="19"/>
      <c r="K11" s="19"/>
      <c r="L11" s="20" t="n">
        <f aca="false">IF(J11&gt;0,K11/J11*100,0)</f>
        <v>0</v>
      </c>
      <c r="M11" s="19"/>
      <c r="N11" s="28" t="n">
        <f aca="false">M11-F11</f>
        <v>0</v>
      </c>
      <c r="O11" s="7" t="str">
        <f aca="false">IF(N11&gt;=5,"Strong Growth",IF(N11&gt;=2,"Growing",IF(N11&gt;=-2,"Stable",IF(N11&gt;=-5,"Declining","Sharp Decline"))))</f>
        <v>Stable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8" t="n">
        <f aca="false">IF(D12&gt;0,E12/D12*100,0)</f>
        <v>0</v>
      </c>
      <c r="G12" s="17"/>
      <c r="H12" s="17"/>
      <c r="I12" s="18" t="n">
        <f aca="false">IF(G12&gt;0,H12/G12*100,0)</f>
        <v>0</v>
      </c>
      <c r="J12" s="17"/>
      <c r="K12" s="17"/>
      <c r="L12" s="18" t="n">
        <f aca="false">IF(J12&gt;0,K12/J12*100,0)</f>
        <v>0</v>
      </c>
      <c r="M12" s="17"/>
      <c r="N12" s="27" t="n">
        <f aca="false">M12-F12</f>
        <v>0</v>
      </c>
      <c r="O12" s="11" t="str">
        <f aca="false">IF(N12&gt;=5,"Strong Growth",IF(N12&gt;=2,"Growing",IF(N12&gt;=-2,"Stable",IF(N12&gt;=-5,"Declining","Sharp Decline"))))</f>
        <v>Stable</v>
      </c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20" t="n">
        <f aca="false">IF(D13&gt;0,E13/D13*100,0)</f>
        <v>0</v>
      </c>
      <c r="G13" s="19"/>
      <c r="H13" s="19"/>
      <c r="I13" s="20" t="n">
        <f aca="false">IF(G13&gt;0,H13/G13*100,0)</f>
        <v>0</v>
      </c>
      <c r="J13" s="19"/>
      <c r="K13" s="19"/>
      <c r="L13" s="20" t="n">
        <f aca="false">IF(J13&gt;0,K13/J13*100,0)</f>
        <v>0</v>
      </c>
      <c r="M13" s="19"/>
      <c r="N13" s="28" t="n">
        <f aca="false">M13-F13</f>
        <v>0</v>
      </c>
      <c r="O13" s="7" t="str">
        <f aca="false">IF(N13&gt;=5,"Strong Growth",IF(N13&gt;=2,"Growing",IF(N13&gt;=-2,"Stable",IF(N13&gt;=-5,"Declining","Sharp Decline"))))</f>
        <v>Stable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8" t="n">
        <f aca="false">IF(D14&gt;0,E14/D14*100,0)</f>
        <v>0</v>
      </c>
      <c r="G14" s="17"/>
      <c r="H14" s="17"/>
      <c r="I14" s="18" t="n">
        <f aca="false">IF(G14&gt;0,H14/G14*100,0)</f>
        <v>0</v>
      </c>
      <c r="J14" s="17"/>
      <c r="K14" s="17"/>
      <c r="L14" s="18" t="n">
        <f aca="false">IF(J14&gt;0,K14/J14*100,0)</f>
        <v>0</v>
      </c>
      <c r="M14" s="17"/>
      <c r="N14" s="27" t="n">
        <f aca="false">M14-F14</f>
        <v>0</v>
      </c>
      <c r="O14" s="11" t="str">
        <f aca="false">IF(N14&gt;=5,"Strong Growth",IF(N14&gt;=2,"Growing",IF(N14&gt;=-2,"Stable",IF(N14&gt;=-5,"Declining","Sharp Decline"))))</f>
        <v>Stable</v>
      </c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20" t="n">
        <f aca="false">IF(D15&gt;0,E15/D15*100,0)</f>
        <v>0</v>
      </c>
      <c r="G15" s="19"/>
      <c r="H15" s="19"/>
      <c r="I15" s="20" t="n">
        <f aca="false">IF(G15&gt;0,H15/G15*100,0)</f>
        <v>0</v>
      </c>
      <c r="J15" s="19"/>
      <c r="K15" s="19"/>
      <c r="L15" s="20" t="n">
        <f aca="false">IF(J15&gt;0,K15/J15*100,0)</f>
        <v>0</v>
      </c>
      <c r="M15" s="19"/>
      <c r="N15" s="28" t="n">
        <f aca="false">M15-F15</f>
        <v>0</v>
      </c>
      <c r="O15" s="7" t="str">
        <f aca="false">IF(N15&gt;=5,"Strong Growth",IF(N15&gt;=2,"Growing",IF(N15&gt;=-2,"Stable",IF(N15&gt;=-5,"Declining","Sharp Decline"))))</f>
        <v>Stable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8" t="n">
        <f aca="false">IF(D16&gt;0,E16/D16*100,0)</f>
        <v>0</v>
      </c>
      <c r="G16" s="17"/>
      <c r="H16" s="17"/>
      <c r="I16" s="18" t="n">
        <f aca="false">IF(G16&gt;0,H16/G16*100,0)</f>
        <v>0</v>
      </c>
      <c r="J16" s="17"/>
      <c r="K16" s="17"/>
      <c r="L16" s="18" t="n">
        <f aca="false">IF(J16&gt;0,K16/J16*100,0)</f>
        <v>0</v>
      </c>
      <c r="M16" s="17"/>
      <c r="N16" s="27" t="n">
        <f aca="false">M16-F16</f>
        <v>0</v>
      </c>
      <c r="O16" s="11" t="str">
        <f aca="false">IF(N16&gt;=5,"Strong Growth",IF(N16&gt;=2,"Growing",IF(N16&gt;=-2,"Stable",IF(N16&gt;=-5,"Declining","Sharp Decline"))))</f>
        <v>Stable</v>
      </c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20" t="n">
        <f aca="false">IF(D17&gt;0,E17/D17*100,0)</f>
        <v>0</v>
      </c>
      <c r="G17" s="19"/>
      <c r="H17" s="19"/>
      <c r="I17" s="20" t="n">
        <f aca="false">IF(G17&gt;0,H17/G17*100,0)</f>
        <v>0</v>
      </c>
      <c r="J17" s="19"/>
      <c r="K17" s="19"/>
      <c r="L17" s="20" t="n">
        <f aca="false">IF(J17&gt;0,K17/J17*100,0)</f>
        <v>0</v>
      </c>
      <c r="M17" s="19"/>
      <c r="N17" s="28" t="n">
        <f aca="false">M17-F17</f>
        <v>0</v>
      </c>
      <c r="O17" s="7" t="str">
        <f aca="false">IF(N17&gt;=5,"Strong Growth",IF(N17&gt;=2,"Growing",IF(N17&gt;=-2,"Stable",IF(N17&gt;=-5,"Declining","Sharp Decline"))))</f>
        <v>Stable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8" t="n">
        <f aca="false">IF(D18&gt;0,E18/D18*100,0)</f>
        <v>0</v>
      </c>
      <c r="G18" s="17"/>
      <c r="H18" s="17"/>
      <c r="I18" s="18" t="n">
        <f aca="false">IF(G18&gt;0,H18/G18*100,0)</f>
        <v>0</v>
      </c>
      <c r="J18" s="17"/>
      <c r="K18" s="17"/>
      <c r="L18" s="18" t="n">
        <f aca="false">IF(J18&gt;0,K18/J18*100,0)</f>
        <v>0</v>
      </c>
      <c r="M18" s="17"/>
      <c r="N18" s="27" t="n">
        <f aca="false">M18-F18</f>
        <v>0</v>
      </c>
      <c r="O18" s="11" t="str">
        <f aca="false">IF(N18&gt;=5,"Strong Growth",IF(N18&gt;=2,"Growing",IF(N18&gt;=-2,"Stable",IF(N18&gt;=-5,"Declining","Sharp Decline"))))</f>
        <v>Stable</v>
      </c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20" t="n">
        <f aca="false">IF(D19&gt;0,E19/D19*100,0)</f>
        <v>0</v>
      </c>
      <c r="G19" s="19"/>
      <c r="H19" s="19"/>
      <c r="I19" s="20" t="n">
        <f aca="false">IF(G19&gt;0,H19/G19*100,0)</f>
        <v>0</v>
      </c>
      <c r="J19" s="19"/>
      <c r="K19" s="19"/>
      <c r="L19" s="20" t="n">
        <f aca="false">IF(J19&gt;0,K19/J19*100,0)</f>
        <v>0</v>
      </c>
      <c r="M19" s="19"/>
      <c r="N19" s="28" t="n">
        <f aca="false">M19-F19</f>
        <v>0</v>
      </c>
      <c r="O19" s="7" t="str">
        <f aca="false">IF(N19&gt;=5,"Strong Growth",IF(N19&gt;=2,"Growing",IF(N19&gt;=-2,"Stable",IF(N19&gt;=-5,"Declining","Sharp Decline"))))</f>
        <v>Stable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8" t="n">
        <f aca="false">IF(D20&gt;0,E20/D20*100,0)</f>
        <v>0</v>
      </c>
      <c r="G20" s="17"/>
      <c r="H20" s="17"/>
      <c r="I20" s="18" t="n">
        <f aca="false">IF(G20&gt;0,H20/G20*100,0)</f>
        <v>0</v>
      </c>
      <c r="J20" s="17"/>
      <c r="K20" s="17"/>
      <c r="L20" s="18" t="n">
        <f aca="false">IF(J20&gt;0,K20/J20*100,0)</f>
        <v>0</v>
      </c>
      <c r="M20" s="17"/>
      <c r="N20" s="27" t="n">
        <f aca="false">M20-F20</f>
        <v>0</v>
      </c>
      <c r="O20" s="11" t="str">
        <f aca="false">IF(N20&gt;=5,"Strong Growth",IF(N20&gt;=2,"Growing",IF(N20&gt;=-2,"Stable",IF(N20&gt;=-5,"Declining","Sharp Decline"))))</f>
        <v>Stable</v>
      </c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20" t="n">
        <f aca="false">IF(D21&gt;0,E21/D21*100,0)</f>
        <v>0</v>
      </c>
      <c r="G21" s="19"/>
      <c r="H21" s="19"/>
      <c r="I21" s="20" t="n">
        <f aca="false">IF(G21&gt;0,H21/G21*100,0)</f>
        <v>0</v>
      </c>
      <c r="J21" s="19"/>
      <c r="K21" s="19"/>
      <c r="L21" s="20" t="n">
        <f aca="false">IF(J21&gt;0,K21/J21*100,0)</f>
        <v>0</v>
      </c>
      <c r="M21" s="19"/>
      <c r="N21" s="28" t="n">
        <f aca="false">M21-F21</f>
        <v>0</v>
      </c>
      <c r="O21" s="7" t="str">
        <f aca="false">IF(N21&gt;=5,"Strong Growth",IF(N21&gt;=2,"Growing",IF(N21&gt;=-2,"Stable",IF(N21&gt;=-5,"Declining","Sharp Decline"))))</f>
        <v>Stable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8" t="n">
        <f aca="false">IF(D22&gt;0,E22/D22*100,0)</f>
        <v>0</v>
      </c>
      <c r="G22" s="17"/>
      <c r="H22" s="17"/>
      <c r="I22" s="18" t="n">
        <f aca="false">IF(G22&gt;0,H22/G22*100,0)</f>
        <v>0</v>
      </c>
      <c r="J22" s="17"/>
      <c r="K22" s="17"/>
      <c r="L22" s="18" t="n">
        <f aca="false">IF(J22&gt;0,K22/J22*100,0)</f>
        <v>0</v>
      </c>
      <c r="M22" s="17"/>
      <c r="N22" s="27" t="n">
        <f aca="false">M22-F22</f>
        <v>0</v>
      </c>
      <c r="O22" s="11" t="str">
        <f aca="false">IF(N22&gt;=5,"Strong Growth",IF(N22&gt;=2,"Growing",IF(N22&gt;=-2,"Stable",IF(N22&gt;=-5,"Declining","Sharp Decline"))))</f>
        <v>Stable</v>
      </c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20" t="n">
        <f aca="false">IF(D23&gt;0,E23/D23*100,0)</f>
        <v>0</v>
      </c>
      <c r="G23" s="19"/>
      <c r="H23" s="19"/>
      <c r="I23" s="20" t="n">
        <f aca="false">IF(G23&gt;0,H23/G23*100,0)</f>
        <v>0</v>
      </c>
      <c r="J23" s="19"/>
      <c r="K23" s="19"/>
      <c r="L23" s="20" t="n">
        <f aca="false">IF(J23&gt;0,K23/J23*100,0)</f>
        <v>0</v>
      </c>
      <c r="M23" s="19"/>
      <c r="N23" s="28" t="n">
        <f aca="false">M23-F23</f>
        <v>0</v>
      </c>
      <c r="O23" s="7" t="str">
        <f aca="false">IF(N23&gt;=5,"Strong Growth",IF(N23&gt;=2,"Growing",IF(N23&gt;=-2,"Stable",IF(N23&gt;=-5,"Declining","Sharp Decline"))))</f>
        <v>Stable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8" t="n">
        <f aca="false">IF(D24&gt;0,E24/D24*100,0)</f>
        <v>0</v>
      </c>
      <c r="G24" s="17"/>
      <c r="H24" s="17"/>
      <c r="I24" s="18" t="n">
        <f aca="false">IF(G24&gt;0,H24/G24*100,0)</f>
        <v>0</v>
      </c>
      <c r="J24" s="17"/>
      <c r="K24" s="17"/>
      <c r="L24" s="18" t="n">
        <f aca="false">IF(J24&gt;0,K24/J24*100,0)</f>
        <v>0</v>
      </c>
      <c r="M24" s="17"/>
      <c r="N24" s="27" t="n">
        <f aca="false">M24-F24</f>
        <v>0</v>
      </c>
      <c r="O24" s="11" t="str">
        <f aca="false">IF(N24&gt;=5,"Strong Growth",IF(N24&gt;=2,"Growing",IF(N24&gt;=-2,"Stable",IF(N24&gt;=-5,"Declining","Sharp Decline"))))</f>
        <v>Stable</v>
      </c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20" t="n">
        <f aca="false">IF(D25&gt;0,E25/D25*100,0)</f>
        <v>0</v>
      </c>
      <c r="G25" s="19"/>
      <c r="H25" s="19"/>
      <c r="I25" s="20" t="n">
        <f aca="false">IF(G25&gt;0,H25/G25*100,0)</f>
        <v>0</v>
      </c>
      <c r="J25" s="19"/>
      <c r="K25" s="19"/>
      <c r="L25" s="20" t="n">
        <f aca="false">IF(J25&gt;0,K25/J25*100,0)</f>
        <v>0</v>
      </c>
      <c r="M25" s="19"/>
      <c r="N25" s="28" t="n">
        <f aca="false">M25-F25</f>
        <v>0</v>
      </c>
      <c r="O25" s="7" t="str">
        <f aca="false">IF(N25&gt;=5,"Strong Growth",IF(N25&gt;=2,"Growing",IF(N25&gt;=-2,"Stable",IF(N25&gt;=-5,"Declining","Sharp Decline"))))</f>
        <v>Stable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8" t="n">
        <f aca="false">IF(D26&gt;0,E26/D26*100,0)</f>
        <v>0</v>
      </c>
      <c r="G26" s="17"/>
      <c r="H26" s="17"/>
      <c r="I26" s="18" t="n">
        <f aca="false">IF(G26&gt;0,H26/G26*100,0)</f>
        <v>0</v>
      </c>
      <c r="J26" s="17"/>
      <c r="K26" s="17"/>
      <c r="L26" s="18" t="n">
        <f aca="false">IF(J26&gt;0,K26/J26*100,0)</f>
        <v>0</v>
      </c>
      <c r="M26" s="17"/>
      <c r="N26" s="27" t="n">
        <f aca="false">M26-F26</f>
        <v>0</v>
      </c>
      <c r="O26" s="11" t="str">
        <f aca="false">IF(N26&gt;=5,"Strong Growth",IF(N26&gt;=2,"Growing",IF(N26&gt;=-2,"Stable",IF(N26&gt;=-5,"Declining","Sharp Decline"))))</f>
        <v>Stable</v>
      </c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20" t="n">
        <f aca="false">IF(D27&gt;0,E27/D27*100,0)</f>
        <v>0</v>
      </c>
      <c r="G27" s="19"/>
      <c r="H27" s="19"/>
      <c r="I27" s="20" t="n">
        <f aca="false">IF(G27&gt;0,H27/G27*100,0)</f>
        <v>0</v>
      </c>
      <c r="J27" s="19"/>
      <c r="K27" s="19"/>
      <c r="L27" s="20" t="n">
        <f aca="false">IF(J27&gt;0,K27/J27*100,0)</f>
        <v>0</v>
      </c>
      <c r="M27" s="19"/>
      <c r="N27" s="28" t="n">
        <f aca="false">M27-F27</f>
        <v>0</v>
      </c>
      <c r="O27" s="7" t="str">
        <f aca="false">IF(N27&gt;=5,"Strong Growth",IF(N27&gt;=2,"Growing",IF(N27&gt;=-2,"Stable",IF(N27&gt;=-5,"Declining","Sharp Decline"))))</f>
        <v>Stable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8" t="n">
        <f aca="false">IF(D28&gt;0,E28/D28*100,0)</f>
        <v>0</v>
      </c>
      <c r="G28" s="17"/>
      <c r="H28" s="17"/>
      <c r="I28" s="18" t="n">
        <f aca="false">IF(G28&gt;0,H28/G28*100,0)</f>
        <v>0</v>
      </c>
      <c r="J28" s="17"/>
      <c r="K28" s="17"/>
      <c r="L28" s="18" t="n">
        <f aca="false">IF(J28&gt;0,K28/J28*100,0)</f>
        <v>0</v>
      </c>
      <c r="M28" s="17"/>
      <c r="N28" s="27" t="n">
        <f aca="false">M28-F28</f>
        <v>0</v>
      </c>
      <c r="O28" s="11" t="str">
        <f aca="false">IF(N28&gt;=5,"Strong Growth",IF(N28&gt;=2,"Growing",IF(N28&gt;=-2,"Stable",IF(N28&gt;=-5,"Declining","Sharp Decline"))))</f>
        <v>Stable</v>
      </c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20" t="n">
        <f aca="false">IF(D29&gt;0,E29/D29*100,0)</f>
        <v>0</v>
      </c>
      <c r="G29" s="19"/>
      <c r="H29" s="19"/>
      <c r="I29" s="20" t="n">
        <f aca="false">IF(G29&gt;0,H29/G29*100,0)</f>
        <v>0</v>
      </c>
      <c r="J29" s="19"/>
      <c r="K29" s="19"/>
      <c r="L29" s="20" t="n">
        <f aca="false">IF(J29&gt;0,K29/J29*100,0)</f>
        <v>0</v>
      </c>
      <c r="M29" s="19"/>
      <c r="N29" s="28" t="n">
        <f aca="false">M29-F29</f>
        <v>0</v>
      </c>
      <c r="O29" s="7" t="str">
        <f aca="false">IF(N29&gt;=5,"Strong Growth",IF(N29&gt;=2,"Growing",IF(N29&gt;=-2,"Stable",IF(N29&gt;=-5,"Declining","Sharp Decline"))))</f>
        <v>Stable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8" t="n">
        <f aca="false">IF(D30&gt;0,E30/D30*100,0)</f>
        <v>0</v>
      </c>
      <c r="G30" s="17"/>
      <c r="H30" s="17"/>
      <c r="I30" s="18" t="n">
        <f aca="false">IF(G30&gt;0,H30/G30*100,0)</f>
        <v>0</v>
      </c>
      <c r="J30" s="17"/>
      <c r="K30" s="17"/>
      <c r="L30" s="18" t="n">
        <f aca="false">IF(J30&gt;0,K30/J30*100,0)</f>
        <v>0</v>
      </c>
      <c r="M30" s="17"/>
      <c r="N30" s="27" t="n">
        <f aca="false">M30-F30</f>
        <v>0</v>
      </c>
      <c r="O30" s="11" t="str">
        <f aca="false">IF(N30&gt;=5,"Strong Growth",IF(N30&gt;=2,"Growing",IF(N30&gt;=-2,"Stable",IF(N30&gt;=-5,"Declining","Sharp Decline"))))</f>
        <v>Stable</v>
      </c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20" t="n">
        <f aca="false">IF(D31&gt;0,E31/D31*100,0)</f>
        <v>0</v>
      </c>
      <c r="G31" s="19"/>
      <c r="H31" s="19"/>
      <c r="I31" s="20" t="n">
        <f aca="false">IF(G31&gt;0,H31/G31*100,0)</f>
        <v>0</v>
      </c>
      <c r="J31" s="19"/>
      <c r="K31" s="19"/>
      <c r="L31" s="20" t="n">
        <f aca="false">IF(J31&gt;0,K31/J31*100,0)</f>
        <v>0</v>
      </c>
      <c r="M31" s="19"/>
      <c r="N31" s="28" t="n">
        <f aca="false">M31-F31</f>
        <v>0</v>
      </c>
      <c r="O31" s="7" t="str">
        <f aca="false">IF(N31&gt;=5,"Strong Growth",IF(N31&gt;=2,"Growing",IF(N31&gt;=-2,"Stable",IF(N31&gt;=-5,"Declining","Sharp Decline"))))</f>
        <v>Stable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8" t="n">
        <f aca="false">IF(D32&gt;0,E32/D32*100,0)</f>
        <v>0</v>
      </c>
      <c r="G32" s="17"/>
      <c r="H32" s="17"/>
      <c r="I32" s="18" t="n">
        <f aca="false">IF(G32&gt;0,H32/G32*100,0)</f>
        <v>0</v>
      </c>
      <c r="J32" s="17"/>
      <c r="K32" s="17"/>
      <c r="L32" s="18" t="n">
        <f aca="false">IF(J32&gt;0,K32/J32*100,0)</f>
        <v>0</v>
      </c>
      <c r="M32" s="17"/>
      <c r="N32" s="27" t="n">
        <f aca="false">M32-F32</f>
        <v>0</v>
      </c>
      <c r="O32" s="11" t="str">
        <f aca="false">IF(N32&gt;=5,"Strong Growth",IF(N32&gt;=2,"Growing",IF(N32&gt;=-2,"Stable",IF(N32&gt;=-5,"Declining","Sharp Decline"))))</f>
        <v>Stable</v>
      </c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20" t="n">
        <f aca="false">IF(D33&gt;0,E33/D33*100,0)</f>
        <v>0</v>
      </c>
      <c r="G33" s="19"/>
      <c r="H33" s="19"/>
      <c r="I33" s="20" t="n">
        <f aca="false">IF(G33&gt;0,H33/G33*100,0)</f>
        <v>0</v>
      </c>
      <c r="J33" s="19"/>
      <c r="K33" s="19"/>
      <c r="L33" s="20" t="n">
        <f aca="false">IF(J33&gt;0,K33/J33*100,0)</f>
        <v>0</v>
      </c>
      <c r="M33" s="19"/>
      <c r="N33" s="28" t="n">
        <f aca="false">M33-F33</f>
        <v>0</v>
      </c>
      <c r="O33" s="7" t="str">
        <f aca="false">IF(N33&gt;=5,"Strong Growth",IF(N33&gt;=2,"Growing",IF(N33&gt;=-2,"Stable",IF(N33&gt;=-5,"Declining","Sharp Decline"))))</f>
        <v>Stable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8"/>
    <col collapsed="false" customWidth="true" hidden="false" outlineLevel="0" max="9" min="9" style="0" width="20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29" t="s">
        <v>60</v>
      </c>
      <c r="B1" s="29"/>
      <c r="C1" s="29"/>
      <c r="D1" s="29"/>
      <c r="E1" s="29"/>
      <c r="F1" s="29"/>
      <c r="G1" s="29"/>
      <c r="H1" s="29"/>
      <c r="I1" s="29"/>
      <c r="J1" s="29"/>
    </row>
    <row r="2" customFormat="false" ht="25.5" hidden="false" customHeight="true" outlineLevel="0" collapsed="false">
      <c r="A2" s="30" t="s">
        <v>61</v>
      </c>
      <c r="B2" s="30"/>
      <c r="C2" s="30"/>
      <c r="D2" s="30"/>
      <c r="E2" s="30"/>
      <c r="F2" s="30"/>
      <c r="G2" s="30"/>
      <c r="H2" s="30"/>
      <c r="I2" s="30"/>
      <c r="J2" s="30"/>
    </row>
    <row r="3" customFormat="false" ht="23.85" hidden="false" customHeight="false" outlineLevel="0" collapsed="false">
      <c r="A3" s="31" t="s">
        <v>30</v>
      </c>
      <c r="B3" s="31" t="s">
        <v>31</v>
      </c>
      <c r="C3" s="31" t="s">
        <v>32</v>
      </c>
      <c r="D3" s="31" t="s">
        <v>33</v>
      </c>
      <c r="E3" s="31" t="s">
        <v>62</v>
      </c>
      <c r="F3" s="31" t="s">
        <v>63</v>
      </c>
      <c r="G3" s="31" t="s">
        <v>64</v>
      </c>
      <c r="H3" s="31" t="s">
        <v>65</v>
      </c>
      <c r="I3" s="31" t="s">
        <v>66</v>
      </c>
      <c r="J3" s="31" t="s">
        <v>39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8" t="n">
        <f aca="false">E4*1+F4*2+G4*3</f>
        <v>0</v>
      </c>
      <c r="I4" s="18" t="n">
        <f aca="false">IF(D4&gt;0,H4/(D4*3)*100,0)</f>
        <v>0</v>
      </c>
      <c r="J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19"/>
      <c r="H5" s="4" t="n">
        <f aca="false">E5*1+F5*2+G5*3</f>
        <v>0</v>
      </c>
      <c r="I5" s="20" t="n">
        <f aca="false">IF(D5&gt;0,H5/(D5*3)*100,0)</f>
        <v>0</v>
      </c>
      <c r="J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8" t="n">
        <f aca="false">E6*1+F6*2+G6*3</f>
        <v>0</v>
      </c>
      <c r="I6" s="18" t="n">
        <f aca="false">IF(D6&gt;0,H6/(D6*3)*100,0)</f>
        <v>0</v>
      </c>
      <c r="J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19"/>
      <c r="H7" s="4" t="n">
        <f aca="false">E7*1+F7*2+G7*3</f>
        <v>0</v>
      </c>
      <c r="I7" s="20" t="n">
        <f aca="false">IF(D7&gt;0,H7/(D7*3)*100,0)</f>
        <v>0</v>
      </c>
      <c r="J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8" t="n">
        <f aca="false">E8*1+F8*2+G8*3</f>
        <v>0</v>
      </c>
      <c r="I8" s="18" t="n">
        <f aca="false">IF(D8&gt;0,H8/(D8*3)*100,0)</f>
        <v>0</v>
      </c>
      <c r="J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19"/>
      <c r="H9" s="4" t="n">
        <f aca="false">E9*1+F9*2+G9*3</f>
        <v>0</v>
      </c>
      <c r="I9" s="20" t="n">
        <f aca="false">IF(D9&gt;0,H9/(D9*3)*100,0)</f>
        <v>0</v>
      </c>
      <c r="J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8" t="n">
        <f aca="false">E10*1+F10*2+G10*3</f>
        <v>0</v>
      </c>
      <c r="I10" s="18" t="n">
        <f aca="false">IF(D10&gt;0,H10/(D10*3)*100,0)</f>
        <v>0</v>
      </c>
      <c r="J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19"/>
      <c r="H11" s="4" t="n">
        <f aca="false">E11*1+F11*2+G11*3</f>
        <v>0</v>
      </c>
      <c r="I11" s="20" t="n">
        <f aca="false">IF(D11&gt;0,H11/(D11*3)*100,0)</f>
        <v>0</v>
      </c>
      <c r="J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8" t="n">
        <f aca="false">E12*1+F12*2+G12*3</f>
        <v>0</v>
      </c>
      <c r="I12" s="18" t="n">
        <f aca="false">IF(D12&gt;0,H12/(D12*3)*100,0)</f>
        <v>0</v>
      </c>
      <c r="J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19"/>
      <c r="H13" s="4" t="n">
        <f aca="false">E13*1+F13*2+G13*3</f>
        <v>0</v>
      </c>
      <c r="I13" s="20" t="n">
        <f aca="false">IF(D13&gt;0,H13/(D13*3)*100,0)</f>
        <v>0</v>
      </c>
      <c r="J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8" t="n">
        <f aca="false">E14*1+F14*2+G14*3</f>
        <v>0</v>
      </c>
      <c r="I14" s="18" t="n">
        <f aca="false">IF(D14&gt;0,H14/(D14*3)*100,0)</f>
        <v>0</v>
      </c>
      <c r="J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19"/>
      <c r="H15" s="4" t="n">
        <f aca="false">E15*1+F15*2+G15*3</f>
        <v>0</v>
      </c>
      <c r="I15" s="20" t="n">
        <f aca="false">IF(D15&gt;0,H15/(D15*3)*100,0)</f>
        <v>0</v>
      </c>
      <c r="J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8" t="n">
        <f aca="false">E16*1+F16*2+G16*3</f>
        <v>0</v>
      </c>
      <c r="I16" s="18" t="n">
        <f aca="false">IF(D16&gt;0,H16/(D16*3)*100,0)</f>
        <v>0</v>
      </c>
      <c r="J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19"/>
      <c r="H17" s="4" t="n">
        <f aca="false">E17*1+F17*2+G17*3</f>
        <v>0</v>
      </c>
      <c r="I17" s="20" t="n">
        <f aca="false">IF(D17&gt;0,H17/(D17*3)*100,0)</f>
        <v>0</v>
      </c>
      <c r="J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8" t="n">
        <f aca="false">E18*1+F18*2+G18*3</f>
        <v>0</v>
      </c>
      <c r="I18" s="18" t="n">
        <f aca="false">IF(D18&gt;0,H18/(D18*3)*100,0)</f>
        <v>0</v>
      </c>
      <c r="J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19"/>
      <c r="H19" s="4" t="n">
        <f aca="false">E19*1+F19*2+G19*3</f>
        <v>0</v>
      </c>
      <c r="I19" s="20" t="n">
        <f aca="false">IF(D19&gt;0,H19/(D19*3)*100,0)</f>
        <v>0</v>
      </c>
      <c r="J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8" t="n">
        <f aca="false">E20*1+F20*2+G20*3</f>
        <v>0</v>
      </c>
      <c r="I20" s="18" t="n">
        <f aca="false">IF(D20&gt;0,H20/(D20*3)*100,0)</f>
        <v>0</v>
      </c>
      <c r="J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19"/>
      <c r="H21" s="4" t="n">
        <f aca="false">E21*1+F21*2+G21*3</f>
        <v>0</v>
      </c>
      <c r="I21" s="20" t="n">
        <f aca="false">IF(D21&gt;0,H21/(D21*3)*100,0)</f>
        <v>0</v>
      </c>
      <c r="J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8" t="n">
        <f aca="false">E22*1+F22*2+G22*3</f>
        <v>0</v>
      </c>
      <c r="I22" s="18" t="n">
        <f aca="false">IF(D22&gt;0,H22/(D22*3)*100,0)</f>
        <v>0</v>
      </c>
      <c r="J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19"/>
      <c r="H23" s="4" t="n">
        <f aca="false">E23*1+F23*2+G23*3</f>
        <v>0</v>
      </c>
      <c r="I23" s="20" t="n">
        <f aca="false">IF(D23&gt;0,H23/(D23*3)*100,0)</f>
        <v>0</v>
      </c>
      <c r="J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8" t="n">
        <f aca="false">E24*1+F24*2+G24*3</f>
        <v>0</v>
      </c>
      <c r="I24" s="18" t="n">
        <f aca="false">IF(D24&gt;0,H24/(D24*3)*100,0)</f>
        <v>0</v>
      </c>
      <c r="J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19"/>
      <c r="H25" s="4" t="n">
        <f aca="false">E25*1+F25*2+G25*3</f>
        <v>0</v>
      </c>
      <c r="I25" s="20" t="n">
        <f aca="false">IF(D25&gt;0,H25/(D25*3)*100,0)</f>
        <v>0</v>
      </c>
      <c r="J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8" t="n">
        <f aca="false">E26*1+F26*2+G26*3</f>
        <v>0</v>
      </c>
      <c r="I26" s="18" t="n">
        <f aca="false">IF(D26&gt;0,H26/(D26*3)*100,0)</f>
        <v>0</v>
      </c>
      <c r="J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19"/>
      <c r="H27" s="4" t="n">
        <f aca="false">E27*1+F27*2+G27*3</f>
        <v>0</v>
      </c>
      <c r="I27" s="20" t="n">
        <f aca="false">IF(D27&gt;0,H27/(D27*3)*100,0)</f>
        <v>0</v>
      </c>
      <c r="J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8" t="n">
        <f aca="false">E28*1+F28*2+G28*3</f>
        <v>0</v>
      </c>
      <c r="I28" s="18" t="n">
        <f aca="false">IF(D28&gt;0,H28/(D28*3)*100,0)</f>
        <v>0</v>
      </c>
      <c r="J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19"/>
      <c r="H29" s="4" t="n">
        <f aca="false">E29*1+F29*2+G29*3</f>
        <v>0</v>
      </c>
      <c r="I29" s="20" t="n">
        <f aca="false">IF(D29&gt;0,H29/(D29*3)*100,0)</f>
        <v>0</v>
      </c>
      <c r="J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8" t="n">
        <f aca="false">E30*1+F30*2+G30*3</f>
        <v>0</v>
      </c>
      <c r="I30" s="18" t="n">
        <f aca="false">IF(D30&gt;0,H30/(D30*3)*100,0)</f>
        <v>0</v>
      </c>
      <c r="J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19"/>
      <c r="H31" s="4" t="n">
        <f aca="false">E31*1+F31*2+G31*3</f>
        <v>0</v>
      </c>
      <c r="I31" s="20" t="n">
        <f aca="false">IF(D31&gt;0,H31/(D31*3)*100,0)</f>
        <v>0</v>
      </c>
      <c r="J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8" t="n">
        <f aca="false">E32*1+F32*2+G32*3</f>
        <v>0</v>
      </c>
      <c r="I32" s="18" t="n">
        <f aca="false">IF(D32&gt;0,H32/(D32*3)*100,0)</f>
        <v>0</v>
      </c>
      <c r="J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19"/>
      <c r="H33" s="4" t="n">
        <f aca="false">E33*1+F33*2+G33*3</f>
        <v>0</v>
      </c>
      <c r="I33" s="20" t="n">
        <f aca="false">IF(D33&gt;0,H33/(D33*3)*100,0)</f>
        <v>0</v>
      </c>
      <c r="J33" s="19"/>
    </row>
    <row r="35" customFormat="false" ht="25.5" hidden="false" customHeight="true" outlineLevel="0" collapsed="false">
      <c r="A35" s="32" t="s">
        <v>67</v>
      </c>
      <c r="B35" s="32"/>
      <c r="C35" s="32"/>
      <c r="D35" s="32"/>
      <c r="E35" s="32"/>
      <c r="F35" s="32"/>
      <c r="G35" s="32"/>
      <c r="H35" s="32"/>
      <c r="I35" s="32"/>
      <c r="J35" s="32"/>
    </row>
    <row r="36" customFormat="false" ht="15" hidden="false" customHeight="true" outlineLevel="0" collapsed="false">
      <c r="A36" s="22" t="s">
        <v>68</v>
      </c>
      <c r="B36" s="22"/>
      <c r="C36" s="22"/>
      <c r="D36" s="22"/>
      <c r="E36" s="23" t="n">
        <f aca="false">IF(COUNTA(I4:I33)&gt;0,AVERAGE(I4:I33),0)</f>
        <v>0</v>
      </c>
      <c r="F36" s="24"/>
      <c r="G36" s="24"/>
      <c r="H36" s="24"/>
      <c r="I36" s="24"/>
      <c r="J36" s="24"/>
    </row>
    <row r="37" customFormat="false" ht="15" hidden="false" customHeight="true" outlineLevel="0" collapsed="false">
      <c r="A37" s="22" t="s">
        <v>69</v>
      </c>
      <c r="B37" s="22"/>
      <c r="C37" s="22"/>
      <c r="D37" s="22"/>
      <c r="E37" s="23" t="n">
        <f aca="false">IF(COUNTA(F4:F33)&gt;0,AVERAGE(F4:F33)/AVERAGE(D4:D33)*100,0)</f>
        <v>0</v>
      </c>
      <c r="F37" s="24"/>
      <c r="G37" s="24"/>
      <c r="H37" s="24"/>
      <c r="I37" s="24"/>
      <c r="J37" s="24"/>
    </row>
    <row r="38" customFormat="false" ht="15" hidden="false" customHeight="true" outlineLevel="0" collapsed="false">
      <c r="A38" s="22" t="s">
        <v>70</v>
      </c>
      <c r="B38" s="22"/>
      <c r="C38" s="22"/>
      <c r="D38" s="22"/>
      <c r="E38" s="23" t="n">
        <f aca="false">SUM(G4:G33)</f>
        <v>0</v>
      </c>
      <c r="F38" s="24"/>
      <c r="G38" s="24"/>
      <c r="H38" s="24"/>
      <c r="I38" s="24"/>
      <c r="J38" s="24"/>
    </row>
  </sheetData>
  <mergeCells count="6">
    <mergeCell ref="A1:J1"/>
    <mergeCell ref="A2:J2"/>
    <mergeCell ref="A35:J35"/>
    <mergeCell ref="A36:D36"/>
    <mergeCell ref="A37:D37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12" min="4" style="0" width="16"/>
    <col collapsed="false" customWidth="true" hidden="false" outlineLevel="0" max="13" min="13" style="0" width="14"/>
  </cols>
  <sheetData>
    <row r="1" customFormat="false" ht="33.75" hidden="false" customHeight="true" outlineLevel="0" collapsed="false">
      <c r="A1" s="33" t="s">
        <v>71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customFormat="false" ht="25.5" hidden="false" customHeight="true" outlineLevel="0" collapsed="false">
      <c r="A2" s="34" t="s">
        <v>72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customFormat="false" ht="23.85" hidden="false" customHeight="false" outlineLevel="0" collapsed="false">
      <c r="A3" s="35" t="s">
        <v>30</v>
      </c>
      <c r="B3" s="35" t="s">
        <v>31</v>
      </c>
      <c r="C3" s="35" t="s">
        <v>32</v>
      </c>
      <c r="D3" s="35" t="s">
        <v>73</v>
      </c>
      <c r="E3" s="35" t="s">
        <v>74</v>
      </c>
      <c r="F3" s="35" t="s">
        <v>75</v>
      </c>
      <c r="G3" s="35" t="s">
        <v>76</v>
      </c>
      <c r="H3" s="35" t="s">
        <v>77</v>
      </c>
      <c r="I3" s="35" t="s">
        <v>78</v>
      </c>
      <c r="J3" s="35" t="s">
        <v>79</v>
      </c>
      <c r="K3" s="35" t="s">
        <v>80</v>
      </c>
      <c r="L3" s="35" t="s">
        <v>81</v>
      </c>
      <c r="M3" s="35" t="s">
        <v>39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8" t="n">
        <f aca="false">IF(D4&gt;0,E4/D4*100,0)</f>
        <v>0</v>
      </c>
      <c r="G4" s="17"/>
      <c r="H4" s="17"/>
      <c r="I4" s="18" t="n">
        <f aca="false">IF(G4&gt;0,H4/G4*100,0)</f>
        <v>0</v>
      </c>
      <c r="J4" s="17"/>
      <c r="K4" s="17"/>
      <c r="L4" s="18" t="n">
        <f aca="false">IF(J4&gt;0,K4/J4*100,0)</f>
        <v>0</v>
      </c>
      <c r="M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20" t="n">
        <f aca="false">IF(D5&gt;0,E5/D5*100,0)</f>
        <v>0</v>
      </c>
      <c r="G5" s="19"/>
      <c r="H5" s="19"/>
      <c r="I5" s="20" t="n">
        <f aca="false">IF(G5&gt;0,H5/G5*100,0)</f>
        <v>0</v>
      </c>
      <c r="J5" s="19"/>
      <c r="K5" s="19"/>
      <c r="L5" s="20" t="n">
        <f aca="false">IF(J5&gt;0,K5/J5*100,0)</f>
        <v>0</v>
      </c>
      <c r="M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8" t="n">
        <f aca="false">IF(D6&gt;0,E6/D6*100,0)</f>
        <v>0</v>
      </c>
      <c r="G6" s="17"/>
      <c r="H6" s="17"/>
      <c r="I6" s="18" t="n">
        <f aca="false">IF(G6&gt;0,H6/G6*100,0)</f>
        <v>0</v>
      </c>
      <c r="J6" s="17"/>
      <c r="K6" s="17"/>
      <c r="L6" s="18" t="n">
        <f aca="false">IF(J6&gt;0,K6/J6*100,0)</f>
        <v>0</v>
      </c>
      <c r="M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20" t="n">
        <f aca="false">IF(D7&gt;0,E7/D7*100,0)</f>
        <v>0</v>
      </c>
      <c r="G7" s="19"/>
      <c r="H7" s="19"/>
      <c r="I7" s="20" t="n">
        <f aca="false">IF(G7&gt;0,H7/G7*100,0)</f>
        <v>0</v>
      </c>
      <c r="J7" s="19"/>
      <c r="K7" s="19"/>
      <c r="L7" s="20" t="n">
        <f aca="false">IF(J7&gt;0,K7/J7*100,0)</f>
        <v>0</v>
      </c>
      <c r="M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8" t="n">
        <f aca="false">IF(D8&gt;0,E8/D8*100,0)</f>
        <v>0</v>
      </c>
      <c r="G8" s="17"/>
      <c r="H8" s="17"/>
      <c r="I8" s="18" t="n">
        <f aca="false">IF(G8&gt;0,H8/G8*100,0)</f>
        <v>0</v>
      </c>
      <c r="J8" s="17"/>
      <c r="K8" s="17"/>
      <c r="L8" s="18" t="n">
        <f aca="false">IF(J8&gt;0,K8/J8*100,0)</f>
        <v>0</v>
      </c>
      <c r="M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20" t="n">
        <f aca="false">IF(D9&gt;0,E9/D9*100,0)</f>
        <v>0</v>
      </c>
      <c r="G9" s="19"/>
      <c r="H9" s="19"/>
      <c r="I9" s="20" t="n">
        <f aca="false">IF(G9&gt;0,H9/G9*100,0)</f>
        <v>0</v>
      </c>
      <c r="J9" s="19"/>
      <c r="K9" s="19"/>
      <c r="L9" s="20" t="n">
        <f aca="false">IF(J9&gt;0,K9/J9*100,0)</f>
        <v>0</v>
      </c>
      <c r="M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8" t="n">
        <f aca="false">IF(D10&gt;0,E10/D10*100,0)</f>
        <v>0</v>
      </c>
      <c r="G10" s="17"/>
      <c r="H10" s="17"/>
      <c r="I10" s="18" t="n">
        <f aca="false">IF(G10&gt;0,H10/G10*100,0)</f>
        <v>0</v>
      </c>
      <c r="J10" s="17"/>
      <c r="K10" s="17"/>
      <c r="L10" s="18" t="n">
        <f aca="false">IF(J10&gt;0,K10/J10*100,0)</f>
        <v>0</v>
      </c>
      <c r="M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20" t="n">
        <f aca="false">IF(D11&gt;0,E11/D11*100,0)</f>
        <v>0</v>
      </c>
      <c r="G11" s="19"/>
      <c r="H11" s="19"/>
      <c r="I11" s="20" t="n">
        <f aca="false">IF(G11&gt;0,H11/G11*100,0)</f>
        <v>0</v>
      </c>
      <c r="J11" s="19"/>
      <c r="K11" s="19"/>
      <c r="L11" s="20" t="n">
        <f aca="false">IF(J11&gt;0,K11/J11*100,0)</f>
        <v>0</v>
      </c>
      <c r="M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8" t="n">
        <f aca="false">IF(D12&gt;0,E12/D12*100,0)</f>
        <v>0</v>
      </c>
      <c r="G12" s="17"/>
      <c r="H12" s="17"/>
      <c r="I12" s="18" t="n">
        <f aca="false">IF(G12&gt;0,H12/G12*100,0)</f>
        <v>0</v>
      </c>
      <c r="J12" s="17"/>
      <c r="K12" s="17"/>
      <c r="L12" s="18" t="n">
        <f aca="false">IF(J12&gt;0,K12/J12*100,0)</f>
        <v>0</v>
      </c>
      <c r="M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20" t="n">
        <f aca="false">IF(D13&gt;0,E13/D13*100,0)</f>
        <v>0</v>
      </c>
      <c r="G13" s="19"/>
      <c r="H13" s="19"/>
      <c r="I13" s="20" t="n">
        <f aca="false">IF(G13&gt;0,H13/G13*100,0)</f>
        <v>0</v>
      </c>
      <c r="J13" s="19"/>
      <c r="K13" s="19"/>
      <c r="L13" s="20" t="n">
        <f aca="false">IF(J13&gt;0,K13/J13*100,0)</f>
        <v>0</v>
      </c>
      <c r="M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8" t="n">
        <f aca="false">IF(D14&gt;0,E14/D14*100,0)</f>
        <v>0</v>
      </c>
      <c r="G14" s="17"/>
      <c r="H14" s="17"/>
      <c r="I14" s="18" t="n">
        <f aca="false">IF(G14&gt;0,H14/G14*100,0)</f>
        <v>0</v>
      </c>
      <c r="J14" s="17"/>
      <c r="K14" s="17"/>
      <c r="L14" s="18" t="n">
        <f aca="false">IF(J14&gt;0,K14/J14*100,0)</f>
        <v>0</v>
      </c>
      <c r="M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20" t="n">
        <f aca="false">IF(D15&gt;0,E15/D15*100,0)</f>
        <v>0</v>
      </c>
      <c r="G15" s="19"/>
      <c r="H15" s="19"/>
      <c r="I15" s="20" t="n">
        <f aca="false">IF(G15&gt;0,H15/G15*100,0)</f>
        <v>0</v>
      </c>
      <c r="J15" s="19"/>
      <c r="K15" s="19"/>
      <c r="L15" s="20" t="n">
        <f aca="false">IF(J15&gt;0,K15/J15*100,0)</f>
        <v>0</v>
      </c>
      <c r="M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8" t="n">
        <f aca="false">IF(D16&gt;0,E16/D16*100,0)</f>
        <v>0</v>
      </c>
      <c r="G16" s="17"/>
      <c r="H16" s="17"/>
      <c r="I16" s="18" t="n">
        <f aca="false">IF(G16&gt;0,H16/G16*100,0)</f>
        <v>0</v>
      </c>
      <c r="J16" s="17"/>
      <c r="K16" s="17"/>
      <c r="L16" s="18" t="n">
        <f aca="false">IF(J16&gt;0,K16/J16*100,0)</f>
        <v>0</v>
      </c>
      <c r="M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20" t="n">
        <f aca="false">IF(D17&gt;0,E17/D17*100,0)</f>
        <v>0</v>
      </c>
      <c r="G17" s="19"/>
      <c r="H17" s="19"/>
      <c r="I17" s="20" t="n">
        <f aca="false">IF(G17&gt;0,H17/G17*100,0)</f>
        <v>0</v>
      </c>
      <c r="J17" s="19"/>
      <c r="K17" s="19"/>
      <c r="L17" s="20" t="n">
        <f aca="false">IF(J17&gt;0,K17/J17*100,0)</f>
        <v>0</v>
      </c>
      <c r="M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8" t="n">
        <f aca="false">IF(D18&gt;0,E18/D18*100,0)</f>
        <v>0</v>
      </c>
      <c r="G18" s="17"/>
      <c r="H18" s="17"/>
      <c r="I18" s="18" t="n">
        <f aca="false">IF(G18&gt;0,H18/G18*100,0)</f>
        <v>0</v>
      </c>
      <c r="J18" s="17"/>
      <c r="K18" s="17"/>
      <c r="L18" s="18" t="n">
        <f aca="false">IF(J18&gt;0,K18/J18*100,0)</f>
        <v>0</v>
      </c>
      <c r="M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20" t="n">
        <f aca="false">IF(D19&gt;0,E19/D19*100,0)</f>
        <v>0</v>
      </c>
      <c r="G19" s="19"/>
      <c r="H19" s="19"/>
      <c r="I19" s="20" t="n">
        <f aca="false">IF(G19&gt;0,H19/G19*100,0)</f>
        <v>0</v>
      </c>
      <c r="J19" s="19"/>
      <c r="K19" s="19"/>
      <c r="L19" s="20" t="n">
        <f aca="false">IF(J19&gt;0,K19/J19*100,0)</f>
        <v>0</v>
      </c>
      <c r="M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8" t="n">
        <f aca="false">IF(D20&gt;0,E20/D20*100,0)</f>
        <v>0</v>
      </c>
      <c r="G20" s="17"/>
      <c r="H20" s="17"/>
      <c r="I20" s="18" t="n">
        <f aca="false">IF(G20&gt;0,H20/G20*100,0)</f>
        <v>0</v>
      </c>
      <c r="J20" s="17"/>
      <c r="K20" s="17"/>
      <c r="L20" s="18" t="n">
        <f aca="false">IF(J20&gt;0,K20/J20*100,0)</f>
        <v>0</v>
      </c>
      <c r="M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20" t="n">
        <f aca="false">IF(D21&gt;0,E21/D21*100,0)</f>
        <v>0</v>
      </c>
      <c r="G21" s="19"/>
      <c r="H21" s="19"/>
      <c r="I21" s="20" t="n">
        <f aca="false">IF(G21&gt;0,H21/G21*100,0)</f>
        <v>0</v>
      </c>
      <c r="J21" s="19"/>
      <c r="K21" s="19"/>
      <c r="L21" s="20" t="n">
        <f aca="false">IF(J21&gt;0,K21/J21*100,0)</f>
        <v>0</v>
      </c>
      <c r="M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8" t="n">
        <f aca="false">IF(D22&gt;0,E22/D22*100,0)</f>
        <v>0</v>
      </c>
      <c r="G22" s="17"/>
      <c r="H22" s="17"/>
      <c r="I22" s="18" t="n">
        <f aca="false">IF(G22&gt;0,H22/G22*100,0)</f>
        <v>0</v>
      </c>
      <c r="J22" s="17"/>
      <c r="K22" s="17"/>
      <c r="L22" s="18" t="n">
        <f aca="false">IF(J22&gt;0,K22/J22*100,0)</f>
        <v>0</v>
      </c>
      <c r="M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20" t="n">
        <f aca="false">IF(D23&gt;0,E23/D23*100,0)</f>
        <v>0</v>
      </c>
      <c r="G23" s="19"/>
      <c r="H23" s="19"/>
      <c r="I23" s="20" t="n">
        <f aca="false">IF(G23&gt;0,H23/G23*100,0)</f>
        <v>0</v>
      </c>
      <c r="J23" s="19"/>
      <c r="K23" s="19"/>
      <c r="L23" s="20" t="n">
        <f aca="false">IF(J23&gt;0,K23/J23*100,0)</f>
        <v>0</v>
      </c>
      <c r="M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8" t="n">
        <f aca="false">IF(D24&gt;0,E24/D24*100,0)</f>
        <v>0</v>
      </c>
      <c r="G24" s="17"/>
      <c r="H24" s="17"/>
      <c r="I24" s="18" t="n">
        <f aca="false">IF(G24&gt;0,H24/G24*100,0)</f>
        <v>0</v>
      </c>
      <c r="J24" s="17"/>
      <c r="K24" s="17"/>
      <c r="L24" s="18" t="n">
        <f aca="false">IF(J24&gt;0,K24/J24*100,0)</f>
        <v>0</v>
      </c>
      <c r="M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20" t="n">
        <f aca="false">IF(D25&gt;0,E25/D25*100,0)</f>
        <v>0</v>
      </c>
      <c r="G25" s="19"/>
      <c r="H25" s="19"/>
      <c r="I25" s="20" t="n">
        <f aca="false">IF(G25&gt;0,H25/G25*100,0)</f>
        <v>0</v>
      </c>
      <c r="J25" s="19"/>
      <c r="K25" s="19"/>
      <c r="L25" s="20" t="n">
        <f aca="false">IF(J25&gt;0,K25/J25*100,0)</f>
        <v>0</v>
      </c>
      <c r="M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8" t="n">
        <f aca="false">IF(D26&gt;0,E26/D26*100,0)</f>
        <v>0</v>
      </c>
      <c r="G26" s="17"/>
      <c r="H26" s="17"/>
      <c r="I26" s="18" t="n">
        <f aca="false">IF(G26&gt;0,H26/G26*100,0)</f>
        <v>0</v>
      </c>
      <c r="J26" s="17"/>
      <c r="K26" s="17"/>
      <c r="L26" s="18" t="n">
        <f aca="false">IF(J26&gt;0,K26/J26*100,0)</f>
        <v>0</v>
      </c>
      <c r="M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20" t="n">
        <f aca="false">IF(D27&gt;0,E27/D27*100,0)</f>
        <v>0</v>
      </c>
      <c r="G27" s="19"/>
      <c r="H27" s="19"/>
      <c r="I27" s="20" t="n">
        <f aca="false">IF(G27&gt;0,H27/G27*100,0)</f>
        <v>0</v>
      </c>
      <c r="J27" s="19"/>
      <c r="K27" s="19"/>
      <c r="L27" s="20" t="n">
        <f aca="false">IF(J27&gt;0,K27/J27*100,0)</f>
        <v>0</v>
      </c>
      <c r="M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8" t="n">
        <f aca="false">IF(D28&gt;0,E28/D28*100,0)</f>
        <v>0</v>
      </c>
      <c r="G28" s="17"/>
      <c r="H28" s="17"/>
      <c r="I28" s="18" t="n">
        <f aca="false">IF(G28&gt;0,H28/G28*100,0)</f>
        <v>0</v>
      </c>
      <c r="J28" s="17"/>
      <c r="K28" s="17"/>
      <c r="L28" s="18" t="n">
        <f aca="false">IF(J28&gt;0,K28/J28*100,0)</f>
        <v>0</v>
      </c>
      <c r="M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20" t="n">
        <f aca="false">IF(D29&gt;0,E29/D29*100,0)</f>
        <v>0</v>
      </c>
      <c r="G29" s="19"/>
      <c r="H29" s="19"/>
      <c r="I29" s="20" t="n">
        <f aca="false">IF(G29&gt;0,H29/G29*100,0)</f>
        <v>0</v>
      </c>
      <c r="J29" s="19"/>
      <c r="K29" s="19"/>
      <c r="L29" s="20" t="n">
        <f aca="false">IF(J29&gt;0,K29/J29*100,0)</f>
        <v>0</v>
      </c>
      <c r="M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8" t="n">
        <f aca="false">IF(D30&gt;0,E30/D30*100,0)</f>
        <v>0</v>
      </c>
      <c r="G30" s="17"/>
      <c r="H30" s="17"/>
      <c r="I30" s="18" t="n">
        <f aca="false">IF(G30&gt;0,H30/G30*100,0)</f>
        <v>0</v>
      </c>
      <c r="J30" s="17"/>
      <c r="K30" s="17"/>
      <c r="L30" s="18" t="n">
        <f aca="false">IF(J30&gt;0,K30/J30*100,0)</f>
        <v>0</v>
      </c>
      <c r="M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20" t="n">
        <f aca="false">IF(D31&gt;0,E31/D31*100,0)</f>
        <v>0</v>
      </c>
      <c r="G31" s="19"/>
      <c r="H31" s="19"/>
      <c r="I31" s="20" t="n">
        <f aca="false">IF(G31&gt;0,H31/G31*100,0)</f>
        <v>0</v>
      </c>
      <c r="J31" s="19"/>
      <c r="K31" s="19"/>
      <c r="L31" s="20" t="n">
        <f aca="false">IF(J31&gt;0,K31/J31*100,0)</f>
        <v>0</v>
      </c>
      <c r="M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8" t="n">
        <f aca="false">IF(D32&gt;0,E32/D32*100,0)</f>
        <v>0</v>
      </c>
      <c r="G32" s="17"/>
      <c r="H32" s="17"/>
      <c r="I32" s="18" t="n">
        <f aca="false">IF(G32&gt;0,H32/G32*100,0)</f>
        <v>0</v>
      </c>
      <c r="J32" s="17"/>
      <c r="K32" s="17"/>
      <c r="L32" s="18" t="n">
        <f aca="false">IF(J32&gt;0,K32/J32*100,0)</f>
        <v>0</v>
      </c>
      <c r="M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20" t="n">
        <f aca="false">IF(D33&gt;0,E33/D33*100,0)</f>
        <v>0</v>
      </c>
      <c r="G33" s="19"/>
      <c r="H33" s="19"/>
      <c r="I33" s="20" t="n">
        <f aca="false">IF(G33&gt;0,H33/G33*100,0)</f>
        <v>0</v>
      </c>
      <c r="J33" s="19"/>
      <c r="K33" s="19"/>
      <c r="L33" s="20" t="n">
        <f aca="false">IF(J33&gt;0,K33/J33*100,0)</f>
        <v>0</v>
      </c>
      <c r="M33" s="19"/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36" t="s">
        <v>82</v>
      </c>
      <c r="B1" s="36"/>
      <c r="C1" s="36"/>
      <c r="D1" s="36"/>
      <c r="E1" s="36"/>
      <c r="F1" s="36"/>
      <c r="G1" s="36"/>
      <c r="H1" s="36"/>
      <c r="I1" s="36"/>
    </row>
    <row r="2" customFormat="false" ht="25.5" hidden="false" customHeight="true" outlineLevel="0" collapsed="false">
      <c r="A2" s="37" t="s">
        <v>83</v>
      </c>
      <c r="B2" s="37"/>
      <c r="C2" s="37"/>
      <c r="D2" s="37"/>
      <c r="E2" s="37"/>
      <c r="F2" s="37"/>
      <c r="G2" s="37"/>
      <c r="H2" s="37"/>
      <c r="I2" s="37"/>
    </row>
    <row r="3" customFormat="false" ht="23.85" hidden="false" customHeight="false" outlineLevel="0" collapsed="false">
      <c r="A3" s="38" t="s">
        <v>30</v>
      </c>
      <c r="B3" s="38" t="s">
        <v>31</v>
      </c>
      <c r="C3" s="38" t="s">
        <v>32</v>
      </c>
      <c r="D3" s="38" t="s">
        <v>84</v>
      </c>
      <c r="E3" s="38" t="s">
        <v>85</v>
      </c>
      <c r="F3" s="38" t="s">
        <v>86</v>
      </c>
      <c r="G3" s="38" t="s">
        <v>87</v>
      </c>
      <c r="H3" s="38" t="s">
        <v>88</v>
      </c>
      <c r="I3" s="38" t="s">
        <v>89</v>
      </c>
    </row>
    <row r="4" customFormat="false" ht="15" hidden="false" customHeight="false" outlineLevel="0" collapsed="false">
      <c r="A4" s="8" t="n">
        <v>1</v>
      </c>
      <c r="B4" s="17"/>
      <c r="C4" s="17"/>
      <c r="D4" s="39"/>
      <c r="E4" s="39"/>
      <c r="F4" s="40" t="n">
        <f aca="false">D4-E4</f>
        <v>0</v>
      </c>
      <c r="G4" s="39"/>
      <c r="H4" s="40" t="n">
        <f aca="false">D4-G4</f>
        <v>0</v>
      </c>
      <c r="I4" s="11" t="str">
        <f aca="false">IF(AND(F4&gt;0,H4&gt;0),"Above Both",IF(OR(F4&gt;0,H4&gt;0),"Above One","Below Both"))</f>
        <v>Below Both</v>
      </c>
    </row>
    <row r="5" customFormat="false" ht="15" hidden="false" customHeight="false" outlineLevel="0" collapsed="false">
      <c r="A5" s="4" t="n">
        <v>2</v>
      </c>
      <c r="B5" s="19"/>
      <c r="C5" s="19"/>
      <c r="D5" s="41"/>
      <c r="E5" s="41"/>
      <c r="F5" s="42" t="n">
        <f aca="false">D5-E5</f>
        <v>0</v>
      </c>
      <c r="G5" s="41"/>
      <c r="H5" s="42" t="n">
        <f aca="false">D5-G5</f>
        <v>0</v>
      </c>
      <c r="I5" s="7" t="str">
        <f aca="false">IF(AND(F5&gt;0,H5&gt;0),"Above Both",IF(OR(F5&gt;0,H5&gt;0),"Above One","Below Both"))</f>
        <v>Below Both</v>
      </c>
    </row>
    <row r="6" customFormat="false" ht="15" hidden="false" customHeight="false" outlineLevel="0" collapsed="false">
      <c r="A6" s="8" t="n">
        <v>3</v>
      </c>
      <c r="B6" s="17"/>
      <c r="C6" s="17"/>
      <c r="D6" s="39"/>
      <c r="E6" s="39"/>
      <c r="F6" s="40" t="n">
        <f aca="false">D6-E6</f>
        <v>0</v>
      </c>
      <c r="G6" s="39"/>
      <c r="H6" s="40" t="n">
        <f aca="false">D6-G6</f>
        <v>0</v>
      </c>
      <c r="I6" s="11" t="str">
        <f aca="false">IF(AND(F6&gt;0,H6&gt;0),"Above Both",IF(OR(F6&gt;0,H6&gt;0),"Above One","Below Both"))</f>
        <v>Below Both</v>
      </c>
    </row>
    <row r="7" customFormat="false" ht="15" hidden="false" customHeight="false" outlineLevel="0" collapsed="false">
      <c r="A7" s="4" t="n">
        <v>4</v>
      </c>
      <c r="B7" s="19"/>
      <c r="C7" s="19"/>
      <c r="D7" s="41"/>
      <c r="E7" s="41"/>
      <c r="F7" s="42" t="n">
        <f aca="false">D7-E7</f>
        <v>0</v>
      </c>
      <c r="G7" s="41"/>
      <c r="H7" s="42" t="n">
        <f aca="false">D7-G7</f>
        <v>0</v>
      </c>
      <c r="I7" s="7" t="str">
        <f aca="false">IF(AND(F7&gt;0,H7&gt;0),"Above Both",IF(OR(F7&gt;0,H7&gt;0),"Above One","Below Both"))</f>
        <v>Below Both</v>
      </c>
    </row>
    <row r="8" customFormat="false" ht="15" hidden="false" customHeight="false" outlineLevel="0" collapsed="false">
      <c r="A8" s="8" t="n">
        <v>5</v>
      </c>
      <c r="B8" s="17"/>
      <c r="C8" s="17"/>
      <c r="D8" s="39"/>
      <c r="E8" s="39"/>
      <c r="F8" s="40" t="n">
        <f aca="false">D8-E8</f>
        <v>0</v>
      </c>
      <c r="G8" s="39"/>
      <c r="H8" s="40" t="n">
        <f aca="false">D8-G8</f>
        <v>0</v>
      </c>
      <c r="I8" s="11" t="str">
        <f aca="false">IF(AND(F8&gt;0,H8&gt;0),"Above Both",IF(OR(F8&gt;0,H8&gt;0),"Above One","Below Both"))</f>
        <v>Below Both</v>
      </c>
    </row>
    <row r="9" customFormat="false" ht="15" hidden="false" customHeight="false" outlineLevel="0" collapsed="false">
      <c r="A9" s="4" t="n">
        <v>6</v>
      </c>
      <c r="B9" s="19"/>
      <c r="C9" s="19"/>
      <c r="D9" s="41"/>
      <c r="E9" s="41"/>
      <c r="F9" s="42" t="n">
        <f aca="false">D9-E9</f>
        <v>0</v>
      </c>
      <c r="G9" s="41"/>
      <c r="H9" s="42" t="n">
        <f aca="false">D9-G9</f>
        <v>0</v>
      </c>
      <c r="I9" s="7" t="str">
        <f aca="false">IF(AND(F9&gt;0,H9&gt;0),"Above Both",IF(OR(F9&gt;0,H9&gt;0),"Above One","Below Both"))</f>
        <v>Below Both</v>
      </c>
    </row>
    <row r="10" customFormat="false" ht="15" hidden="false" customHeight="false" outlineLevel="0" collapsed="false">
      <c r="A10" s="8" t="n">
        <v>7</v>
      </c>
      <c r="B10" s="17"/>
      <c r="C10" s="17"/>
      <c r="D10" s="39"/>
      <c r="E10" s="39"/>
      <c r="F10" s="40" t="n">
        <f aca="false">D10-E10</f>
        <v>0</v>
      </c>
      <c r="G10" s="39"/>
      <c r="H10" s="40" t="n">
        <f aca="false">D10-G10</f>
        <v>0</v>
      </c>
      <c r="I10" s="11" t="str">
        <f aca="false">IF(AND(F10&gt;0,H10&gt;0),"Above Both",IF(OR(F10&gt;0,H10&gt;0),"Above One","Below Both"))</f>
        <v>Below Both</v>
      </c>
    </row>
    <row r="11" customFormat="false" ht="15" hidden="false" customHeight="false" outlineLevel="0" collapsed="false">
      <c r="A11" s="4" t="n">
        <v>8</v>
      </c>
      <c r="B11" s="19"/>
      <c r="C11" s="19"/>
      <c r="D11" s="41"/>
      <c r="E11" s="41"/>
      <c r="F11" s="42" t="n">
        <f aca="false">D11-E11</f>
        <v>0</v>
      </c>
      <c r="G11" s="41"/>
      <c r="H11" s="42" t="n">
        <f aca="false">D11-G11</f>
        <v>0</v>
      </c>
      <c r="I11" s="7" t="str">
        <f aca="false">IF(AND(F11&gt;0,H11&gt;0),"Above Both",IF(OR(F11&gt;0,H11&gt;0),"Above One","Below Both"))</f>
        <v>Below Both</v>
      </c>
    </row>
    <row r="12" customFormat="false" ht="15" hidden="false" customHeight="false" outlineLevel="0" collapsed="false">
      <c r="A12" s="8" t="n">
        <v>9</v>
      </c>
      <c r="B12" s="17"/>
      <c r="C12" s="17"/>
      <c r="D12" s="39"/>
      <c r="E12" s="39"/>
      <c r="F12" s="40" t="n">
        <f aca="false">D12-E12</f>
        <v>0</v>
      </c>
      <c r="G12" s="39"/>
      <c r="H12" s="40" t="n">
        <f aca="false">D12-G12</f>
        <v>0</v>
      </c>
      <c r="I12" s="11" t="str">
        <f aca="false">IF(AND(F12&gt;0,H12&gt;0),"Above Both",IF(OR(F12&gt;0,H12&gt;0),"Above One","Below Both"))</f>
        <v>Below Both</v>
      </c>
    </row>
    <row r="13" customFormat="false" ht="15" hidden="false" customHeight="false" outlineLevel="0" collapsed="false">
      <c r="A13" s="4" t="n">
        <v>10</v>
      </c>
      <c r="B13" s="19"/>
      <c r="C13" s="19"/>
      <c r="D13" s="41"/>
      <c r="E13" s="41"/>
      <c r="F13" s="42" t="n">
        <f aca="false">D13-E13</f>
        <v>0</v>
      </c>
      <c r="G13" s="41"/>
      <c r="H13" s="42" t="n">
        <f aca="false">D13-G13</f>
        <v>0</v>
      </c>
      <c r="I13" s="7" t="str">
        <f aca="false">IF(AND(F13&gt;0,H13&gt;0),"Above Both",IF(OR(F13&gt;0,H13&gt;0),"Above One","Below Both"))</f>
        <v>Below Both</v>
      </c>
    </row>
    <row r="14" customFormat="false" ht="15" hidden="false" customHeight="false" outlineLevel="0" collapsed="false">
      <c r="A14" s="8" t="n">
        <v>11</v>
      </c>
      <c r="B14" s="17"/>
      <c r="C14" s="17"/>
      <c r="D14" s="39"/>
      <c r="E14" s="39"/>
      <c r="F14" s="40" t="n">
        <f aca="false">D14-E14</f>
        <v>0</v>
      </c>
      <c r="G14" s="39"/>
      <c r="H14" s="40" t="n">
        <f aca="false">D14-G14</f>
        <v>0</v>
      </c>
      <c r="I14" s="11" t="str">
        <f aca="false">IF(AND(F14&gt;0,H14&gt;0),"Above Both",IF(OR(F14&gt;0,H14&gt;0),"Above One","Below Both"))</f>
        <v>Below Both</v>
      </c>
    </row>
    <row r="15" customFormat="false" ht="15" hidden="false" customHeight="false" outlineLevel="0" collapsed="false">
      <c r="A15" s="4" t="n">
        <v>12</v>
      </c>
      <c r="B15" s="19"/>
      <c r="C15" s="19"/>
      <c r="D15" s="41"/>
      <c r="E15" s="41"/>
      <c r="F15" s="42" t="n">
        <f aca="false">D15-E15</f>
        <v>0</v>
      </c>
      <c r="G15" s="41"/>
      <c r="H15" s="42" t="n">
        <f aca="false">D15-G15</f>
        <v>0</v>
      </c>
      <c r="I15" s="7" t="str">
        <f aca="false">IF(AND(F15&gt;0,H15&gt;0),"Above Both",IF(OR(F15&gt;0,H15&gt;0),"Above One","Below Both"))</f>
        <v>Below Both</v>
      </c>
    </row>
    <row r="16" customFormat="false" ht="15" hidden="false" customHeight="false" outlineLevel="0" collapsed="false">
      <c r="A16" s="8" t="n">
        <v>13</v>
      </c>
      <c r="B16" s="17"/>
      <c r="C16" s="17"/>
      <c r="D16" s="39"/>
      <c r="E16" s="39"/>
      <c r="F16" s="40" t="n">
        <f aca="false">D16-E16</f>
        <v>0</v>
      </c>
      <c r="G16" s="39"/>
      <c r="H16" s="40" t="n">
        <f aca="false">D16-G16</f>
        <v>0</v>
      </c>
      <c r="I16" s="11" t="str">
        <f aca="false">IF(AND(F16&gt;0,H16&gt;0),"Above Both",IF(OR(F16&gt;0,H16&gt;0),"Above One","Below Both"))</f>
        <v>Below Both</v>
      </c>
    </row>
    <row r="17" customFormat="false" ht="15" hidden="false" customHeight="false" outlineLevel="0" collapsed="false">
      <c r="A17" s="4" t="n">
        <v>14</v>
      </c>
      <c r="B17" s="19"/>
      <c r="C17" s="19"/>
      <c r="D17" s="41"/>
      <c r="E17" s="41"/>
      <c r="F17" s="42" t="n">
        <f aca="false">D17-E17</f>
        <v>0</v>
      </c>
      <c r="G17" s="41"/>
      <c r="H17" s="42" t="n">
        <f aca="false">D17-G17</f>
        <v>0</v>
      </c>
      <c r="I17" s="7" t="str">
        <f aca="false">IF(AND(F17&gt;0,H17&gt;0),"Above Both",IF(OR(F17&gt;0,H17&gt;0),"Above One","Below Both"))</f>
        <v>Below Both</v>
      </c>
    </row>
    <row r="18" customFormat="false" ht="15" hidden="false" customHeight="false" outlineLevel="0" collapsed="false">
      <c r="A18" s="8" t="n">
        <v>15</v>
      </c>
      <c r="B18" s="17"/>
      <c r="C18" s="17"/>
      <c r="D18" s="39"/>
      <c r="E18" s="39"/>
      <c r="F18" s="40" t="n">
        <f aca="false">D18-E18</f>
        <v>0</v>
      </c>
      <c r="G18" s="39"/>
      <c r="H18" s="40" t="n">
        <f aca="false">D18-G18</f>
        <v>0</v>
      </c>
      <c r="I18" s="11" t="str">
        <f aca="false">IF(AND(F18&gt;0,H18&gt;0),"Above Both",IF(OR(F18&gt;0,H18&gt;0),"Above One","Below Both"))</f>
        <v>Below Both</v>
      </c>
    </row>
    <row r="19" customFormat="false" ht="15" hidden="false" customHeight="false" outlineLevel="0" collapsed="false">
      <c r="A19" s="4" t="n">
        <v>16</v>
      </c>
      <c r="B19" s="19"/>
      <c r="C19" s="19"/>
      <c r="D19" s="41"/>
      <c r="E19" s="41"/>
      <c r="F19" s="42" t="n">
        <f aca="false">D19-E19</f>
        <v>0</v>
      </c>
      <c r="G19" s="41"/>
      <c r="H19" s="42" t="n">
        <f aca="false">D19-G19</f>
        <v>0</v>
      </c>
      <c r="I19" s="7" t="str">
        <f aca="false">IF(AND(F19&gt;0,H19&gt;0),"Above Both",IF(OR(F19&gt;0,H19&gt;0),"Above One","Below Both"))</f>
        <v>Below Both</v>
      </c>
    </row>
    <row r="20" customFormat="false" ht="15" hidden="false" customHeight="false" outlineLevel="0" collapsed="false">
      <c r="A20" s="8" t="n">
        <v>17</v>
      </c>
      <c r="B20" s="17"/>
      <c r="C20" s="17"/>
      <c r="D20" s="39"/>
      <c r="E20" s="39"/>
      <c r="F20" s="40" t="n">
        <f aca="false">D20-E20</f>
        <v>0</v>
      </c>
      <c r="G20" s="39"/>
      <c r="H20" s="40" t="n">
        <f aca="false">D20-G20</f>
        <v>0</v>
      </c>
      <c r="I20" s="11" t="str">
        <f aca="false">IF(AND(F20&gt;0,H20&gt;0),"Above Both",IF(OR(F20&gt;0,H20&gt;0),"Above One","Below Both"))</f>
        <v>Below Both</v>
      </c>
    </row>
    <row r="21" customFormat="false" ht="15" hidden="false" customHeight="false" outlineLevel="0" collapsed="false">
      <c r="A21" s="4" t="n">
        <v>18</v>
      </c>
      <c r="B21" s="19"/>
      <c r="C21" s="19"/>
      <c r="D21" s="41"/>
      <c r="E21" s="41"/>
      <c r="F21" s="42" t="n">
        <f aca="false">D21-E21</f>
        <v>0</v>
      </c>
      <c r="G21" s="41"/>
      <c r="H21" s="42" t="n">
        <f aca="false">D21-G21</f>
        <v>0</v>
      </c>
      <c r="I21" s="7" t="str">
        <f aca="false">IF(AND(F21&gt;0,H21&gt;0),"Above Both",IF(OR(F21&gt;0,H21&gt;0),"Above One","Below Both"))</f>
        <v>Below Both</v>
      </c>
    </row>
    <row r="22" customFormat="false" ht="15" hidden="false" customHeight="false" outlineLevel="0" collapsed="false">
      <c r="A22" s="8" t="n">
        <v>19</v>
      </c>
      <c r="B22" s="17"/>
      <c r="C22" s="17"/>
      <c r="D22" s="39"/>
      <c r="E22" s="39"/>
      <c r="F22" s="40" t="n">
        <f aca="false">D22-E22</f>
        <v>0</v>
      </c>
      <c r="G22" s="39"/>
      <c r="H22" s="40" t="n">
        <f aca="false">D22-G22</f>
        <v>0</v>
      </c>
      <c r="I22" s="11" t="str">
        <f aca="false">IF(AND(F22&gt;0,H22&gt;0),"Above Both",IF(OR(F22&gt;0,H22&gt;0),"Above One","Below Both"))</f>
        <v>Below Both</v>
      </c>
    </row>
    <row r="23" customFormat="false" ht="15" hidden="false" customHeight="false" outlineLevel="0" collapsed="false">
      <c r="A23" s="4" t="n">
        <v>20</v>
      </c>
      <c r="B23" s="19"/>
      <c r="C23" s="19"/>
      <c r="D23" s="41"/>
      <c r="E23" s="41"/>
      <c r="F23" s="42" t="n">
        <f aca="false">D23-E23</f>
        <v>0</v>
      </c>
      <c r="G23" s="41"/>
      <c r="H23" s="42" t="n">
        <f aca="false">D23-G23</f>
        <v>0</v>
      </c>
      <c r="I23" s="7" t="str">
        <f aca="false">IF(AND(F23&gt;0,H23&gt;0),"Above Both",IF(OR(F23&gt;0,H23&gt;0),"Above One","Below Both"))</f>
        <v>Below Both</v>
      </c>
    </row>
    <row r="24" customFormat="false" ht="15" hidden="false" customHeight="false" outlineLevel="0" collapsed="false">
      <c r="A24" s="8" t="n">
        <v>21</v>
      </c>
      <c r="B24" s="17"/>
      <c r="C24" s="17"/>
      <c r="D24" s="39"/>
      <c r="E24" s="39"/>
      <c r="F24" s="40" t="n">
        <f aca="false">D24-E24</f>
        <v>0</v>
      </c>
      <c r="G24" s="39"/>
      <c r="H24" s="40" t="n">
        <f aca="false">D24-G24</f>
        <v>0</v>
      </c>
      <c r="I24" s="11" t="str">
        <f aca="false">IF(AND(F24&gt;0,H24&gt;0),"Above Both",IF(OR(F24&gt;0,H24&gt;0),"Above One","Below Both"))</f>
        <v>Below Both</v>
      </c>
    </row>
    <row r="25" customFormat="false" ht="15" hidden="false" customHeight="false" outlineLevel="0" collapsed="false">
      <c r="A25" s="4" t="n">
        <v>22</v>
      </c>
      <c r="B25" s="19"/>
      <c r="C25" s="19"/>
      <c r="D25" s="41"/>
      <c r="E25" s="41"/>
      <c r="F25" s="42" t="n">
        <f aca="false">D25-E25</f>
        <v>0</v>
      </c>
      <c r="G25" s="41"/>
      <c r="H25" s="42" t="n">
        <f aca="false">D25-G25</f>
        <v>0</v>
      </c>
      <c r="I25" s="7" t="str">
        <f aca="false">IF(AND(F25&gt;0,H25&gt;0),"Above Both",IF(OR(F25&gt;0,H25&gt;0),"Above One","Below Both"))</f>
        <v>Below Both</v>
      </c>
    </row>
    <row r="26" customFormat="false" ht="15" hidden="false" customHeight="false" outlineLevel="0" collapsed="false">
      <c r="A26" s="8" t="n">
        <v>23</v>
      </c>
      <c r="B26" s="17"/>
      <c r="C26" s="17"/>
      <c r="D26" s="39"/>
      <c r="E26" s="39"/>
      <c r="F26" s="40" t="n">
        <f aca="false">D26-E26</f>
        <v>0</v>
      </c>
      <c r="G26" s="39"/>
      <c r="H26" s="40" t="n">
        <f aca="false">D26-G26</f>
        <v>0</v>
      </c>
      <c r="I26" s="11" t="str">
        <f aca="false">IF(AND(F26&gt;0,H26&gt;0),"Above Both",IF(OR(F26&gt;0,H26&gt;0),"Above One","Below Both"))</f>
        <v>Below Both</v>
      </c>
    </row>
    <row r="27" customFormat="false" ht="15" hidden="false" customHeight="false" outlineLevel="0" collapsed="false">
      <c r="A27" s="4" t="n">
        <v>24</v>
      </c>
      <c r="B27" s="19"/>
      <c r="C27" s="19"/>
      <c r="D27" s="41"/>
      <c r="E27" s="41"/>
      <c r="F27" s="42" t="n">
        <f aca="false">D27-E27</f>
        <v>0</v>
      </c>
      <c r="G27" s="41"/>
      <c r="H27" s="42" t="n">
        <f aca="false">D27-G27</f>
        <v>0</v>
      </c>
      <c r="I27" s="7" t="str">
        <f aca="false">IF(AND(F27&gt;0,H27&gt;0),"Above Both",IF(OR(F27&gt;0,H27&gt;0),"Above One","Below Both"))</f>
        <v>Below Both</v>
      </c>
    </row>
    <row r="28" customFormat="false" ht="15" hidden="false" customHeight="false" outlineLevel="0" collapsed="false">
      <c r="A28" s="8" t="n">
        <v>25</v>
      </c>
      <c r="B28" s="17"/>
      <c r="C28" s="17"/>
      <c r="D28" s="39"/>
      <c r="E28" s="39"/>
      <c r="F28" s="40" t="n">
        <f aca="false">D28-E28</f>
        <v>0</v>
      </c>
      <c r="G28" s="39"/>
      <c r="H28" s="40" t="n">
        <f aca="false">D28-G28</f>
        <v>0</v>
      </c>
      <c r="I28" s="11" t="str">
        <f aca="false">IF(AND(F28&gt;0,H28&gt;0),"Above Both",IF(OR(F28&gt;0,H28&gt;0),"Above One","Below Both"))</f>
        <v>Below Both</v>
      </c>
    </row>
    <row r="29" customFormat="false" ht="15" hidden="false" customHeight="false" outlineLevel="0" collapsed="false">
      <c r="A29" s="4" t="n">
        <v>26</v>
      </c>
      <c r="B29" s="19"/>
      <c r="C29" s="19"/>
      <c r="D29" s="41"/>
      <c r="E29" s="41"/>
      <c r="F29" s="42" t="n">
        <f aca="false">D29-E29</f>
        <v>0</v>
      </c>
      <c r="G29" s="41"/>
      <c r="H29" s="42" t="n">
        <f aca="false">D29-G29</f>
        <v>0</v>
      </c>
      <c r="I29" s="7" t="str">
        <f aca="false">IF(AND(F29&gt;0,H29&gt;0),"Above Both",IF(OR(F29&gt;0,H29&gt;0),"Above One","Below Both"))</f>
        <v>Below Both</v>
      </c>
    </row>
    <row r="30" customFormat="false" ht="15" hidden="false" customHeight="false" outlineLevel="0" collapsed="false">
      <c r="A30" s="8" t="n">
        <v>27</v>
      </c>
      <c r="B30" s="17"/>
      <c r="C30" s="17"/>
      <c r="D30" s="39"/>
      <c r="E30" s="39"/>
      <c r="F30" s="40" t="n">
        <f aca="false">D30-E30</f>
        <v>0</v>
      </c>
      <c r="G30" s="39"/>
      <c r="H30" s="40" t="n">
        <f aca="false">D30-G30</f>
        <v>0</v>
      </c>
      <c r="I30" s="11" t="str">
        <f aca="false">IF(AND(F30&gt;0,H30&gt;0),"Above Both",IF(OR(F30&gt;0,H30&gt;0),"Above One","Below Both"))</f>
        <v>Below Both</v>
      </c>
    </row>
    <row r="31" customFormat="false" ht="15" hidden="false" customHeight="false" outlineLevel="0" collapsed="false">
      <c r="A31" s="4" t="n">
        <v>28</v>
      </c>
      <c r="B31" s="19"/>
      <c r="C31" s="19"/>
      <c r="D31" s="41"/>
      <c r="E31" s="41"/>
      <c r="F31" s="42" t="n">
        <f aca="false">D31-E31</f>
        <v>0</v>
      </c>
      <c r="G31" s="41"/>
      <c r="H31" s="42" t="n">
        <f aca="false">D31-G31</f>
        <v>0</v>
      </c>
      <c r="I31" s="7" t="str">
        <f aca="false">IF(AND(F31&gt;0,H31&gt;0),"Above Both",IF(OR(F31&gt;0,H31&gt;0),"Above One","Below Both"))</f>
        <v>Below Both</v>
      </c>
    </row>
    <row r="32" customFormat="false" ht="15" hidden="false" customHeight="false" outlineLevel="0" collapsed="false">
      <c r="A32" s="8" t="n">
        <v>29</v>
      </c>
      <c r="B32" s="17"/>
      <c r="C32" s="17"/>
      <c r="D32" s="39"/>
      <c r="E32" s="39"/>
      <c r="F32" s="40" t="n">
        <f aca="false">D32-E32</f>
        <v>0</v>
      </c>
      <c r="G32" s="39"/>
      <c r="H32" s="40" t="n">
        <f aca="false">D32-G32</f>
        <v>0</v>
      </c>
      <c r="I32" s="11" t="str">
        <f aca="false">IF(AND(F32&gt;0,H32&gt;0),"Above Both",IF(OR(F32&gt;0,H32&gt;0),"Above One","Below Both"))</f>
        <v>Below Both</v>
      </c>
    </row>
    <row r="33" customFormat="false" ht="15" hidden="false" customHeight="false" outlineLevel="0" collapsed="false">
      <c r="A33" s="4" t="n">
        <v>30</v>
      </c>
      <c r="B33" s="19"/>
      <c r="C33" s="19"/>
      <c r="D33" s="41"/>
      <c r="E33" s="41"/>
      <c r="F33" s="42" t="n">
        <f aca="false">D33-E33</f>
        <v>0</v>
      </c>
      <c r="G33" s="41"/>
      <c r="H33" s="42" t="n">
        <f aca="false">D33-G33</f>
        <v>0</v>
      </c>
      <c r="I33" s="7" t="str">
        <f aca="false">IF(AND(F33&gt;0,H33&gt;0),"Above Both",IF(OR(F33&gt;0,H33&gt;0),"Above One","Below Both"))</f>
        <v>Below Both</v>
      </c>
    </row>
    <row r="35" customFormat="false" ht="25.5" hidden="false" customHeight="true" outlineLevel="0" collapsed="false">
      <c r="A35" s="43" t="s">
        <v>90</v>
      </c>
      <c r="B35" s="43"/>
      <c r="C35" s="43"/>
      <c r="D35" s="43"/>
      <c r="E35" s="43"/>
      <c r="F35" s="43"/>
      <c r="G35" s="43"/>
      <c r="H35" s="43"/>
      <c r="I35" s="43"/>
    </row>
    <row r="36" customFormat="false" ht="23.85" hidden="false" customHeight="false" outlineLevel="0" collapsed="false">
      <c r="A36" s="44" t="s">
        <v>2</v>
      </c>
      <c r="B36" s="44" t="s">
        <v>91</v>
      </c>
      <c r="C36" s="44" t="s">
        <v>92</v>
      </c>
      <c r="D36" s="44" t="s">
        <v>93</v>
      </c>
      <c r="E36" s="44" t="s">
        <v>94</v>
      </c>
      <c r="F36" s="44" t="s">
        <v>95</v>
      </c>
      <c r="G36" s="44" t="s">
        <v>96</v>
      </c>
      <c r="H36" s="44"/>
      <c r="I36" s="44"/>
    </row>
    <row r="37" customFormat="false" ht="23.85" hidden="false" customHeight="false" outlineLevel="0" collapsed="false">
      <c r="A37" s="4" t="n">
        <v>1</v>
      </c>
      <c r="B37" s="5" t="s">
        <v>97</v>
      </c>
      <c r="C37" s="4" t="s">
        <v>98</v>
      </c>
      <c r="D37" s="19"/>
      <c r="E37" s="4" t="s">
        <v>99</v>
      </c>
      <c r="F37" s="4" t="s">
        <v>100</v>
      </c>
      <c r="G37" s="6"/>
      <c r="H37" s="45"/>
      <c r="I37" s="45"/>
    </row>
    <row r="38" customFormat="false" ht="15" hidden="false" customHeight="false" outlineLevel="0" collapsed="false">
      <c r="A38" s="8" t="n">
        <v>2</v>
      </c>
      <c r="B38" s="9" t="s">
        <v>101</v>
      </c>
      <c r="C38" s="8" t="s">
        <v>98</v>
      </c>
      <c r="D38" s="17"/>
      <c r="E38" s="8" t="s">
        <v>99</v>
      </c>
      <c r="F38" s="8" t="s">
        <v>100</v>
      </c>
      <c r="G38" s="10"/>
      <c r="H38" s="46"/>
      <c r="I38" s="46"/>
    </row>
    <row r="39" customFormat="false" ht="15" hidden="false" customHeight="false" outlineLevel="0" collapsed="false">
      <c r="A39" s="4" t="n">
        <v>3</v>
      </c>
      <c r="B39" s="5" t="s">
        <v>102</v>
      </c>
      <c r="C39" s="4" t="s">
        <v>103</v>
      </c>
      <c r="D39" s="19"/>
      <c r="E39" s="4" t="s">
        <v>104</v>
      </c>
      <c r="F39" s="4" t="s">
        <v>105</v>
      </c>
      <c r="G39" s="6"/>
      <c r="H39" s="45"/>
      <c r="I39" s="45"/>
    </row>
    <row r="40" customFormat="false" ht="23.85" hidden="false" customHeight="false" outlineLevel="0" collapsed="false">
      <c r="A40" s="8" t="n">
        <v>4</v>
      </c>
      <c r="B40" s="9" t="s">
        <v>106</v>
      </c>
      <c r="C40" s="8" t="s">
        <v>107</v>
      </c>
      <c r="D40" s="17"/>
      <c r="E40" s="8" t="s">
        <v>108</v>
      </c>
      <c r="F40" s="8" t="s">
        <v>109</v>
      </c>
      <c r="G40" s="10"/>
      <c r="H40" s="46"/>
      <c r="I40" s="46"/>
    </row>
    <row r="41" customFormat="false" ht="15" hidden="false" customHeight="false" outlineLevel="0" collapsed="false">
      <c r="A41" s="4" t="n">
        <v>5</v>
      </c>
      <c r="B41" s="5" t="s">
        <v>110</v>
      </c>
      <c r="C41" s="4" t="s">
        <v>111</v>
      </c>
      <c r="D41" s="19"/>
      <c r="E41" s="4" t="s">
        <v>112</v>
      </c>
      <c r="F41" s="4" t="s">
        <v>109</v>
      </c>
      <c r="G41" s="6"/>
      <c r="H41" s="45"/>
      <c r="I41" s="45"/>
    </row>
    <row r="42" customFormat="false" ht="23.85" hidden="false" customHeight="false" outlineLevel="0" collapsed="false">
      <c r="A42" s="8" t="n">
        <v>6</v>
      </c>
      <c r="B42" s="9" t="s">
        <v>113</v>
      </c>
      <c r="C42" s="8" t="s">
        <v>98</v>
      </c>
      <c r="D42" s="17"/>
      <c r="E42" s="8" t="s">
        <v>114</v>
      </c>
      <c r="F42" s="8" t="s">
        <v>115</v>
      </c>
      <c r="G42" s="10" t="s">
        <v>116</v>
      </c>
      <c r="H42" s="46"/>
      <c r="I42" s="46"/>
    </row>
    <row r="43" customFormat="false" ht="23.85" hidden="false" customHeight="false" outlineLevel="0" collapsed="false">
      <c r="A43" s="4" t="n">
        <v>7</v>
      </c>
      <c r="B43" s="5" t="s">
        <v>117</v>
      </c>
      <c r="C43" s="4" t="s">
        <v>98</v>
      </c>
      <c r="D43" s="19"/>
      <c r="E43" s="4" t="s">
        <v>114</v>
      </c>
      <c r="F43" s="4" t="s">
        <v>118</v>
      </c>
      <c r="G43" s="6" t="s">
        <v>119</v>
      </c>
      <c r="H43" s="45"/>
      <c r="I43" s="45"/>
    </row>
    <row r="44" customFormat="false" ht="23.85" hidden="false" customHeight="false" outlineLevel="0" collapsed="false">
      <c r="A44" s="8" t="n">
        <v>8</v>
      </c>
      <c r="B44" s="9" t="s">
        <v>120</v>
      </c>
      <c r="C44" s="8" t="s">
        <v>98</v>
      </c>
      <c r="D44" s="17"/>
      <c r="E44" s="8" t="s">
        <v>114</v>
      </c>
      <c r="F44" s="8" t="s">
        <v>121</v>
      </c>
      <c r="G44" s="10" t="s">
        <v>122</v>
      </c>
      <c r="H44" s="46"/>
      <c r="I44" s="46"/>
    </row>
  </sheetData>
  <mergeCells count="3">
    <mergeCell ref="A1:I1"/>
    <mergeCell ref="A2:I2"/>
    <mergeCell ref="A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0"/>
    <col collapsed="false" customWidth="true" hidden="false" outlineLevel="0" max="14" min="14" style="0" width="16"/>
  </cols>
  <sheetData>
    <row r="1" customFormat="false" ht="33.75" hidden="false" customHeight="true" outlineLevel="0" collapsed="false">
      <c r="A1" s="47" t="s">
        <v>123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customFormat="false" ht="25.5" hidden="false" customHeight="true" outlineLevel="0" collapsed="false">
      <c r="A2" s="32" t="s">
        <v>124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4" customFormat="false" ht="15" hidden="false" customHeight="false" outlineLevel="0" collapsed="false">
      <c r="A4" s="48" t="s">
        <v>125</v>
      </c>
      <c r="B4" s="49" t="s">
        <v>126</v>
      </c>
      <c r="C4" s="49" t="s">
        <v>127</v>
      </c>
      <c r="D4" s="49" t="s">
        <v>128</v>
      </c>
      <c r="E4" s="49" t="s">
        <v>129</v>
      </c>
      <c r="F4" s="49" t="s">
        <v>130</v>
      </c>
      <c r="G4" s="49" t="s">
        <v>131</v>
      </c>
      <c r="H4" s="49" t="s">
        <v>132</v>
      </c>
      <c r="I4" s="49" t="s">
        <v>133</v>
      </c>
      <c r="J4" s="49" t="s">
        <v>134</v>
      </c>
      <c r="K4" s="49" t="s">
        <v>135</v>
      </c>
      <c r="L4" s="49" t="s">
        <v>136</v>
      </c>
      <c r="M4" s="49" t="s">
        <v>137</v>
      </c>
      <c r="N4" s="50" t="s">
        <v>138</v>
      </c>
    </row>
    <row r="5" customFormat="false" ht="15" hidden="false" customHeight="false" outlineLevel="0" collapsed="false">
      <c r="A5" s="19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28" t="n">
        <f aca="false">SUM(B5:M5)</f>
        <v>0</v>
      </c>
    </row>
    <row r="6" customFormat="false" ht="15" hidden="false" customHeight="false" outlineLevel="0" collapsed="false">
      <c r="A6" s="17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27" t="n">
        <f aca="false">SUM(B6:M6)</f>
        <v>0</v>
      </c>
    </row>
    <row r="7" customFormat="false" ht="15" hidden="false" customHeight="false" outlineLevel="0" collapsed="false">
      <c r="A7" s="19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28" t="n">
        <f aca="false">SUM(B7:M7)</f>
        <v>0</v>
      </c>
    </row>
    <row r="8" customFormat="false" ht="15" hidden="false" customHeight="false" outlineLevel="0" collapsed="false">
      <c r="A8" s="17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27" t="n">
        <f aca="false">SUM(B8:M8)</f>
        <v>0</v>
      </c>
    </row>
    <row r="9" customFormat="false" ht="15" hidden="false" customHeight="false" outlineLevel="0" collapsed="false">
      <c r="A9" s="19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28" t="n">
        <f aca="false">SUM(B9:M9)</f>
        <v>0</v>
      </c>
    </row>
    <row r="10" customFormat="false" ht="15" hidden="false" customHeight="false" outlineLevel="0" collapsed="false">
      <c r="A10" s="17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27" t="n">
        <f aca="false">SUM(B10:M10)</f>
        <v>0</v>
      </c>
    </row>
    <row r="11" customFormat="false" ht="15" hidden="false" customHeight="false" outlineLevel="0" collapsed="false">
      <c r="A11" s="19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28" t="n">
        <f aca="false">SUM(B11:M11)</f>
        <v>0</v>
      </c>
    </row>
    <row r="12" customFormat="false" ht="15" hidden="false" customHeight="false" outlineLevel="0" collapsed="false">
      <c r="A12" s="17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27" t="n">
        <f aca="false">SUM(B12:M12)</f>
        <v>0</v>
      </c>
    </row>
    <row r="13" customFormat="false" ht="15" hidden="false" customHeight="false" outlineLevel="0" collapsed="false">
      <c r="A13" s="19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28" t="n">
        <f aca="false">SUM(B13:M13)</f>
        <v>0</v>
      </c>
    </row>
    <row r="14" customFormat="false" ht="15" hidden="false" customHeight="false" outlineLevel="0" collapsed="false">
      <c r="A14" s="17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27" t="n">
        <f aca="false">SUM(B14:M14)</f>
        <v>0</v>
      </c>
    </row>
    <row r="15" customFormat="false" ht="15" hidden="false" customHeight="false" outlineLevel="0" collapsed="false">
      <c r="A15" s="19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28" t="n">
        <f aca="false">SUM(B15:M15)</f>
        <v>0</v>
      </c>
    </row>
    <row r="16" customFormat="false" ht="15" hidden="false" customHeight="false" outlineLevel="0" collapsed="false">
      <c r="A16" s="17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27" t="n">
        <f aca="false">SUM(B16:M16)</f>
        <v>0</v>
      </c>
    </row>
    <row r="17" customFormat="false" ht="15" hidden="false" customHeight="false" outlineLevel="0" collapsed="false">
      <c r="A17" s="19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28" t="n">
        <f aca="false">SUM(B17:M17)</f>
        <v>0</v>
      </c>
    </row>
    <row r="18" customFormat="false" ht="15" hidden="false" customHeight="false" outlineLevel="0" collapsed="false">
      <c r="A18" s="17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27" t="n">
        <f aca="false">SUM(B18:M18)</f>
        <v>0</v>
      </c>
    </row>
    <row r="19" customFormat="false" ht="15" hidden="false" customHeight="false" outlineLevel="0" collapsed="false">
      <c r="A19" s="19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28" t="n">
        <f aca="false">SUM(B19:M19)</f>
        <v>0</v>
      </c>
    </row>
    <row r="20" customFormat="false" ht="15" hidden="false" customHeight="false" outlineLevel="0" collapsed="false">
      <c r="A20" s="17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27" t="n">
        <f aca="false">SUM(B20:M20)</f>
        <v>0</v>
      </c>
    </row>
    <row r="21" customFormat="false" ht="15" hidden="false" customHeight="false" outlineLevel="0" collapsed="false">
      <c r="A21" s="19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28" t="n">
        <f aca="false">SUM(B21:M21)</f>
        <v>0</v>
      </c>
    </row>
    <row r="22" customFormat="false" ht="15" hidden="false" customHeight="false" outlineLevel="0" collapsed="false">
      <c r="A22" s="17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27" t="n">
        <f aca="false">SUM(B22:M22)</f>
        <v>0</v>
      </c>
    </row>
    <row r="23" customFormat="false" ht="15" hidden="false" customHeight="false" outlineLevel="0" collapsed="false">
      <c r="A23" s="19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28" t="n">
        <f aca="false">SUM(B23:M23)</f>
        <v>0</v>
      </c>
    </row>
    <row r="24" customFormat="false" ht="15" hidden="false" customHeight="false" outlineLevel="0" collapsed="false">
      <c r="A24" s="17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27" t="n">
        <f aca="false">SUM(B24:M24)</f>
        <v>0</v>
      </c>
    </row>
    <row r="25" customFormat="false" ht="15" hidden="false" customHeight="false" outlineLevel="0" collapsed="false">
      <c r="A25" s="19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28" t="n">
        <f aca="false">SUM(B25:M25)</f>
        <v>0</v>
      </c>
    </row>
    <row r="26" customFormat="false" ht="15" hidden="false" customHeight="false" outlineLevel="0" collapsed="false">
      <c r="A26" s="17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27" t="n">
        <f aca="false">SUM(B26:M26)</f>
        <v>0</v>
      </c>
    </row>
    <row r="27" customFormat="false" ht="15" hidden="false" customHeight="false" outlineLevel="0" collapsed="false">
      <c r="A27" s="19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28" t="n">
        <f aca="false">SUM(B27:M27)</f>
        <v>0</v>
      </c>
    </row>
    <row r="28" customFormat="false" ht="15" hidden="false" customHeight="false" outlineLevel="0" collapsed="false">
      <c r="A28" s="17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27" t="n">
        <f aca="false">SUM(B28:M28)</f>
        <v>0</v>
      </c>
    </row>
    <row r="29" customFormat="false" ht="15" hidden="false" customHeight="false" outlineLevel="0" collapsed="false">
      <c r="A29" s="19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28" t="n">
        <f aca="false">SUM(B29:M29)</f>
        <v>0</v>
      </c>
    </row>
    <row r="30" customFormat="false" ht="15" hidden="false" customHeight="false" outlineLevel="0" collapsed="false">
      <c r="A30" s="17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27" t="n">
        <f aca="false">SUM(B30:M30)</f>
        <v>0</v>
      </c>
    </row>
    <row r="31" customFormat="false" ht="15" hidden="false" customHeight="false" outlineLevel="0" collapsed="false">
      <c r="A31" s="19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28" t="n">
        <f aca="false">SUM(B31:M31)</f>
        <v>0</v>
      </c>
    </row>
    <row r="32" customFormat="false" ht="15" hidden="false" customHeight="false" outlineLevel="0" collapsed="false">
      <c r="A32" s="17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27" t="n">
        <f aca="false">SUM(B32:M32)</f>
        <v>0</v>
      </c>
    </row>
    <row r="33" customFormat="false" ht="15" hidden="false" customHeight="false" outlineLevel="0" collapsed="false">
      <c r="A33" s="19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28" t="n">
        <f aca="false">SUM(B33:M33)</f>
        <v>0</v>
      </c>
    </row>
    <row r="34" customFormat="false" ht="15" hidden="false" customHeight="false" outlineLevel="0" collapsed="false">
      <c r="A34" s="17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27" t="n">
        <f aca="false">SUM(B34:M34)</f>
        <v>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53" t="s">
        <v>139</v>
      </c>
      <c r="B1" s="53"/>
      <c r="C1" s="53"/>
      <c r="D1" s="53"/>
      <c r="E1" s="53"/>
      <c r="F1" s="53"/>
      <c r="G1" s="53"/>
      <c r="H1" s="53"/>
      <c r="I1" s="53"/>
    </row>
    <row r="2" customFormat="false" ht="25.5" hidden="false" customHeight="true" outlineLevel="0" collapsed="false">
      <c r="A2" s="54" t="s">
        <v>140</v>
      </c>
      <c r="B2" s="54"/>
      <c r="C2" s="54"/>
      <c r="D2" s="54"/>
      <c r="E2" s="54"/>
      <c r="F2" s="54"/>
      <c r="G2" s="54"/>
      <c r="H2" s="54"/>
      <c r="I2" s="54"/>
    </row>
    <row r="3" customFormat="false" ht="35.05" hidden="false" customHeight="false" outlineLevel="0" collapsed="false">
      <c r="A3" s="55" t="s">
        <v>30</v>
      </c>
      <c r="B3" s="55" t="s">
        <v>31</v>
      </c>
      <c r="C3" s="55" t="s">
        <v>32</v>
      </c>
      <c r="D3" s="55" t="s">
        <v>141</v>
      </c>
      <c r="E3" s="55" t="s">
        <v>142</v>
      </c>
      <c r="F3" s="55" t="s">
        <v>143</v>
      </c>
      <c r="G3" s="55" t="s">
        <v>144</v>
      </c>
      <c r="H3" s="55" t="s">
        <v>145</v>
      </c>
      <c r="I3" s="55" t="s">
        <v>146</v>
      </c>
    </row>
    <row r="4" customFormat="false" ht="23.85" hidden="false" customHeight="false" outlineLevel="0" collapsed="false">
      <c r="A4" s="8" t="n">
        <v>1</v>
      </c>
      <c r="B4" s="17"/>
      <c r="C4" s="17"/>
      <c r="D4" s="17"/>
      <c r="E4" s="17"/>
      <c r="F4" s="39"/>
      <c r="G4" s="39"/>
      <c r="H4" s="40" t="n">
        <f aca="false">F4-G4</f>
        <v>0</v>
      </c>
      <c r="I4" s="11" t="str">
        <f aca="false">IF(H4&gt;=5,"Significantly Above",IF(H4&gt;=0,"At/Above Benchmark",IF(H4&gt;=-5,"Slightly Below","Significantly Below")))</f>
        <v>At/Above Benchmark</v>
      </c>
    </row>
    <row r="5" customFormat="false" ht="23.85" hidden="false" customHeight="false" outlineLevel="0" collapsed="false">
      <c r="A5" s="4" t="n">
        <v>2</v>
      </c>
      <c r="B5" s="19"/>
      <c r="C5" s="19"/>
      <c r="D5" s="19"/>
      <c r="E5" s="19"/>
      <c r="F5" s="41"/>
      <c r="G5" s="41"/>
      <c r="H5" s="42" t="n">
        <f aca="false">F5-G5</f>
        <v>0</v>
      </c>
      <c r="I5" s="7" t="str">
        <f aca="false">IF(H5&gt;=5,"Significantly Above",IF(H5&gt;=0,"At/Above Benchmark",IF(H5&gt;=-5,"Slightly Below","Significantly Below")))</f>
        <v>At/Above Benchmark</v>
      </c>
    </row>
    <row r="6" customFormat="false" ht="23.85" hidden="false" customHeight="false" outlineLevel="0" collapsed="false">
      <c r="A6" s="8" t="n">
        <v>3</v>
      </c>
      <c r="B6" s="17"/>
      <c r="C6" s="17"/>
      <c r="D6" s="17"/>
      <c r="E6" s="17"/>
      <c r="F6" s="39"/>
      <c r="G6" s="39"/>
      <c r="H6" s="40" t="n">
        <f aca="false">F6-G6</f>
        <v>0</v>
      </c>
      <c r="I6" s="11" t="str">
        <f aca="false">IF(H6&gt;=5,"Significantly Above",IF(H6&gt;=0,"At/Above Benchmark",IF(H6&gt;=-5,"Slightly Below","Significantly Below")))</f>
        <v>At/Above Benchmark</v>
      </c>
    </row>
    <row r="7" customFormat="false" ht="23.85" hidden="false" customHeight="false" outlineLevel="0" collapsed="false">
      <c r="A7" s="4" t="n">
        <v>4</v>
      </c>
      <c r="B7" s="19"/>
      <c r="C7" s="19"/>
      <c r="D7" s="19"/>
      <c r="E7" s="19"/>
      <c r="F7" s="41"/>
      <c r="G7" s="41"/>
      <c r="H7" s="42" t="n">
        <f aca="false">F7-G7</f>
        <v>0</v>
      </c>
      <c r="I7" s="7" t="str">
        <f aca="false">IF(H7&gt;=5,"Significantly Above",IF(H7&gt;=0,"At/Above Benchmark",IF(H7&gt;=-5,"Slightly Below","Significantly Below")))</f>
        <v>At/Above Benchmark</v>
      </c>
    </row>
    <row r="8" customFormat="false" ht="23.85" hidden="false" customHeight="false" outlineLevel="0" collapsed="false">
      <c r="A8" s="8" t="n">
        <v>5</v>
      </c>
      <c r="B8" s="17"/>
      <c r="C8" s="17"/>
      <c r="D8" s="17"/>
      <c r="E8" s="17"/>
      <c r="F8" s="39"/>
      <c r="G8" s="39"/>
      <c r="H8" s="40" t="n">
        <f aca="false">F8-G8</f>
        <v>0</v>
      </c>
      <c r="I8" s="11" t="str">
        <f aca="false">IF(H8&gt;=5,"Significantly Above",IF(H8&gt;=0,"At/Above Benchmark",IF(H8&gt;=-5,"Slightly Below","Significantly Below")))</f>
        <v>At/Above Benchmark</v>
      </c>
    </row>
    <row r="9" customFormat="false" ht="23.85" hidden="false" customHeight="false" outlineLevel="0" collapsed="false">
      <c r="A9" s="4" t="n">
        <v>6</v>
      </c>
      <c r="B9" s="19"/>
      <c r="C9" s="19"/>
      <c r="D9" s="19"/>
      <c r="E9" s="19"/>
      <c r="F9" s="41"/>
      <c r="G9" s="41"/>
      <c r="H9" s="42" t="n">
        <f aca="false">F9-G9</f>
        <v>0</v>
      </c>
      <c r="I9" s="7" t="str">
        <f aca="false">IF(H9&gt;=5,"Significantly Above",IF(H9&gt;=0,"At/Above Benchmark",IF(H9&gt;=-5,"Slightly Below","Significantly Below")))</f>
        <v>At/Above Benchmark</v>
      </c>
    </row>
    <row r="10" customFormat="false" ht="23.85" hidden="false" customHeight="false" outlineLevel="0" collapsed="false">
      <c r="A10" s="8" t="n">
        <v>7</v>
      </c>
      <c r="B10" s="17"/>
      <c r="C10" s="17"/>
      <c r="D10" s="17"/>
      <c r="E10" s="17"/>
      <c r="F10" s="39"/>
      <c r="G10" s="39"/>
      <c r="H10" s="40" t="n">
        <f aca="false">F10-G10</f>
        <v>0</v>
      </c>
      <c r="I10" s="11" t="str">
        <f aca="false">IF(H10&gt;=5,"Significantly Above",IF(H10&gt;=0,"At/Above Benchmark",IF(H10&gt;=-5,"Slightly Below","Significantly Below")))</f>
        <v>At/Above Benchmark</v>
      </c>
    </row>
    <row r="11" customFormat="false" ht="23.85" hidden="false" customHeight="false" outlineLevel="0" collapsed="false">
      <c r="A11" s="4" t="n">
        <v>8</v>
      </c>
      <c r="B11" s="19"/>
      <c r="C11" s="19"/>
      <c r="D11" s="19"/>
      <c r="E11" s="19"/>
      <c r="F11" s="41"/>
      <c r="G11" s="41"/>
      <c r="H11" s="42" t="n">
        <f aca="false">F11-G11</f>
        <v>0</v>
      </c>
      <c r="I11" s="7" t="str">
        <f aca="false">IF(H11&gt;=5,"Significantly Above",IF(H11&gt;=0,"At/Above Benchmark",IF(H11&gt;=-5,"Slightly Below","Significantly Below")))</f>
        <v>At/Above Benchmark</v>
      </c>
    </row>
    <row r="12" customFormat="false" ht="23.85" hidden="false" customHeight="false" outlineLevel="0" collapsed="false">
      <c r="A12" s="8" t="n">
        <v>9</v>
      </c>
      <c r="B12" s="17"/>
      <c r="C12" s="17"/>
      <c r="D12" s="17"/>
      <c r="E12" s="17"/>
      <c r="F12" s="39"/>
      <c r="G12" s="39"/>
      <c r="H12" s="40" t="n">
        <f aca="false">F12-G12</f>
        <v>0</v>
      </c>
      <c r="I12" s="11" t="str">
        <f aca="false">IF(H12&gt;=5,"Significantly Above",IF(H12&gt;=0,"At/Above Benchmark",IF(H12&gt;=-5,"Slightly Below","Significantly Below")))</f>
        <v>At/Above Benchmark</v>
      </c>
    </row>
    <row r="13" customFormat="false" ht="23.85" hidden="false" customHeight="false" outlineLevel="0" collapsed="false">
      <c r="A13" s="4" t="n">
        <v>10</v>
      </c>
      <c r="B13" s="19"/>
      <c r="C13" s="19"/>
      <c r="D13" s="19"/>
      <c r="E13" s="19"/>
      <c r="F13" s="41"/>
      <c r="G13" s="41"/>
      <c r="H13" s="42" t="n">
        <f aca="false">F13-G13</f>
        <v>0</v>
      </c>
      <c r="I13" s="7" t="str">
        <f aca="false">IF(H13&gt;=5,"Significantly Above",IF(H13&gt;=0,"At/Above Benchmark",IF(H13&gt;=-5,"Slightly Below","Significantly Below")))</f>
        <v>At/Above Benchmark</v>
      </c>
    </row>
    <row r="14" customFormat="false" ht="23.85" hidden="false" customHeight="false" outlineLevel="0" collapsed="false">
      <c r="A14" s="8" t="n">
        <v>11</v>
      </c>
      <c r="B14" s="17"/>
      <c r="C14" s="17"/>
      <c r="D14" s="17"/>
      <c r="E14" s="17"/>
      <c r="F14" s="39"/>
      <c r="G14" s="39"/>
      <c r="H14" s="40" t="n">
        <f aca="false">F14-G14</f>
        <v>0</v>
      </c>
      <c r="I14" s="11" t="str">
        <f aca="false">IF(H14&gt;=5,"Significantly Above",IF(H14&gt;=0,"At/Above Benchmark",IF(H14&gt;=-5,"Slightly Below","Significantly Below")))</f>
        <v>At/Above Benchmark</v>
      </c>
    </row>
    <row r="15" customFormat="false" ht="23.85" hidden="false" customHeight="false" outlineLevel="0" collapsed="false">
      <c r="A15" s="4" t="n">
        <v>12</v>
      </c>
      <c r="B15" s="19"/>
      <c r="C15" s="19"/>
      <c r="D15" s="19"/>
      <c r="E15" s="19"/>
      <c r="F15" s="41"/>
      <c r="G15" s="41"/>
      <c r="H15" s="42" t="n">
        <f aca="false">F15-G15</f>
        <v>0</v>
      </c>
      <c r="I15" s="7" t="str">
        <f aca="false">IF(H15&gt;=5,"Significantly Above",IF(H15&gt;=0,"At/Above Benchmark",IF(H15&gt;=-5,"Slightly Below","Significantly Below")))</f>
        <v>At/Above Benchmark</v>
      </c>
    </row>
    <row r="16" customFormat="false" ht="23.85" hidden="false" customHeight="false" outlineLevel="0" collapsed="false">
      <c r="A16" s="8" t="n">
        <v>13</v>
      </c>
      <c r="B16" s="17"/>
      <c r="C16" s="17"/>
      <c r="D16" s="17"/>
      <c r="E16" s="17"/>
      <c r="F16" s="39"/>
      <c r="G16" s="39"/>
      <c r="H16" s="40" t="n">
        <f aca="false">F16-G16</f>
        <v>0</v>
      </c>
      <c r="I16" s="11" t="str">
        <f aca="false">IF(H16&gt;=5,"Significantly Above",IF(H16&gt;=0,"At/Above Benchmark",IF(H16&gt;=-5,"Slightly Below","Significantly Below")))</f>
        <v>At/Above Benchmark</v>
      </c>
    </row>
    <row r="17" customFormat="false" ht="23.85" hidden="false" customHeight="false" outlineLevel="0" collapsed="false">
      <c r="A17" s="4" t="n">
        <v>14</v>
      </c>
      <c r="B17" s="19"/>
      <c r="C17" s="19"/>
      <c r="D17" s="19"/>
      <c r="E17" s="19"/>
      <c r="F17" s="41"/>
      <c r="G17" s="41"/>
      <c r="H17" s="42" t="n">
        <f aca="false">F17-G17</f>
        <v>0</v>
      </c>
      <c r="I17" s="7" t="str">
        <f aca="false">IF(H17&gt;=5,"Significantly Above",IF(H17&gt;=0,"At/Above Benchmark",IF(H17&gt;=-5,"Slightly Below","Significantly Below")))</f>
        <v>At/Above Benchmark</v>
      </c>
    </row>
    <row r="18" customFormat="false" ht="23.85" hidden="false" customHeight="false" outlineLevel="0" collapsed="false">
      <c r="A18" s="8" t="n">
        <v>15</v>
      </c>
      <c r="B18" s="17"/>
      <c r="C18" s="17"/>
      <c r="D18" s="17"/>
      <c r="E18" s="17"/>
      <c r="F18" s="39"/>
      <c r="G18" s="39"/>
      <c r="H18" s="40" t="n">
        <f aca="false">F18-G18</f>
        <v>0</v>
      </c>
      <c r="I18" s="11" t="str">
        <f aca="false">IF(H18&gt;=5,"Significantly Above",IF(H18&gt;=0,"At/Above Benchmark",IF(H18&gt;=-5,"Slightly Below","Significantly Below")))</f>
        <v>At/Above Benchmark</v>
      </c>
    </row>
    <row r="19" customFormat="false" ht="23.85" hidden="false" customHeight="false" outlineLevel="0" collapsed="false">
      <c r="A19" s="4" t="n">
        <v>16</v>
      </c>
      <c r="B19" s="19"/>
      <c r="C19" s="19"/>
      <c r="D19" s="19"/>
      <c r="E19" s="19"/>
      <c r="F19" s="41"/>
      <c r="G19" s="41"/>
      <c r="H19" s="42" t="n">
        <f aca="false">F19-G19</f>
        <v>0</v>
      </c>
      <c r="I19" s="7" t="str">
        <f aca="false">IF(H19&gt;=5,"Significantly Above",IF(H19&gt;=0,"At/Above Benchmark",IF(H19&gt;=-5,"Slightly Below","Significantly Below")))</f>
        <v>At/Above Benchmark</v>
      </c>
    </row>
    <row r="20" customFormat="false" ht="23.85" hidden="false" customHeight="false" outlineLevel="0" collapsed="false">
      <c r="A20" s="8" t="n">
        <v>17</v>
      </c>
      <c r="B20" s="17"/>
      <c r="C20" s="17"/>
      <c r="D20" s="17"/>
      <c r="E20" s="17"/>
      <c r="F20" s="39"/>
      <c r="G20" s="39"/>
      <c r="H20" s="40" t="n">
        <f aca="false">F20-G20</f>
        <v>0</v>
      </c>
      <c r="I20" s="11" t="str">
        <f aca="false">IF(H20&gt;=5,"Significantly Above",IF(H20&gt;=0,"At/Above Benchmark",IF(H20&gt;=-5,"Slightly Below","Significantly Below")))</f>
        <v>At/Above Benchmark</v>
      </c>
    </row>
    <row r="21" customFormat="false" ht="23.85" hidden="false" customHeight="false" outlineLevel="0" collapsed="false">
      <c r="A21" s="4" t="n">
        <v>18</v>
      </c>
      <c r="B21" s="19"/>
      <c r="C21" s="19"/>
      <c r="D21" s="19"/>
      <c r="E21" s="19"/>
      <c r="F21" s="41"/>
      <c r="G21" s="41"/>
      <c r="H21" s="42" t="n">
        <f aca="false">F21-G21</f>
        <v>0</v>
      </c>
      <c r="I21" s="7" t="str">
        <f aca="false">IF(H21&gt;=5,"Significantly Above",IF(H21&gt;=0,"At/Above Benchmark",IF(H21&gt;=-5,"Slightly Below","Significantly Below")))</f>
        <v>At/Above Benchmark</v>
      </c>
    </row>
    <row r="22" customFormat="false" ht="23.85" hidden="false" customHeight="false" outlineLevel="0" collapsed="false">
      <c r="A22" s="8" t="n">
        <v>19</v>
      </c>
      <c r="B22" s="17"/>
      <c r="C22" s="17"/>
      <c r="D22" s="17"/>
      <c r="E22" s="17"/>
      <c r="F22" s="39"/>
      <c r="G22" s="39"/>
      <c r="H22" s="40" t="n">
        <f aca="false">F22-G22</f>
        <v>0</v>
      </c>
      <c r="I22" s="11" t="str">
        <f aca="false">IF(H22&gt;=5,"Significantly Above",IF(H22&gt;=0,"At/Above Benchmark",IF(H22&gt;=-5,"Slightly Below","Significantly Below")))</f>
        <v>At/Above Benchmark</v>
      </c>
    </row>
    <row r="23" customFormat="false" ht="23.85" hidden="false" customHeight="false" outlineLevel="0" collapsed="false">
      <c r="A23" s="4" t="n">
        <v>20</v>
      </c>
      <c r="B23" s="19"/>
      <c r="C23" s="19"/>
      <c r="D23" s="19"/>
      <c r="E23" s="19"/>
      <c r="F23" s="41"/>
      <c r="G23" s="41"/>
      <c r="H23" s="42" t="n">
        <f aca="false">F23-G23</f>
        <v>0</v>
      </c>
      <c r="I23" s="7" t="str">
        <f aca="false">IF(H23&gt;=5,"Significantly Above",IF(H23&gt;=0,"At/Above Benchmark",IF(H23&gt;=-5,"Slightly Below","Significantly Below")))</f>
        <v>At/Above Benchmark</v>
      </c>
    </row>
    <row r="24" customFormat="false" ht="23.85" hidden="false" customHeight="false" outlineLevel="0" collapsed="false">
      <c r="A24" s="8" t="n">
        <v>21</v>
      </c>
      <c r="B24" s="17"/>
      <c r="C24" s="17"/>
      <c r="D24" s="17"/>
      <c r="E24" s="17"/>
      <c r="F24" s="39"/>
      <c r="G24" s="39"/>
      <c r="H24" s="40" t="n">
        <f aca="false">F24-G24</f>
        <v>0</v>
      </c>
      <c r="I24" s="11" t="str">
        <f aca="false">IF(H24&gt;=5,"Significantly Above",IF(H24&gt;=0,"At/Above Benchmark",IF(H24&gt;=-5,"Slightly Below","Significantly Below")))</f>
        <v>At/Above Benchmark</v>
      </c>
    </row>
    <row r="25" customFormat="false" ht="23.85" hidden="false" customHeight="false" outlineLevel="0" collapsed="false">
      <c r="A25" s="4" t="n">
        <v>22</v>
      </c>
      <c r="B25" s="19"/>
      <c r="C25" s="19"/>
      <c r="D25" s="19"/>
      <c r="E25" s="19"/>
      <c r="F25" s="41"/>
      <c r="G25" s="41"/>
      <c r="H25" s="42" t="n">
        <f aca="false">F25-G25</f>
        <v>0</v>
      </c>
      <c r="I25" s="7" t="str">
        <f aca="false">IF(H25&gt;=5,"Significantly Above",IF(H25&gt;=0,"At/Above Benchmark",IF(H25&gt;=-5,"Slightly Below","Significantly Below")))</f>
        <v>At/Above Benchmark</v>
      </c>
    </row>
    <row r="26" customFormat="false" ht="23.85" hidden="false" customHeight="false" outlineLevel="0" collapsed="false">
      <c r="A26" s="8" t="n">
        <v>23</v>
      </c>
      <c r="B26" s="17"/>
      <c r="C26" s="17"/>
      <c r="D26" s="17"/>
      <c r="E26" s="17"/>
      <c r="F26" s="39"/>
      <c r="G26" s="39"/>
      <c r="H26" s="40" t="n">
        <f aca="false">F26-G26</f>
        <v>0</v>
      </c>
      <c r="I26" s="11" t="str">
        <f aca="false">IF(H26&gt;=5,"Significantly Above",IF(H26&gt;=0,"At/Above Benchmark",IF(H26&gt;=-5,"Slightly Below","Significantly Below")))</f>
        <v>At/Above Benchmark</v>
      </c>
    </row>
    <row r="27" customFormat="false" ht="23.85" hidden="false" customHeight="false" outlineLevel="0" collapsed="false">
      <c r="A27" s="4" t="n">
        <v>24</v>
      </c>
      <c r="B27" s="19"/>
      <c r="C27" s="19"/>
      <c r="D27" s="19"/>
      <c r="E27" s="19"/>
      <c r="F27" s="41"/>
      <c r="G27" s="41"/>
      <c r="H27" s="42" t="n">
        <f aca="false">F27-G27</f>
        <v>0</v>
      </c>
      <c r="I27" s="7" t="str">
        <f aca="false">IF(H27&gt;=5,"Significantly Above",IF(H27&gt;=0,"At/Above Benchmark",IF(H27&gt;=-5,"Slightly Below","Significantly Below")))</f>
        <v>At/Above Benchmark</v>
      </c>
    </row>
    <row r="28" customFormat="false" ht="23.85" hidden="false" customHeight="false" outlineLevel="0" collapsed="false">
      <c r="A28" s="8" t="n">
        <v>25</v>
      </c>
      <c r="B28" s="17"/>
      <c r="C28" s="17"/>
      <c r="D28" s="17"/>
      <c r="E28" s="17"/>
      <c r="F28" s="39"/>
      <c r="G28" s="39"/>
      <c r="H28" s="40" t="n">
        <f aca="false">F28-G28</f>
        <v>0</v>
      </c>
      <c r="I28" s="11" t="str">
        <f aca="false">IF(H28&gt;=5,"Significantly Above",IF(H28&gt;=0,"At/Above Benchmark",IF(H28&gt;=-5,"Slightly Below","Significantly Below")))</f>
        <v>At/Above Benchmark</v>
      </c>
    </row>
    <row r="29" customFormat="false" ht="23.85" hidden="false" customHeight="false" outlineLevel="0" collapsed="false">
      <c r="A29" s="4" t="n">
        <v>26</v>
      </c>
      <c r="B29" s="19"/>
      <c r="C29" s="19"/>
      <c r="D29" s="19"/>
      <c r="E29" s="19"/>
      <c r="F29" s="41"/>
      <c r="G29" s="41"/>
      <c r="H29" s="42" t="n">
        <f aca="false">F29-G29</f>
        <v>0</v>
      </c>
      <c r="I29" s="7" t="str">
        <f aca="false">IF(H29&gt;=5,"Significantly Above",IF(H29&gt;=0,"At/Above Benchmark",IF(H29&gt;=-5,"Slightly Below","Significantly Below")))</f>
        <v>At/Above Benchmark</v>
      </c>
    </row>
    <row r="30" customFormat="false" ht="23.85" hidden="false" customHeight="false" outlineLevel="0" collapsed="false">
      <c r="A30" s="8" t="n">
        <v>27</v>
      </c>
      <c r="B30" s="17"/>
      <c r="C30" s="17"/>
      <c r="D30" s="17"/>
      <c r="E30" s="17"/>
      <c r="F30" s="39"/>
      <c r="G30" s="39"/>
      <c r="H30" s="40" t="n">
        <f aca="false">F30-G30</f>
        <v>0</v>
      </c>
      <c r="I30" s="11" t="str">
        <f aca="false">IF(H30&gt;=5,"Significantly Above",IF(H30&gt;=0,"At/Above Benchmark",IF(H30&gt;=-5,"Slightly Below","Significantly Below")))</f>
        <v>At/Above Benchmark</v>
      </c>
    </row>
    <row r="31" customFormat="false" ht="23.85" hidden="false" customHeight="false" outlineLevel="0" collapsed="false">
      <c r="A31" s="4" t="n">
        <v>28</v>
      </c>
      <c r="B31" s="19"/>
      <c r="C31" s="19"/>
      <c r="D31" s="19"/>
      <c r="E31" s="19"/>
      <c r="F31" s="41"/>
      <c r="G31" s="41"/>
      <c r="H31" s="42" t="n">
        <f aca="false">F31-G31</f>
        <v>0</v>
      </c>
      <c r="I31" s="7" t="str">
        <f aca="false">IF(H31&gt;=5,"Significantly Above",IF(H31&gt;=0,"At/Above Benchmark",IF(H31&gt;=-5,"Slightly Below","Significantly Below")))</f>
        <v>At/Above Benchmark</v>
      </c>
    </row>
    <row r="32" customFormat="false" ht="23.85" hidden="false" customHeight="false" outlineLevel="0" collapsed="false">
      <c r="A32" s="8" t="n">
        <v>29</v>
      </c>
      <c r="B32" s="17"/>
      <c r="C32" s="17"/>
      <c r="D32" s="17"/>
      <c r="E32" s="17"/>
      <c r="F32" s="39"/>
      <c r="G32" s="39"/>
      <c r="H32" s="40" t="n">
        <f aca="false">F32-G32</f>
        <v>0</v>
      </c>
      <c r="I32" s="11" t="str">
        <f aca="false">IF(H32&gt;=5,"Significantly Above",IF(H32&gt;=0,"At/Above Benchmark",IF(H32&gt;=-5,"Slightly Below","Significantly Below")))</f>
        <v>At/Above Benchmark</v>
      </c>
    </row>
    <row r="33" customFormat="false" ht="23.85" hidden="false" customHeight="false" outlineLevel="0" collapsed="false">
      <c r="A33" s="4" t="n">
        <v>30</v>
      </c>
      <c r="B33" s="19"/>
      <c r="C33" s="19"/>
      <c r="D33" s="19"/>
      <c r="E33" s="19"/>
      <c r="F33" s="41"/>
      <c r="G33" s="41"/>
      <c r="H33" s="42" t="n">
        <f aca="false">F33-G33</f>
        <v>0</v>
      </c>
      <c r="I33" s="7" t="str">
        <f aca="false">IF(H33&gt;=5,"Significantly Above",IF(H33&gt;=0,"At/Above Benchmark",IF(H33&gt;=-5,"Slightly Below","Significantly Below")))</f>
        <v>At/Above Benchmark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8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56" t="s">
        <v>147</v>
      </c>
      <c r="B1" s="56"/>
      <c r="C1" s="56"/>
      <c r="D1" s="56"/>
      <c r="E1" s="56"/>
      <c r="F1" s="56"/>
      <c r="G1" s="56"/>
      <c r="H1" s="56"/>
      <c r="I1" s="56"/>
    </row>
    <row r="2" customFormat="false" ht="25.5" hidden="false" customHeight="true" outlineLevel="0" collapsed="false">
      <c r="A2" s="15" t="s">
        <v>148</v>
      </c>
      <c r="B2" s="15"/>
      <c r="C2" s="15"/>
      <c r="D2" s="15"/>
      <c r="E2" s="15"/>
      <c r="F2" s="15"/>
      <c r="G2" s="15"/>
      <c r="H2" s="15"/>
      <c r="I2" s="15"/>
    </row>
    <row r="3" customFormat="false" ht="23.85" hidden="false" customHeight="false" outlineLevel="0" collapsed="false">
      <c r="A3" s="50" t="s">
        <v>30</v>
      </c>
      <c r="B3" s="50" t="s">
        <v>31</v>
      </c>
      <c r="C3" s="50" t="s">
        <v>149</v>
      </c>
      <c r="D3" s="50" t="s">
        <v>150</v>
      </c>
      <c r="E3" s="50" t="s">
        <v>151</v>
      </c>
      <c r="F3" s="50" t="s">
        <v>152</v>
      </c>
      <c r="G3" s="50" t="s">
        <v>153</v>
      </c>
      <c r="H3" s="50" t="s">
        <v>154</v>
      </c>
      <c r="I3" s="50" t="s">
        <v>155</v>
      </c>
    </row>
    <row r="4" customFormat="false" ht="15" hidden="false" customHeight="false" outlineLevel="0" collapsed="false">
      <c r="B4" s="57" t="s">
        <v>156</v>
      </c>
      <c r="C4" s="58" t="n">
        <v>0.4</v>
      </c>
      <c r="D4" s="58" t="n">
        <v>0.2</v>
      </c>
      <c r="E4" s="58" t="n">
        <v>0.2</v>
      </c>
      <c r="F4" s="58" t="n">
        <v>0.1</v>
      </c>
      <c r="G4" s="58" t="n">
        <v>0.1</v>
      </c>
    </row>
    <row r="5" customFormat="false" ht="15" hidden="false" customHeight="false" outlineLevel="0" collapsed="false">
      <c r="A5" s="4" t="n">
        <v>1</v>
      </c>
      <c r="B5" s="19"/>
      <c r="C5" s="41"/>
      <c r="D5" s="41"/>
      <c r="E5" s="41"/>
      <c r="F5" s="41"/>
      <c r="G5" s="41"/>
      <c r="H5" s="28" t="n">
        <f aca="false">C5*$C$4+D5*$D$4+E5*$E$4+F5*$F$4+G5*$G$4</f>
        <v>0</v>
      </c>
      <c r="I5" s="7" t="n">
        <f aca="false">IFERROR(RANK(H5,$H$5:$H$34,0),"")</f>
        <v>1</v>
      </c>
    </row>
    <row r="6" customFormat="false" ht="15" hidden="false" customHeight="false" outlineLevel="0" collapsed="false">
      <c r="A6" s="8" t="n">
        <v>2</v>
      </c>
      <c r="B6" s="17"/>
      <c r="C6" s="39"/>
      <c r="D6" s="39"/>
      <c r="E6" s="39"/>
      <c r="F6" s="39"/>
      <c r="G6" s="39"/>
      <c r="H6" s="27" t="n">
        <f aca="false">C6*$C$4+D6*$D$4+E6*$E$4+F6*$F$4+G6*$G$4</f>
        <v>0</v>
      </c>
      <c r="I6" s="11" t="n">
        <f aca="false">IFERROR(RANK(H6,$H$5:$H$34,0),"")</f>
        <v>1</v>
      </c>
    </row>
    <row r="7" customFormat="false" ht="15" hidden="false" customHeight="false" outlineLevel="0" collapsed="false">
      <c r="A7" s="4" t="n">
        <v>3</v>
      </c>
      <c r="B7" s="19"/>
      <c r="C7" s="41"/>
      <c r="D7" s="41"/>
      <c r="E7" s="41"/>
      <c r="F7" s="41"/>
      <c r="G7" s="41"/>
      <c r="H7" s="28" t="n">
        <f aca="false">C7*$C$4+D7*$D$4+E7*$E$4+F7*$F$4+G7*$G$4</f>
        <v>0</v>
      </c>
      <c r="I7" s="7" t="n">
        <f aca="false">IFERROR(RANK(H7,$H$5:$H$34,0),"")</f>
        <v>1</v>
      </c>
    </row>
    <row r="8" customFormat="false" ht="15" hidden="false" customHeight="false" outlineLevel="0" collapsed="false">
      <c r="A8" s="8" t="n">
        <v>4</v>
      </c>
      <c r="B8" s="17"/>
      <c r="C8" s="39"/>
      <c r="D8" s="39"/>
      <c r="E8" s="39"/>
      <c r="F8" s="39"/>
      <c r="G8" s="39"/>
      <c r="H8" s="27" t="n">
        <f aca="false">C8*$C$4+D8*$D$4+E8*$E$4+F8*$F$4+G8*$G$4</f>
        <v>0</v>
      </c>
      <c r="I8" s="11" t="n">
        <f aca="false">IFERROR(RANK(H8,$H$5:$H$34,0),"")</f>
        <v>1</v>
      </c>
    </row>
    <row r="9" customFormat="false" ht="15" hidden="false" customHeight="false" outlineLevel="0" collapsed="false">
      <c r="A9" s="4" t="n">
        <v>5</v>
      </c>
      <c r="B9" s="19"/>
      <c r="C9" s="41"/>
      <c r="D9" s="41"/>
      <c r="E9" s="41"/>
      <c r="F9" s="41"/>
      <c r="G9" s="41"/>
      <c r="H9" s="28" t="n">
        <f aca="false">C9*$C$4+D9*$D$4+E9*$E$4+F9*$F$4+G9*$G$4</f>
        <v>0</v>
      </c>
      <c r="I9" s="7" t="n">
        <f aca="false">IFERROR(RANK(H9,$H$5:$H$34,0),"")</f>
        <v>1</v>
      </c>
    </row>
    <row r="10" customFormat="false" ht="15" hidden="false" customHeight="false" outlineLevel="0" collapsed="false">
      <c r="A10" s="8" t="n">
        <v>6</v>
      </c>
      <c r="B10" s="17"/>
      <c r="C10" s="39"/>
      <c r="D10" s="39"/>
      <c r="E10" s="39"/>
      <c r="F10" s="39"/>
      <c r="G10" s="39"/>
      <c r="H10" s="27" t="n">
        <f aca="false">C10*$C$4+D10*$D$4+E10*$E$4+F10*$F$4+G10*$G$4</f>
        <v>0</v>
      </c>
      <c r="I10" s="11" t="n">
        <f aca="false">IFERROR(RANK(H10,$H$5:$H$34,0),"")</f>
        <v>1</v>
      </c>
    </row>
    <row r="11" customFormat="false" ht="15" hidden="false" customHeight="false" outlineLevel="0" collapsed="false">
      <c r="A11" s="4" t="n">
        <v>7</v>
      </c>
      <c r="B11" s="19"/>
      <c r="C11" s="41"/>
      <c r="D11" s="41"/>
      <c r="E11" s="41"/>
      <c r="F11" s="41"/>
      <c r="G11" s="41"/>
      <c r="H11" s="28" t="n">
        <f aca="false">C11*$C$4+D11*$D$4+E11*$E$4+F11*$F$4+G11*$G$4</f>
        <v>0</v>
      </c>
      <c r="I11" s="7" t="n">
        <f aca="false">IFERROR(RANK(H11,$H$5:$H$34,0),"")</f>
        <v>1</v>
      </c>
    </row>
    <row r="12" customFormat="false" ht="15" hidden="false" customHeight="false" outlineLevel="0" collapsed="false">
      <c r="A12" s="8" t="n">
        <v>8</v>
      </c>
      <c r="B12" s="17"/>
      <c r="C12" s="39"/>
      <c r="D12" s="39"/>
      <c r="E12" s="39"/>
      <c r="F12" s="39"/>
      <c r="G12" s="39"/>
      <c r="H12" s="27" t="n">
        <f aca="false">C12*$C$4+D12*$D$4+E12*$E$4+F12*$F$4+G12*$G$4</f>
        <v>0</v>
      </c>
      <c r="I12" s="11" t="n">
        <f aca="false">IFERROR(RANK(H12,$H$5:$H$34,0),"")</f>
        <v>1</v>
      </c>
    </row>
    <row r="13" customFormat="false" ht="15" hidden="false" customHeight="false" outlineLevel="0" collapsed="false">
      <c r="A13" s="4" t="n">
        <v>9</v>
      </c>
      <c r="B13" s="19"/>
      <c r="C13" s="41"/>
      <c r="D13" s="41"/>
      <c r="E13" s="41"/>
      <c r="F13" s="41"/>
      <c r="G13" s="41"/>
      <c r="H13" s="28" t="n">
        <f aca="false">C13*$C$4+D13*$D$4+E13*$E$4+F13*$F$4+G13*$G$4</f>
        <v>0</v>
      </c>
      <c r="I13" s="7" t="n">
        <f aca="false">IFERROR(RANK(H13,$H$5:$H$34,0),"")</f>
        <v>1</v>
      </c>
    </row>
    <row r="14" customFormat="false" ht="15" hidden="false" customHeight="false" outlineLevel="0" collapsed="false">
      <c r="A14" s="8" t="n">
        <v>10</v>
      </c>
      <c r="B14" s="17"/>
      <c r="C14" s="39"/>
      <c r="D14" s="39"/>
      <c r="E14" s="39"/>
      <c r="F14" s="39"/>
      <c r="G14" s="39"/>
      <c r="H14" s="27" t="n">
        <f aca="false">C14*$C$4+D14*$D$4+E14*$E$4+F14*$F$4+G14*$G$4</f>
        <v>0</v>
      </c>
      <c r="I14" s="11" t="n">
        <f aca="false">IFERROR(RANK(H14,$H$5:$H$34,0),"")</f>
        <v>1</v>
      </c>
    </row>
    <row r="15" customFormat="false" ht="15" hidden="false" customHeight="false" outlineLevel="0" collapsed="false">
      <c r="A15" s="4" t="n">
        <v>11</v>
      </c>
      <c r="B15" s="19"/>
      <c r="C15" s="41"/>
      <c r="D15" s="41"/>
      <c r="E15" s="41"/>
      <c r="F15" s="41"/>
      <c r="G15" s="41"/>
      <c r="H15" s="28" t="n">
        <f aca="false">C15*$C$4+D15*$D$4+E15*$E$4+F15*$F$4+G15*$G$4</f>
        <v>0</v>
      </c>
      <c r="I15" s="7" t="n">
        <f aca="false">IFERROR(RANK(H15,$H$5:$H$34,0),"")</f>
        <v>1</v>
      </c>
    </row>
    <row r="16" customFormat="false" ht="15" hidden="false" customHeight="false" outlineLevel="0" collapsed="false">
      <c r="A16" s="8" t="n">
        <v>12</v>
      </c>
      <c r="B16" s="17"/>
      <c r="C16" s="39"/>
      <c r="D16" s="39"/>
      <c r="E16" s="39"/>
      <c r="F16" s="39"/>
      <c r="G16" s="39"/>
      <c r="H16" s="27" t="n">
        <f aca="false">C16*$C$4+D16*$D$4+E16*$E$4+F16*$F$4+G16*$G$4</f>
        <v>0</v>
      </c>
      <c r="I16" s="11" t="n">
        <f aca="false">IFERROR(RANK(H16,$H$5:$H$34,0),"")</f>
        <v>1</v>
      </c>
    </row>
    <row r="17" customFormat="false" ht="15" hidden="false" customHeight="false" outlineLevel="0" collapsed="false">
      <c r="A17" s="4" t="n">
        <v>13</v>
      </c>
      <c r="B17" s="19"/>
      <c r="C17" s="41"/>
      <c r="D17" s="41"/>
      <c r="E17" s="41"/>
      <c r="F17" s="41"/>
      <c r="G17" s="41"/>
      <c r="H17" s="28" t="n">
        <f aca="false">C17*$C$4+D17*$D$4+E17*$E$4+F17*$F$4+G17*$G$4</f>
        <v>0</v>
      </c>
      <c r="I17" s="7" t="n">
        <f aca="false">IFERROR(RANK(H17,$H$5:$H$34,0),"")</f>
        <v>1</v>
      </c>
    </row>
    <row r="18" customFormat="false" ht="15" hidden="false" customHeight="false" outlineLevel="0" collapsed="false">
      <c r="A18" s="8" t="n">
        <v>14</v>
      </c>
      <c r="B18" s="17"/>
      <c r="C18" s="39"/>
      <c r="D18" s="39"/>
      <c r="E18" s="39"/>
      <c r="F18" s="39"/>
      <c r="G18" s="39"/>
      <c r="H18" s="27" t="n">
        <f aca="false">C18*$C$4+D18*$D$4+E18*$E$4+F18*$F$4+G18*$G$4</f>
        <v>0</v>
      </c>
      <c r="I18" s="11" t="n">
        <f aca="false">IFERROR(RANK(H18,$H$5:$H$34,0),"")</f>
        <v>1</v>
      </c>
    </row>
    <row r="19" customFormat="false" ht="15" hidden="false" customHeight="false" outlineLevel="0" collapsed="false">
      <c r="A19" s="4" t="n">
        <v>15</v>
      </c>
      <c r="B19" s="19"/>
      <c r="C19" s="41"/>
      <c r="D19" s="41"/>
      <c r="E19" s="41"/>
      <c r="F19" s="41"/>
      <c r="G19" s="41"/>
      <c r="H19" s="28" t="n">
        <f aca="false">C19*$C$4+D19*$D$4+E19*$E$4+F19*$F$4+G19*$G$4</f>
        <v>0</v>
      </c>
      <c r="I19" s="7" t="n">
        <f aca="false">IFERROR(RANK(H19,$H$5:$H$34,0),"")</f>
        <v>1</v>
      </c>
    </row>
    <row r="20" customFormat="false" ht="15" hidden="false" customHeight="false" outlineLevel="0" collapsed="false">
      <c r="A20" s="8" t="n">
        <v>16</v>
      </c>
      <c r="B20" s="17"/>
      <c r="C20" s="39"/>
      <c r="D20" s="39"/>
      <c r="E20" s="39"/>
      <c r="F20" s="39"/>
      <c r="G20" s="39"/>
      <c r="H20" s="27" t="n">
        <f aca="false">C20*$C$4+D20*$D$4+E20*$E$4+F20*$F$4+G20*$G$4</f>
        <v>0</v>
      </c>
      <c r="I20" s="11" t="n">
        <f aca="false">IFERROR(RANK(H20,$H$5:$H$34,0),"")</f>
        <v>1</v>
      </c>
    </row>
    <row r="21" customFormat="false" ht="15" hidden="false" customHeight="false" outlineLevel="0" collapsed="false">
      <c r="A21" s="4" t="n">
        <v>17</v>
      </c>
      <c r="B21" s="19"/>
      <c r="C21" s="41"/>
      <c r="D21" s="41"/>
      <c r="E21" s="41"/>
      <c r="F21" s="41"/>
      <c r="G21" s="41"/>
      <c r="H21" s="28" t="n">
        <f aca="false">C21*$C$4+D21*$D$4+E21*$E$4+F21*$F$4+G21*$G$4</f>
        <v>0</v>
      </c>
      <c r="I21" s="7" t="n">
        <f aca="false">IFERROR(RANK(H21,$H$5:$H$34,0),"")</f>
        <v>1</v>
      </c>
    </row>
    <row r="22" customFormat="false" ht="15" hidden="false" customHeight="false" outlineLevel="0" collapsed="false">
      <c r="A22" s="8" t="n">
        <v>18</v>
      </c>
      <c r="B22" s="17"/>
      <c r="C22" s="39"/>
      <c r="D22" s="39"/>
      <c r="E22" s="39"/>
      <c r="F22" s="39"/>
      <c r="G22" s="39"/>
      <c r="H22" s="27" t="n">
        <f aca="false">C22*$C$4+D22*$D$4+E22*$E$4+F22*$F$4+G22*$G$4</f>
        <v>0</v>
      </c>
      <c r="I22" s="11" t="n">
        <f aca="false">IFERROR(RANK(H22,$H$5:$H$34,0),"")</f>
        <v>1</v>
      </c>
    </row>
    <row r="23" customFormat="false" ht="15" hidden="false" customHeight="false" outlineLevel="0" collapsed="false">
      <c r="A23" s="4" t="n">
        <v>19</v>
      </c>
      <c r="B23" s="19"/>
      <c r="C23" s="41"/>
      <c r="D23" s="41"/>
      <c r="E23" s="41"/>
      <c r="F23" s="41"/>
      <c r="G23" s="41"/>
      <c r="H23" s="28" t="n">
        <f aca="false">C23*$C$4+D23*$D$4+E23*$E$4+F23*$F$4+G23*$G$4</f>
        <v>0</v>
      </c>
      <c r="I23" s="7" t="n">
        <f aca="false">IFERROR(RANK(H23,$H$5:$H$34,0),"")</f>
        <v>1</v>
      </c>
    </row>
    <row r="24" customFormat="false" ht="15" hidden="false" customHeight="false" outlineLevel="0" collapsed="false">
      <c r="A24" s="8" t="n">
        <v>20</v>
      </c>
      <c r="B24" s="17"/>
      <c r="C24" s="39"/>
      <c r="D24" s="39"/>
      <c r="E24" s="39"/>
      <c r="F24" s="39"/>
      <c r="G24" s="39"/>
      <c r="H24" s="27" t="n">
        <f aca="false">C24*$C$4+D24*$D$4+E24*$E$4+F24*$F$4+G24*$G$4</f>
        <v>0</v>
      </c>
      <c r="I24" s="11" t="n">
        <f aca="false">IFERROR(RANK(H24,$H$5:$H$34,0),"")</f>
        <v>1</v>
      </c>
    </row>
    <row r="25" customFormat="false" ht="15" hidden="false" customHeight="false" outlineLevel="0" collapsed="false">
      <c r="A25" s="4" t="n">
        <v>21</v>
      </c>
      <c r="B25" s="19"/>
      <c r="C25" s="41"/>
      <c r="D25" s="41"/>
      <c r="E25" s="41"/>
      <c r="F25" s="41"/>
      <c r="G25" s="41"/>
      <c r="H25" s="28" t="n">
        <f aca="false">C25*$C$4+D25*$D$4+E25*$E$4+F25*$F$4+G25*$G$4</f>
        <v>0</v>
      </c>
      <c r="I25" s="7" t="n">
        <f aca="false">IFERROR(RANK(H25,$H$5:$H$34,0),"")</f>
        <v>1</v>
      </c>
    </row>
    <row r="26" customFormat="false" ht="15" hidden="false" customHeight="false" outlineLevel="0" collapsed="false">
      <c r="A26" s="8" t="n">
        <v>22</v>
      </c>
      <c r="B26" s="17"/>
      <c r="C26" s="39"/>
      <c r="D26" s="39"/>
      <c r="E26" s="39"/>
      <c r="F26" s="39"/>
      <c r="G26" s="39"/>
      <c r="H26" s="27" t="n">
        <f aca="false">C26*$C$4+D26*$D$4+E26*$E$4+F26*$F$4+G26*$G$4</f>
        <v>0</v>
      </c>
      <c r="I26" s="11" t="n">
        <f aca="false">IFERROR(RANK(H26,$H$5:$H$34,0),"")</f>
        <v>1</v>
      </c>
    </row>
    <row r="27" customFormat="false" ht="15" hidden="false" customHeight="false" outlineLevel="0" collapsed="false">
      <c r="A27" s="4" t="n">
        <v>23</v>
      </c>
      <c r="B27" s="19"/>
      <c r="C27" s="41"/>
      <c r="D27" s="41"/>
      <c r="E27" s="41"/>
      <c r="F27" s="41"/>
      <c r="G27" s="41"/>
      <c r="H27" s="28" t="n">
        <f aca="false">C27*$C$4+D27*$D$4+E27*$E$4+F27*$F$4+G27*$G$4</f>
        <v>0</v>
      </c>
      <c r="I27" s="7" t="n">
        <f aca="false">IFERROR(RANK(H27,$H$5:$H$34,0),"")</f>
        <v>1</v>
      </c>
    </row>
    <row r="28" customFormat="false" ht="15" hidden="false" customHeight="false" outlineLevel="0" collapsed="false">
      <c r="A28" s="8" t="n">
        <v>24</v>
      </c>
      <c r="B28" s="17"/>
      <c r="C28" s="39"/>
      <c r="D28" s="39"/>
      <c r="E28" s="39"/>
      <c r="F28" s="39"/>
      <c r="G28" s="39"/>
      <c r="H28" s="27" t="n">
        <f aca="false">C28*$C$4+D28*$D$4+E28*$E$4+F28*$F$4+G28*$G$4</f>
        <v>0</v>
      </c>
      <c r="I28" s="11" t="n">
        <f aca="false">IFERROR(RANK(H28,$H$5:$H$34,0),"")</f>
        <v>1</v>
      </c>
    </row>
    <row r="29" customFormat="false" ht="15" hidden="false" customHeight="false" outlineLevel="0" collapsed="false">
      <c r="A29" s="4" t="n">
        <v>25</v>
      </c>
      <c r="B29" s="19"/>
      <c r="C29" s="41"/>
      <c r="D29" s="41"/>
      <c r="E29" s="41"/>
      <c r="F29" s="41"/>
      <c r="G29" s="41"/>
      <c r="H29" s="28" t="n">
        <f aca="false">C29*$C$4+D29*$D$4+E29*$E$4+F29*$F$4+G29*$G$4</f>
        <v>0</v>
      </c>
      <c r="I29" s="7" t="n">
        <f aca="false">IFERROR(RANK(H29,$H$5:$H$34,0),"")</f>
        <v>1</v>
      </c>
    </row>
    <row r="30" customFormat="false" ht="15" hidden="false" customHeight="false" outlineLevel="0" collapsed="false">
      <c r="A30" s="8" t="n">
        <v>26</v>
      </c>
      <c r="B30" s="17"/>
      <c r="C30" s="39"/>
      <c r="D30" s="39"/>
      <c r="E30" s="39"/>
      <c r="F30" s="39"/>
      <c r="G30" s="39"/>
      <c r="H30" s="27" t="n">
        <f aca="false">C30*$C$4+D30*$D$4+E30*$E$4+F30*$F$4+G30*$G$4</f>
        <v>0</v>
      </c>
      <c r="I30" s="11" t="n">
        <f aca="false">IFERROR(RANK(H30,$H$5:$H$34,0),"")</f>
        <v>1</v>
      </c>
    </row>
    <row r="31" customFormat="false" ht="15" hidden="false" customHeight="false" outlineLevel="0" collapsed="false">
      <c r="A31" s="4" t="n">
        <v>27</v>
      </c>
      <c r="B31" s="19"/>
      <c r="C31" s="41"/>
      <c r="D31" s="41"/>
      <c r="E31" s="41"/>
      <c r="F31" s="41"/>
      <c r="G31" s="41"/>
      <c r="H31" s="28" t="n">
        <f aca="false">C31*$C$4+D31*$D$4+E31*$E$4+F31*$F$4+G31*$G$4</f>
        <v>0</v>
      </c>
      <c r="I31" s="7" t="n">
        <f aca="false">IFERROR(RANK(H31,$H$5:$H$34,0),"")</f>
        <v>1</v>
      </c>
    </row>
    <row r="32" customFormat="false" ht="15" hidden="false" customHeight="false" outlineLevel="0" collapsed="false">
      <c r="A32" s="8" t="n">
        <v>28</v>
      </c>
      <c r="B32" s="17"/>
      <c r="C32" s="39"/>
      <c r="D32" s="39"/>
      <c r="E32" s="39"/>
      <c r="F32" s="39"/>
      <c r="G32" s="39"/>
      <c r="H32" s="27" t="n">
        <f aca="false">C32*$C$4+D32*$D$4+E32*$E$4+F32*$F$4+G32*$G$4</f>
        <v>0</v>
      </c>
      <c r="I32" s="11" t="n">
        <f aca="false">IFERROR(RANK(H32,$H$5:$H$34,0),"")</f>
        <v>1</v>
      </c>
    </row>
    <row r="33" customFormat="false" ht="15" hidden="false" customHeight="false" outlineLevel="0" collapsed="false">
      <c r="A33" s="4" t="n">
        <v>29</v>
      </c>
      <c r="B33" s="19"/>
      <c r="C33" s="41"/>
      <c r="D33" s="41"/>
      <c r="E33" s="41"/>
      <c r="F33" s="41"/>
      <c r="G33" s="41"/>
      <c r="H33" s="28" t="n">
        <f aca="false">C33*$C$4+D33*$D$4+E33*$E$4+F33*$F$4+G33*$G$4</f>
        <v>0</v>
      </c>
      <c r="I33" s="7" t="n">
        <f aca="false">IFERROR(RANK(H33,$H$5:$H$34,0),"")</f>
        <v>1</v>
      </c>
    </row>
    <row r="34" customFormat="false" ht="15" hidden="false" customHeight="false" outlineLevel="0" collapsed="false">
      <c r="A34" s="8" t="n">
        <v>30</v>
      </c>
      <c r="B34" s="17"/>
      <c r="C34" s="39"/>
      <c r="D34" s="39"/>
      <c r="E34" s="39"/>
      <c r="F34" s="39"/>
      <c r="G34" s="39"/>
      <c r="H34" s="27" t="n">
        <f aca="false">C34*$C$4+D34*$D$4+E34*$E$4+F34*$F$4+G34*$G$4</f>
        <v>0</v>
      </c>
      <c r="I34" s="11" t="n">
        <f aca="false">IFERROR(RANK(H34,$H$5:$H$34,0),"")</f>
        <v>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4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33" t="s">
        <v>157</v>
      </c>
      <c r="B1" s="33"/>
      <c r="C1" s="33"/>
      <c r="D1" s="33"/>
      <c r="E1" s="33"/>
      <c r="F1" s="33"/>
      <c r="G1" s="33"/>
      <c r="H1" s="33"/>
      <c r="I1" s="33"/>
    </row>
    <row r="3" customFormat="false" ht="15" hidden="false" customHeight="false" outlineLevel="0" collapsed="false">
      <c r="A3" s="35" t="s">
        <v>30</v>
      </c>
      <c r="B3" s="35" t="s">
        <v>158</v>
      </c>
      <c r="C3" s="35" t="s">
        <v>159</v>
      </c>
      <c r="D3" s="35" t="s">
        <v>59</v>
      </c>
      <c r="E3" s="35" t="s">
        <v>160</v>
      </c>
      <c r="F3" s="35" t="s">
        <v>161</v>
      </c>
      <c r="G3" s="35" t="s">
        <v>162</v>
      </c>
      <c r="H3" s="35" t="s">
        <v>163</v>
      </c>
      <c r="I3" s="35" t="s">
        <v>164</v>
      </c>
    </row>
    <row r="4" customFormat="false" ht="15" hidden="false" customHeight="false" outlineLevel="0" collapsed="false">
      <c r="A4" s="59" t="n">
        <v>1</v>
      </c>
      <c r="B4" s="60" t="s">
        <v>165</v>
      </c>
      <c r="C4" s="61"/>
      <c r="D4" s="61"/>
      <c r="E4" s="61"/>
      <c r="F4" s="61"/>
      <c r="G4" s="61"/>
      <c r="H4" s="61"/>
      <c r="I4" s="59" t="s">
        <v>166</v>
      </c>
    </row>
    <row r="5" customFormat="false" ht="15" hidden="false" customHeight="false" outlineLevel="0" collapsed="false">
      <c r="A5" s="4" t="n">
        <v>2</v>
      </c>
      <c r="B5" s="5" t="s">
        <v>167</v>
      </c>
      <c r="C5" s="19"/>
      <c r="D5" s="19"/>
      <c r="E5" s="19"/>
      <c r="F5" s="19"/>
      <c r="G5" s="19"/>
      <c r="H5" s="19"/>
      <c r="I5" s="4" t="s">
        <v>168</v>
      </c>
    </row>
    <row r="6" customFormat="false" ht="15" hidden="false" customHeight="false" outlineLevel="0" collapsed="false">
      <c r="A6" s="8" t="n">
        <v>3</v>
      </c>
      <c r="B6" s="9" t="s">
        <v>169</v>
      </c>
      <c r="C6" s="17"/>
      <c r="D6" s="17"/>
      <c r="E6" s="17"/>
      <c r="F6" s="17"/>
      <c r="G6" s="17"/>
      <c r="H6" s="17"/>
      <c r="I6" s="8" t="s">
        <v>170</v>
      </c>
    </row>
    <row r="7" customFormat="false" ht="15" hidden="false" customHeight="false" outlineLevel="0" collapsed="false">
      <c r="A7" s="4" t="n">
        <v>4</v>
      </c>
      <c r="B7" s="5" t="s">
        <v>171</v>
      </c>
      <c r="C7" s="19"/>
      <c r="D7" s="19"/>
      <c r="E7" s="19"/>
      <c r="F7" s="19"/>
      <c r="G7" s="19"/>
      <c r="H7" s="19"/>
      <c r="I7" s="4" t="s">
        <v>172</v>
      </c>
    </row>
    <row r="8" customFormat="false" ht="15" hidden="false" customHeight="false" outlineLevel="0" collapsed="false">
      <c r="A8" s="8" t="n">
        <v>1</v>
      </c>
      <c r="B8" s="17"/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4" t="n">
        <v>2</v>
      </c>
      <c r="B9" s="19"/>
      <c r="C9" s="19"/>
      <c r="D9" s="19"/>
      <c r="E9" s="19"/>
      <c r="F9" s="19"/>
      <c r="G9" s="19"/>
      <c r="H9" s="19"/>
      <c r="I9" s="19"/>
    </row>
    <row r="10" customFormat="false" ht="15" hidden="false" customHeight="false" outlineLevel="0" collapsed="false">
      <c r="A10" s="8" t="n">
        <v>3</v>
      </c>
      <c r="B10" s="17"/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4" t="n">
        <v>4</v>
      </c>
      <c r="B11" s="19"/>
      <c r="C11" s="19"/>
      <c r="D11" s="19"/>
      <c r="E11" s="19"/>
      <c r="F11" s="19"/>
      <c r="G11" s="19"/>
      <c r="H11" s="19"/>
      <c r="I11" s="19"/>
    </row>
    <row r="12" customFormat="false" ht="15" hidden="false" customHeight="false" outlineLevel="0" collapsed="false">
      <c r="A12" s="8" t="n">
        <v>5</v>
      </c>
      <c r="B12" s="17"/>
      <c r="C12" s="17"/>
      <c r="D12" s="17"/>
      <c r="E12" s="17"/>
      <c r="F12" s="17"/>
      <c r="G12" s="17"/>
      <c r="H12" s="17"/>
      <c r="I12" s="17"/>
    </row>
    <row r="13" customFormat="false" ht="15" hidden="false" customHeight="false" outlineLevel="0" collapsed="false">
      <c r="A13" s="4" t="n">
        <v>6</v>
      </c>
      <c r="B13" s="19"/>
      <c r="C13" s="19"/>
      <c r="D13" s="19"/>
      <c r="E13" s="19"/>
      <c r="F13" s="19"/>
      <c r="G13" s="19"/>
      <c r="H13" s="19"/>
      <c r="I13" s="19"/>
    </row>
    <row r="14" customFormat="false" ht="15" hidden="false" customHeight="false" outlineLevel="0" collapsed="false">
      <c r="A14" s="8" t="n">
        <v>7</v>
      </c>
      <c r="B14" s="17"/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A15" s="4" t="n">
        <v>8</v>
      </c>
      <c r="B15" s="19"/>
      <c r="C15" s="19"/>
      <c r="D15" s="19"/>
      <c r="E15" s="19"/>
      <c r="F15" s="19"/>
      <c r="G15" s="19"/>
      <c r="H15" s="19"/>
      <c r="I15" s="19"/>
    </row>
    <row r="16" customFormat="false" ht="15" hidden="false" customHeight="false" outlineLevel="0" collapsed="false">
      <c r="A16" s="8" t="n">
        <v>9</v>
      </c>
      <c r="B16" s="17"/>
      <c r="C16" s="17"/>
      <c r="D16" s="17"/>
      <c r="E16" s="17"/>
      <c r="F16" s="17"/>
      <c r="G16" s="17"/>
      <c r="H16" s="17"/>
      <c r="I16" s="17"/>
    </row>
    <row r="17" customFormat="false" ht="15" hidden="false" customHeight="false" outlineLevel="0" collapsed="false">
      <c r="A17" s="4" t="n">
        <v>10</v>
      </c>
      <c r="B17" s="19"/>
      <c r="C17" s="19"/>
      <c r="D17" s="19"/>
      <c r="E17" s="19"/>
      <c r="F17" s="19"/>
      <c r="G17" s="19"/>
      <c r="H17" s="19"/>
      <c r="I17" s="19"/>
    </row>
    <row r="18" customFormat="false" ht="15" hidden="false" customHeight="false" outlineLevel="0" collapsed="false">
      <c r="A18" s="8" t="n">
        <v>11</v>
      </c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A19" s="4" t="n">
        <v>12</v>
      </c>
      <c r="B19" s="19"/>
      <c r="C19" s="19"/>
      <c r="D19" s="19"/>
      <c r="E19" s="19"/>
      <c r="F19" s="19"/>
      <c r="G19" s="19"/>
      <c r="H19" s="19"/>
      <c r="I19" s="19"/>
    </row>
    <row r="20" customFormat="false" ht="15" hidden="false" customHeight="false" outlineLevel="0" collapsed="false">
      <c r="A20" s="8" t="n">
        <v>13</v>
      </c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4" t="n">
        <v>14</v>
      </c>
      <c r="B21" s="19"/>
      <c r="C21" s="19"/>
      <c r="D21" s="19"/>
      <c r="E21" s="19"/>
      <c r="F21" s="19"/>
      <c r="G21" s="19"/>
      <c r="H21" s="19"/>
      <c r="I21" s="19"/>
    </row>
    <row r="22" customFormat="false" ht="15" hidden="false" customHeight="false" outlineLevel="0" collapsed="false">
      <c r="A22" s="8" t="n">
        <v>15</v>
      </c>
      <c r="B22" s="17"/>
      <c r="C22" s="17"/>
      <c r="D22" s="17"/>
      <c r="E22" s="17"/>
      <c r="F22" s="17"/>
      <c r="G22" s="17"/>
      <c r="H22" s="17"/>
      <c r="I22" s="17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173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62" t="s">
        <v>174</v>
      </c>
      <c r="B2" s="62"/>
      <c r="C2" s="62"/>
      <c r="D2" s="62"/>
      <c r="E2" s="62"/>
      <c r="F2" s="62"/>
    </row>
    <row r="3" customFormat="false" ht="15" hidden="false" customHeight="false" outlineLevel="0" collapsed="false">
      <c r="A3" s="16" t="s">
        <v>2</v>
      </c>
      <c r="B3" s="16" t="s">
        <v>175</v>
      </c>
      <c r="C3" s="16" t="s">
        <v>176</v>
      </c>
      <c r="D3" s="16" t="s">
        <v>177</v>
      </c>
      <c r="E3" s="16" t="s">
        <v>178</v>
      </c>
      <c r="F3" s="16" t="s">
        <v>179</v>
      </c>
    </row>
    <row r="4" customFormat="false" ht="31.5" hidden="false" customHeight="true" outlineLevel="0" collapsed="false">
      <c r="A4" s="8" t="n">
        <v>1</v>
      </c>
      <c r="B4" s="9" t="s">
        <v>180</v>
      </c>
      <c r="C4" s="10" t="s">
        <v>181</v>
      </c>
      <c r="D4" s="17"/>
      <c r="E4" s="17"/>
      <c r="F4" s="17"/>
    </row>
    <row r="5" customFormat="false" ht="31.5" hidden="false" customHeight="true" outlineLevel="0" collapsed="false">
      <c r="A5" s="4" t="n">
        <v>2</v>
      </c>
      <c r="B5" s="5" t="s">
        <v>182</v>
      </c>
      <c r="C5" s="6" t="s">
        <v>183</v>
      </c>
      <c r="D5" s="19"/>
      <c r="E5" s="19"/>
      <c r="F5" s="19"/>
    </row>
    <row r="6" customFormat="false" ht="31.5" hidden="false" customHeight="true" outlineLevel="0" collapsed="false">
      <c r="A6" s="8" t="n">
        <v>3</v>
      </c>
      <c r="B6" s="9" t="s">
        <v>184</v>
      </c>
      <c r="C6" s="10" t="s">
        <v>185</v>
      </c>
      <c r="D6" s="17"/>
      <c r="E6" s="17"/>
      <c r="F6" s="17"/>
    </row>
    <row r="7" customFormat="false" ht="31.5" hidden="false" customHeight="true" outlineLevel="0" collapsed="false">
      <c r="A7" s="4" t="n">
        <v>4</v>
      </c>
      <c r="B7" s="5" t="s">
        <v>186</v>
      </c>
      <c r="C7" s="6" t="s">
        <v>187</v>
      </c>
      <c r="D7" s="19"/>
      <c r="E7" s="19"/>
      <c r="F7" s="19"/>
    </row>
    <row r="8" customFormat="false" ht="31.5" hidden="false" customHeight="true" outlineLevel="0" collapsed="false">
      <c r="A8" s="8" t="n">
        <v>5</v>
      </c>
      <c r="B8" s="9" t="s">
        <v>188</v>
      </c>
      <c r="C8" s="10" t="s">
        <v>189</v>
      </c>
      <c r="D8" s="17"/>
      <c r="E8" s="17"/>
      <c r="F8" s="17"/>
    </row>
    <row r="9" customFormat="false" ht="31.5" hidden="false" customHeight="true" outlineLevel="0" collapsed="false">
      <c r="A9" s="4" t="n">
        <v>6</v>
      </c>
      <c r="B9" s="5" t="s">
        <v>190</v>
      </c>
      <c r="C9" s="6" t="s">
        <v>191</v>
      </c>
      <c r="D9" s="19"/>
      <c r="E9" s="19"/>
      <c r="F9" s="19"/>
    </row>
    <row r="10" customFormat="false" ht="31.5" hidden="false" customHeight="true" outlineLevel="0" collapsed="false">
      <c r="A10" s="8" t="n">
        <v>7</v>
      </c>
      <c r="B10" s="9" t="s">
        <v>192</v>
      </c>
      <c r="C10" s="10" t="s">
        <v>193</v>
      </c>
      <c r="D10" s="17"/>
      <c r="E10" s="17"/>
      <c r="F10" s="17"/>
    </row>
    <row r="11" customFormat="false" ht="31.5" hidden="false" customHeight="true" outlineLevel="0" collapsed="false">
      <c r="A11" s="4" t="n">
        <v>8</v>
      </c>
      <c r="B11" s="5" t="s">
        <v>194</v>
      </c>
      <c r="C11" s="6" t="s">
        <v>195</v>
      </c>
      <c r="D11" s="19"/>
      <c r="E11" s="19"/>
      <c r="F11" s="19"/>
    </row>
    <row r="12" customFormat="false" ht="31.5" hidden="false" customHeight="true" outlineLevel="0" collapsed="false">
      <c r="A12" s="8" t="n">
        <v>9</v>
      </c>
      <c r="B12" s="9" t="s">
        <v>196</v>
      </c>
      <c r="C12" s="10" t="s">
        <v>197</v>
      </c>
      <c r="D12" s="17"/>
      <c r="E12" s="17"/>
      <c r="F12" s="17"/>
    </row>
    <row r="13" customFormat="false" ht="31.5" hidden="false" customHeight="true" outlineLevel="0" collapsed="false">
      <c r="A13" s="4" t="n">
        <v>10</v>
      </c>
      <c r="B13" s="5" t="s">
        <v>198</v>
      </c>
      <c r="C13" s="6" t="s">
        <v>199</v>
      </c>
      <c r="D13" s="19"/>
      <c r="E13" s="19"/>
      <c r="F13" s="19"/>
    </row>
    <row r="14" customFormat="false" ht="31.5" hidden="false" customHeight="true" outlineLevel="0" collapsed="false">
      <c r="A14" s="8" t="n">
        <v>11</v>
      </c>
      <c r="B14" s="9" t="s">
        <v>200</v>
      </c>
      <c r="C14" s="10" t="s">
        <v>201</v>
      </c>
      <c r="D14" s="17"/>
      <c r="E14" s="17"/>
      <c r="F14" s="17"/>
    </row>
    <row r="15" customFormat="false" ht="31.5" hidden="false" customHeight="true" outlineLevel="0" collapsed="false">
      <c r="A15" s="4" t="n">
        <v>12</v>
      </c>
      <c r="B15" s="5" t="s">
        <v>202</v>
      </c>
      <c r="C15" s="6" t="s">
        <v>203</v>
      </c>
      <c r="D15" s="19"/>
      <c r="E15" s="19"/>
      <c r="F15" s="19"/>
    </row>
    <row r="16" customFormat="false" ht="31.5" hidden="false" customHeight="true" outlineLevel="0" collapsed="false">
      <c r="A16" s="8" t="n">
        <v>13</v>
      </c>
      <c r="B16" s="9" t="s">
        <v>204</v>
      </c>
      <c r="C16" s="10" t="s">
        <v>205</v>
      </c>
      <c r="D16" s="17"/>
      <c r="E16" s="17"/>
      <c r="F16" s="17"/>
    </row>
    <row r="17" customFormat="false" ht="31.5" hidden="false" customHeight="true" outlineLevel="0" collapsed="false">
      <c r="A17" s="4" t="n">
        <v>14</v>
      </c>
      <c r="B17" s="5" t="s">
        <v>206</v>
      </c>
      <c r="C17" s="6" t="s">
        <v>207</v>
      </c>
      <c r="D17" s="19"/>
      <c r="E17" s="19"/>
      <c r="F17" s="19"/>
    </row>
    <row r="18" customFormat="false" ht="31.5" hidden="false" customHeight="true" outlineLevel="0" collapsed="false">
      <c r="A18" s="8" t="n">
        <v>15</v>
      </c>
      <c r="B18" s="9" t="s">
        <v>208</v>
      </c>
      <c r="C18" s="10" t="s">
        <v>209</v>
      </c>
      <c r="D18" s="17"/>
      <c r="E18" s="17"/>
      <c r="F18" s="17"/>
    </row>
    <row r="19" customFormat="false" ht="31.5" hidden="false" customHeight="true" outlineLevel="0" collapsed="false">
      <c r="A19" s="4" t="n">
        <v>16</v>
      </c>
      <c r="B19" s="5" t="s">
        <v>210</v>
      </c>
      <c r="C19" s="6" t="s">
        <v>211</v>
      </c>
      <c r="D19" s="19"/>
      <c r="E19" s="19"/>
      <c r="F19" s="19"/>
    </row>
    <row r="20" customFormat="false" ht="31.5" hidden="false" customHeight="true" outlineLevel="0" collapsed="false">
      <c r="A20" s="8" t="n">
        <v>17</v>
      </c>
      <c r="B20" s="9" t="s">
        <v>212</v>
      </c>
      <c r="C20" s="10" t="s">
        <v>213</v>
      </c>
      <c r="D20" s="17"/>
      <c r="E20" s="17"/>
      <c r="F20" s="17"/>
    </row>
    <row r="21" customFormat="false" ht="31.5" hidden="false" customHeight="true" outlineLevel="0" collapsed="false">
      <c r="A21" s="4" t="n">
        <v>18</v>
      </c>
      <c r="B21" s="5" t="s">
        <v>214</v>
      </c>
      <c r="C21" s="6" t="s">
        <v>215</v>
      </c>
      <c r="D21" s="19"/>
      <c r="E21" s="19"/>
      <c r="F21" s="19"/>
    </row>
    <row r="22" customFormat="false" ht="31.5" hidden="false" customHeight="true" outlineLevel="0" collapsed="false">
      <c r="A22" s="8" t="n">
        <v>19</v>
      </c>
      <c r="B22" s="9" t="s">
        <v>216</v>
      </c>
      <c r="C22" s="10" t="s">
        <v>217</v>
      </c>
      <c r="D22" s="17"/>
      <c r="E22" s="17"/>
      <c r="F22" s="17"/>
    </row>
    <row r="23" customFormat="false" ht="31.5" hidden="false" customHeight="true" outlineLevel="0" collapsed="false">
      <c r="A23" s="4" t="n">
        <v>20</v>
      </c>
      <c r="B23" s="5" t="s">
        <v>218</v>
      </c>
      <c r="C23" s="6" t="s">
        <v>219</v>
      </c>
      <c r="D23" s="19"/>
      <c r="E23" s="19"/>
      <c r="F23" s="19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2026-05-05T05:53:19Z</dcterms:created>
  <dc:creator>openpyxl</dc:creator>
  <dc:description/>
  <dc:language>en-US</dc:language>
  <cp:lastModifiedBy/>
  <dcterms:modified xsi:type="dcterms:W3CDTF">2026-05-05T05:53:19Z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