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FWCI" sheetId="2" state="visible" r:id="rId4"/>
    <sheet name="2. Top 10% Papers" sheetId="3" state="visible" r:id="rId5"/>
    <sheet name="3. Top 1% Papers" sheetId="4" state="visible" r:id="rId6"/>
    <sheet name="4. Citations &amp; NCI" sheetId="5" state="visible" r:id="rId7"/>
    <sheet name="5. Cross-Field Influence" sheetId="6" state="visible" r:id="rId8"/>
    <sheet name="6. FWCI by Pair Heatmap" sheetId="7" state="visible" r:id="rId9"/>
    <sheet name="7. Highly Cited Researchers" sheetId="8" state="visible" r:id="rId10"/>
    <sheet name="8. Composite QoR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<sst xmlns="http://schemas.openxmlformats.org/spreadsheetml/2006/main" count="230" uniqueCount="191">
  <si>
    <t xml:space="preserve">THE Interdisciplinary Rankings — Outputs (65%) → Quality of Research (20%)</t>
  </si>
  <si>
    <t xml:space="preserve">Largest Single Component — Citation Impact, Excellence &amp; Influence of Cross-Domain Publications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</si>
  <si>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</si>
  <si>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</si>
  <si>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</si>
  <si>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</si>
  <si>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Field-Weighted Citation Impact (FWCI)</t>
  </si>
  <si>
    <t xml:space="preserve">Average citation impact of interdisciplinary publications (2+ ASJC) relative to world average for their field-year-type combination. FWCI &gt; 1.0 = above world average. Sourced from Scopus/SciVal. The single most important quality metric — accounts for differences in citation norms across disciplines.</t>
  </si>
  <si>
    <t xml:space="preserve">~7%</t>
  </si>
  <si>
    <t xml:space="preserve">Top 10% Most-Cited Interdisciplinary Papers</t>
  </si>
  <si>
    <t xml:space="preserve">Count and proportion of the institution's interdisc. publications that fall in the global top 10% most-cited papers in their field-year combination. Measures research EXCELLENCE — ability to produce world-leading cross-domain work.</t>
  </si>
  <si>
    <t xml:space="preserve">~5%</t>
  </si>
  <si>
    <t xml:space="preserve">Top 1% Most-Cited Interdisciplinary Papers</t>
  </si>
  <si>
    <t xml:space="preserve">Count and proportion falling in the global top 1%. Ultra-high impact breakthrough publications. Rare but extremely influential — a hallmark of world-class interdisciplinary research institutions.</t>
  </si>
  <si>
    <t xml:space="preserve">~3%</t>
  </si>
  <si>
    <t xml:space="preserve">Citation Count &amp; Normalized Citation Impact</t>
  </si>
  <si>
    <t xml:space="preserve">Total citations received by interdisciplinary publications over the 5-year window. Also: citations per paper (CPP), and normalized citation impact (NCI) = actual citations / expected citations based on field-year-type. NCI &gt; 1 = above expectation.</t>
  </si>
  <si>
    <t xml:space="preserve">Cross-Field Citation Influence</t>
  </si>
  <si>
    <t xml:space="preserve">Proportion of citations received from papers in DIFFERENT ASJC areas than the originating publication. Measures knowledge TRANSFER — how much interdisciplinary work influences other fields beyond its own. High cross-field influence = true scientific integration.</t>
  </si>
  <si>
    <t xml:space="preserve">~2%</t>
  </si>
  <si>
    <t xml:space="preserve">Key Notes — Quality of Research (20%)</t>
  </si>
  <si>
    <t xml:space="preserve">• Quality of Research = 20% of total ranking — the LARGEST single component in the entire framework.</t>
  </si>
  <si>
    <t xml:space="preserve">• Outputs Pillar total = 65%. Breakdown: Publications (10%) + Proportion (5%) + Utility (5%) + Quality (20%) + Collaboration (10%) + Other (15%).</t>
  </si>
  <si>
    <t xml:space="preserve">• Data source: Scopus / SciVal bibliometric data. 5-year rolling window.</t>
  </si>
  <si>
    <t xml:space="preserve">• FWCI is the gold standard for citation impact comparison — field-normalized, year-normalized, type-normalized.</t>
  </si>
  <si>
    <t xml:space="preserve">• Top 10% and Top 1% use global citation distribution per field per year as the benchmark.</t>
  </si>
  <si>
    <t xml:space="preserve">• Cross-field citation influence measures knowledge DIFFUSION — different from academic impact (volume of citations).</t>
  </si>
  <si>
    <t xml:space="preserve">• Self-citations: institutional self-citations excluded or diluted per THE methodology.</t>
  </si>
  <si>
    <t xml:space="preserve">• Only interdisciplinary publications (2+ ASJC top-level areas) are assessed — single-domain quality falls under main WUR.</t>
  </si>
  <si>
    <t xml:space="preserve">Field-Weighted Citation Impact (FWCI) — Interdisciplinary Publications</t>
  </si>
  <si>
    <t xml:space="preserve">FWCI &gt; 1.0 = above world average | Field-year-type normalized | Scopus/SciVal | 5-year window</t>
  </si>
  <si>
    <t xml:space="preserve">S.No.</t>
  </si>
  <si>
    <t xml:space="preserve">University Name</t>
  </si>
  <si>
    <t xml:space="preserve">Country</t>
  </si>
  <si>
    <t xml:space="preserve">Total Interdisc. Pubs (5yr)</t>
  </si>
  <si>
    <t xml:space="preserve">FWCI (All Institutional Pubs)</t>
  </si>
  <si>
    <t xml:space="preserve">FWCI (Interdisc. Pubs Only)</t>
  </si>
  <si>
    <t xml:space="preserve">FWCI Ratio (Interdisc./All)</t>
  </si>
  <si>
    <t xml:space="preserve">Pubs with FWCI &gt; 1.0</t>
  </si>
  <si>
    <t xml:space="preserve">% Pubs Above World Average</t>
  </si>
  <si>
    <t xml:space="preserve">Reporting Period</t>
  </si>
  <si>
    <t xml:space="preserve">FWCI Summary</t>
  </si>
  <si>
    <t xml:space="preserve">Average FWCI (Interdisc.)</t>
  </si>
  <si>
    <t xml:space="preserve">Median FWCI (Interdisc.)</t>
  </si>
  <si>
    <t xml:space="preserve">Highest FWCI</t>
  </si>
  <si>
    <t xml:space="preserve">Universities with FWCI &gt; 1.5</t>
  </si>
  <si>
    <t xml:space="preserve">Universities with FWCI &lt; 1.0</t>
  </si>
  <si>
    <t xml:space="preserve">FWCI by Top Cross-Domain Pairs (Per University — Enter University Name Above)</t>
  </si>
  <si>
    <t xml:space="preserve">ASJC Pair</t>
  </si>
  <si>
    <t xml:space="preserve">Pubs in Pair</t>
  </si>
  <si>
    <t xml:space="preserve">FWCI of Pair</t>
  </si>
  <si>
    <t xml:space="preserve">Top 10% Pubs in Pair</t>
  </si>
  <si>
    <t xml:space="preserve">% Top 10%</t>
  </si>
  <si>
    <t xml:space="preserve">Avg Citations/Paper</t>
  </si>
  <si>
    <t xml:space="preserve">CS-MEDI</t>
  </si>
  <si>
    <t xml:space="preserve">CHEM-MATE</t>
  </si>
  <si>
    <t xml:space="preserve">CS-ENGI</t>
  </si>
  <si>
    <t xml:space="preserve">PHYS-ENGI</t>
  </si>
  <si>
    <t xml:space="preserve">ENGI-ENVI</t>
  </si>
  <si>
    <t xml:space="preserve">BIOC-MEDI</t>
  </si>
  <si>
    <t xml:space="preserve">ENER-ENGI</t>
  </si>
  <si>
    <t xml:space="preserve">AGRI-ENVI</t>
  </si>
  <si>
    <t xml:space="preserve">CS-BIOC</t>
  </si>
  <si>
    <t xml:space="preserve">MEDI-HEAL</t>
  </si>
  <si>
    <t xml:space="preserve">Top 10% Most-Cited Interdisciplinary Papers (Global Percentile)</t>
  </si>
  <si>
    <t xml:space="preserve">Publications in the global top 10% by citations in their field-year | Measures research EXCELLENCE</t>
  </si>
  <si>
    <t xml:space="preserve">Pubs in Global Top 10%</t>
  </si>
  <si>
    <t xml:space="preserve">% in Top 10%</t>
  </si>
  <si>
    <t xml:space="preserve">Top 10% Interdisc. FWCI</t>
  </si>
  <si>
    <t xml:space="preserve">Top 10% per FTE</t>
  </si>
  <si>
    <t xml:space="preserve">Top 1% Most-Cited Interdisciplinary Papers (Breakthrough Research)</t>
  </si>
  <si>
    <t xml:space="preserve">Ultra-high impact: global top 1% by citations in field-year | Hallmark of world-class cross-domain research</t>
  </si>
  <si>
    <t xml:space="preserve">Pubs in Global Top 1%</t>
  </si>
  <si>
    <t xml:space="preserve">% in Top 1%</t>
  </si>
  <si>
    <t xml:space="preserve">Avg Citations of Top 1% Papers</t>
  </si>
  <si>
    <t xml:space="preserve">Top Discipline Pairs in Top 1%</t>
  </si>
  <si>
    <t xml:space="preserve">Citation Count, Citations per Paper &amp; Normalized Citation Impact</t>
  </si>
  <si>
    <t xml:space="preserve">Total citations | CPP = citations / pubs | NCI = actual / expected (&gt;1 = above expectation)</t>
  </si>
  <si>
    <t xml:space="preserve">Total Citations Received</t>
  </si>
  <si>
    <t xml:space="preserve">Citations per Paper (CPP)</t>
  </si>
  <si>
    <t xml:space="preserve">Expected Citations (Field-Year Norm)</t>
  </si>
  <si>
    <t xml:space="preserve">Normalized Citation Impact (NCI)</t>
  </si>
  <si>
    <t xml:space="preserve">Self-Citation Rate (%)</t>
  </si>
  <si>
    <t xml:space="preserve">Citation Trajectory (Annual Citations to Interdisc. Output)</t>
  </si>
  <si>
    <t xml:space="preserve">Year 1 Citations</t>
  </si>
  <si>
    <t xml:space="preserve">Year 2</t>
  </si>
  <si>
    <t xml:space="preserve">Year 3</t>
  </si>
  <si>
    <t xml:space="preserve">Year 4</t>
  </si>
  <si>
    <t xml:space="preserve">Year 5</t>
  </si>
  <si>
    <t xml:space="preserve">Citation CAGR (%)</t>
  </si>
  <si>
    <t xml:space="preserve">Trend</t>
  </si>
  <si>
    <t xml:space="preserve">Cross-Field Citation Influence — Knowledge Transfer Across Disciplines</t>
  </si>
  <si>
    <t xml:space="preserve">Citations received from papers in DIFFERENT ASJC areas than the originating publication</t>
  </si>
  <si>
    <t xml:space="preserve">Total Citations to Interdisc. Pubs</t>
  </si>
  <si>
    <t xml:space="preserve">Same-Field Citations</t>
  </si>
  <si>
    <t xml:space="preserve">Cross-Field Citations</t>
  </si>
  <si>
    <t xml:space="preserve">% Cross-Field</t>
  </si>
  <si>
    <t xml:space="preserve">Unique Citing ASJC Areas</t>
  </si>
  <si>
    <t xml:space="preserve">Cross-Field Influence Score (0–100)</t>
  </si>
  <si>
    <t xml:space="preserve">FWCI Heatmap by ASJC Pair — Quality Across Cross-Domain Combinations</t>
  </si>
  <si>
    <t xml:space="preserve">Enter FWCI for each pair per university | Identifies strongest and weakest quality pairs</t>
  </si>
  <si>
    <t xml:space="preserve">University ↓ / Pair →</t>
  </si>
  <si>
    <t xml:space="preserve">CHEM-ENGI</t>
  </si>
  <si>
    <t xml:space="preserve">PHYS-MATE</t>
  </si>
  <si>
    <t xml:space="preserve">CS-MATH</t>
  </si>
  <si>
    <t xml:space="preserve">EART-ENVI</t>
  </si>
  <si>
    <t xml:space="preserve">Avg FWCI</t>
  </si>
  <si>
    <t xml:space="preserve">Highly Cited Researchers in Interdisciplinary Fields</t>
  </si>
  <si>
    <t xml:space="preserve">Clarivate HCR list + institutional interdisciplinary h-index leaders | Per-university count</t>
  </si>
  <si>
    <t xml:space="preserve">Clarivate HCR (Cross-Field Category)</t>
  </si>
  <si>
    <t xml:space="preserve">HCR in Other Categories with Interdisc. Output</t>
  </si>
  <si>
    <t xml:space="preserve">Faculty with Interdisc. h-index ≥ 30</t>
  </si>
  <si>
    <t xml:space="preserve">Faculty with Interdisc. h-index ≥ 50</t>
  </si>
  <si>
    <t xml:space="preserve">Total HCR + High h-index Faculty</t>
  </si>
  <si>
    <t xml:space="preserve">Reporting Year</t>
  </si>
  <si>
    <t xml:space="preserve">Composite Quality of Research Score (0–100) — 20% of Total Ranking</t>
  </si>
  <si>
    <t xml:space="preserve">Weighted composite of 5 sub-indicators | Weights editable in Row 4 | LARGEST component</t>
  </si>
  <si>
    <t xml:space="preserve">FWCI Score (A)</t>
  </si>
  <si>
    <t xml:space="preserve">Top 10% (B)</t>
  </si>
  <si>
    <t xml:space="preserve">Top 1% (C)</t>
  </si>
  <si>
    <t xml:space="preserve">Citations/NCI (D)</t>
  </si>
  <si>
    <t xml:space="preserve">Cross-Field (E)</t>
  </si>
  <si>
    <t xml:space="preserve">Composite QoR Score (0–100)</t>
  </si>
  <si>
    <t xml:space="preserve">Global Rank</t>
  </si>
  <si>
    <t xml:space="preserve">Weights →</t>
  </si>
  <si>
    <t xml:space="preserve">Benchmarking — Quality of Research</t>
  </si>
  <si>
    <t xml:space="preserve">University / Benchmark</t>
  </si>
  <si>
    <t xml:space="preserve">FWCI</t>
  </si>
  <si>
    <t xml:space="preserve">Top 10%</t>
  </si>
  <si>
    <t xml:space="preserve">Top 1%</t>
  </si>
  <si>
    <t xml:space="preserve">NCI</t>
  </si>
  <si>
    <t xml:space="preserve">X-Field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</si>
  <si>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</si>
  <si>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</si>
  <si>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</si>
  <si>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</si>
  <si>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</si>
  <si>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</si>
  <si>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</si>
  <si>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</si>
  <si>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</si>
  <si>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</si>
  <si>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World Average (FWCI=1.0)</t>
  </si>
  <si>
    <t xml:space="preserve">Baseline</t>
  </si>
  <si>
    <t xml:space="preserve">Quality of Research — Data Quality &amp; Audit Checklist</t>
  </si>
  <si>
    <t xml:space="preserve">Validation for all sub-indicators of the Quality component (20% of total ranking — LARGEST component)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</si>
  <si>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</si>
  <si>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</si>
  <si>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</si>
  <si>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</si>
  <si>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</si>
  <si>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FWCI source verification</t>
  </si>
  <si>
    <t xml:space="preserve">FWCI values sourced from Scopus SciVal or equivalent; not manually calculated. Database and date documented</t>
  </si>
  <si>
    <t xml:space="preserve">FWCI = interdisc. only</t>
  </si>
  <si>
    <t xml:space="preserve">FWCI reported specifically for publications spanning 2+ ASJC top-level areas, not overall institutional FWCI</t>
  </si>
  <si>
    <t xml:space="preserve">FWCI field-year-type normalization</t>
  </si>
  <si>
    <t xml:space="preserve">FWCI accounts for field, publication year, AND document type (article vs. review vs. conference paper)</t>
  </si>
  <si>
    <t xml:space="preserve">Top 10% threshold accuracy</t>
  </si>
  <si>
    <t xml:space="preserve">Top 10% threshold based on global citation distribution per field per year from Scopus; not institutional distribution</t>
  </si>
  <si>
    <t xml:space="preserve">Top 1% threshold accuracy</t>
  </si>
  <si>
    <t xml:space="preserve">Top 1% threshold similarly based on global distribution; verified against InCites/SciVal ESI</t>
  </si>
  <si>
    <t xml:space="preserve">Self-citation exclusion</t>
  </si>
  <si>
    <t xml:space="preserve">Institutional self-citations excluded or diluted per THE methodology; exclusion method documented</t>
  </si>
  <si>
    <t xml:space="preserve">Citation window consistency</t>
  </si>
  <si>
    <t xml:space="preserve">Citations counted within the same 5-year window; no citations from papers outside the window included</t>
  </si>
  <si>
    <t xml:space="preserve">Publication type filter</t>
  </si>
  <si>
    <t xml:space="preserve">Only articles, reviews, and conference papers; editorials, letters, errata excluded (same as Volume/Proportion sheets)</t>
  </si>
  <si>
    <t xml:space="preserve">NCI formula verification</t>
  </si>
  <si>
    <t xml:space="preserve">NCI = actual citations / expected citations (field-year-type norm); verified for 2–3 universities</t>
  </si>
  <si>
    <t xml:space="preserve">Cross-field citation direction</t>
  </si>
  <si>
    <t xml:space="preserve">Cross-field = citing paper's ASJC area ≠ cited paper's ASJC area; same top-level area = same-field</t>
  </si>
  <si>
    <t xml:space="preserve">ASJC classification consistency</t>
  </si>
  <si>
    <t xml:space="preserve">Same ASJC top-level area definitions used as all other Outputs pillar sheets</t>
  </si>
  <si>
    <t xml:space="preserve">Highly Cited Researcher verification</t>
  </si>
  <si>
    <t xml:space="preserve">HCR counts verified against Clarivate's official annual HCR list; cross-field category confirmed</t>
  </si>
  <si>
    <t xml:space="preserve">h-index calculation method</t>
  </si>
  <si>
    <t xml:space="preserve">Interdisciplinary h-index calculated only on papers spanning 2+ ASJC areas; not overall h-index</t>
  </si>
  <si>
    <t xml:space="preserve">FWCI pair heatmap consistency</t>
  </si>
  <si>
    <t xml:space="preserve">Pair-level FWCIs are subset of overall interdisc. FWCI; weighted average across pairs ≈ overall FWCI</t>
  </si>
  <si>
    <t xml:space="preserve">Citation CAGR verification</t>
  </si>
  <si>
    <t xml:space="preserve">CAGR = (Year5/Year1)^(1/4) − 1; Year1 = 0 returns error; negative growth handled</t>
  </si>
  <si>
    <t xml:space="preserve">Cross-validation with Volume sheet</t>
  </si>
  <si>
    <t xml:space="preserve">Publication counts match between Quality and Number of Publications workbooks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</si>
  <si>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</si>
  <si>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</si>
  <si>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</si>
  <si>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Quality component (20% of total ranking)</t>
  </si>
  <si>
    <t xml:space="preserve">Year-on-year trend check</t>
  </si>
  <si>
    <t xml:space="preserve">Compare current data with previous cycle; flag anomalous changes (&gt;30% shift in FWCI or Top 10%)</t>
  </si>
  <si>
    <t xml:space="preserve">Reproducibility test</t>
  </si>
  <si>
    <t xml:space="preserve">All calculations reproducible by independent analyst using this workbook and Scopus/SciVal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</si>
</sst>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9B2335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9B2335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7030A0"/>
        <bgColor rgb="FF3F51B5"/>
      </patternFill>
    </fill>
    <fill>
      <patternFill patternType="solid">
        <fgColor rgb="FFED7D31"/>
        <bgColor rgb="FFFF8080"/>
      </patternFill>
    </fill>
    <fill>
      <patternFill patternType="solid">
        <fgColor rgb="FF8B0000"/>
        <bgColor rgb="FF800000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3F51B5"/>
        <bgColor rgb="FF666699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B2335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7030A0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16"/>
  </cols>
  <sheetData>
    <row r="1" customFormat="false" ht="33.75" hidden="false" customHeight="true" outlineLevel="0" collapsed="false">
      <c r="A1" s="2" t="s">
        <v>0</v>
      </c>
      <c r="B1" s="2"/>
      <c r="C1" s="2"/>
      <c r="D1" s="2"/>
    </row>
    <row r="2" customFormat="false" ht="25.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90" hidden="false" customHeight="true" outlineLevel="0" collapsed="false">
      <c r="A5" s="5" t="n">
        <v>1</v>
      </c>
      <c r="B5" s="6" t="s">
        <v>6</v>
      </c>
      <c r="C5" s="7" t="s">
        <v>7</v>
      </c>
      <c r="D5" s="8" t="s">
        <v>8</v>
      </c>
    </row>
    <row r="6" customFormat="false" ht="90" hidden="false" customHeight="true" outlineLevel="0" collapsed="false">
      <c r="A6" s="9" t="n">
        <v>2</v>
      </c>
      <c r="B6" s="10" t="s">
        <v>9</v>
      </c>
      <c r="C6" s="11" t="s">
        <v>10</v>
      </c>
      <c r="D6" s="12" t="s">
        <v>11</v>
      </c>
    </row>
    <row r="7" customFormat="false" ht="90" hidden="false" customHeight="true" outlineLevel="0" collapsed="false">
      <c r="A7" s="5" t="n">
        <v>3</v>
      </c>
      <c r="B7" s="6" t="s">
        <v>12</v>
      </c>
      <c r="C7" s="7" t="s">
        <v>13</v>
      </c>
      <c r="D7" s="8" t="s">
        <v>14</v>
      </c>
    </row>
    <row r="8" customFormat="false" ht="90" hidden="false" customHeight="true" outlineLevel="0" collapsed="false">
      <c r="A8" s="9" t="n">
        <v>4</v>
      </c>
      <c r="B8" s="10" t="s">
        <v>15</v>
      </c>
      <c r="C8" s="11" t="s">
        <v>16</v>
      </c>
      <c r="D8" s="12" t="s">
        <v>14</v>
      </c>
    </row>
    <row r="9" customFormat="false" ht="90" hidden="false" customHeight="true" outlineLevel="0" collapsed="false">
      <c r="A9" s="5" t="n">
        <v>5</v>
      </c>
      <c r="B9" s="6" t="s">
        <v>17</v>
      </c>
      <c r="C9" s="7" t="s">
        <v>18</v>
      </c>
      <c r="D9" s="8" t="s">
        <v>19</v>
      </c>
    </row>
    <row r="11" customFormat="false" ht="25.5" hidden="false" customHeight="true" outlineLevel="0" collapsed="false">
      <c r="A11" s="13" t="s">
        <v>20</v>
      </c>
      <c r="B11" s="13"/>
      <c r="C11" s="13"/>
      <c r="D11" s="13"/>
    </row>
    <row r="12" customFormat="false" ht="15" hidden="false" customHeight="true" outlineLevel="0" collapsed="false">
      <c r="A12" s="14" t="s">
        <v>21</v>
      </c>
      <c r="B12" s="14"/>
      <c r="C12" s="14"/>
      <c r="D12" s="14"/>
    </row>
    <row r="13" customFormat="false" ht="23.25" hidden="false" customHeight="true" outlineLevel="0" collapsed="false">
      <c r="A13" s="14" t="s">
        <v>22</v>
      </c>
      <c r="B13" s="14"/>
      <c r="C13" s="14"/>
      <c r="D13" s="14"/>
    </row>
    <row r="14" customFormat="false" ht="15" hidden="false" customHeight="true" outlineLevel="0" collapsed="false">
      <c r="A14" s="14" t="s">
        <v>23</v>
      </c>
      <c r="B14" s="14"/>
      <c r="C14" s="14"/>
      <c r="D14" s="14"/>
    </row>
    <row r="15" customFormat="false" ht="15" hidden="false" customHeight="true" outlineLevel="0" collapsed="false">
      <c r="A15" s="14" t="s">
        <v>24</v>
      </c>
      <c r="B15" s="14"/>
      <c r="C15" s="14"/>
      <c r="D15" s="14"/>
    </row>
    <row r="16" customFormat="false" ht="15" hidden="false" customHeight="true" outlineLevel="0" collapsed="false">
      <c r="A16" s="14" t="s">
        <v>25</v>
      </c>
      <c r="B16" s="14"/>
      <c r="C16" s="14"/>
      <c r="D16" s="14"/>
    </row>
    <row r="17" customFormat="false" ht="15" hidden="false" customHeight="true" outlineLevel="0" collapsed="false">
      <c r="A17" s="14" t="s">
        <v>26</v>
      </c>
      <c r="B17" s="14"/>
      <c r="C17" s="14"/>
      <c r="D17" s="14"/>
    </row>
    <row r="18" customFormat="false" ht="15" hidden="false" customHeight="true" outlineLevel="0" collapsed="false">
      <c r="A18" s="14" t="s">
        <v>27</v>
      </c>
      <c r="B18" s="14"/>
      <c r="C18" s="14"/>
      <c r="D18" s="14"/>
    </row>
    <row r="19" customFormat="false" ht="15" hidden="false" customHeight="true" outlineLevel="0" collapsed="false">
      <c r="A19" s="14" t="s">
        <v>28</v>
      </c>
      <c r="B19" s="14"/>
      <c r="C19" s="14"/>
      <c r="D19" s="14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9" min="4" style="1" width="18"/>
    <col collapsed="false" customWidth="true" hidden="false" outlineLevel="0" max="10" min="10" style="1" width="14"/>
  </cols>
  <sheetData>
    <row r="1" customFormat="false" ht="33.75" hidden="false" customHeight="true" outlineLevel="0" collapsed="false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25.5" hidden="false" customHeight="true" outlineLevel="0" collapsed="false">
      <c r="A2" s="16" t="s">
        <v>30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23.25" hidden="false" customHeight="true" outlineLevel="0" collapsed="false">
      <c r="A3" s="17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  <c r="J3" s="17" t="s">
        <v>40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9"/>
      <c r="F4" s="19"/>
      <c r="G4" s="20" t="n">
        <f aca="false">IF(E4&gt;0,F4/E4,0)</f>
        <v>0</v>
      </c>
      <c r="H4" s="18"/>
      <c r="I4" s="21" t="n">
        <f aca="false">IF(D4&gt;0,H4/D4*100,0)</f>
        <v>0</v>
      </c>
      <c r="J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3"/>
      <c r="F5" s="23"/>
      <c r="G5" s="24" t="n">
        <f aca="false">IF(E5&gt;0,F5/E5,0)</f>
        <v>0</v>
      </c>
      <c r="H5" s="22"/>
      <c r="I5" s="25" t="n">
        <f aca="false">IF(D5&gt;0,H5/D5*100,0)</f>
        <v>0</v>
      </c>
      <c r="J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9"/>
      <c r="F6" s="19"/>
      <c r="G6" s="20" t="n">
        <f aca="false">IF(E6&gt;0,F6/E6,0)</f>
        <v>0</v>
      </c>
      <c r="H6" s="18"/>
      <c r="I6" s="21" t="n">
        <f aca="false">IF(D6&gt;0,H6/D6*100,0)</f>
        <v>0</v>
      </c>
      <c r="J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3"/>
      <c r="F7" s="23"/>
      <c r="G7" s="24" t="n">
        <f aca="false">IF(E7&gt;0,F7/E7,0)</f>
        <v>0</v>
      </c>
      <c r="H7" s="22"/>
      <c r="I7" s="25" t="n">
        <f aca="false">IF(D7&gt;0,H7/D7*100,0)</f>
        <v>0</v>
      </c>
      <c r="J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9"/>
      <c r="F8" s="19"/>
      <c r="G8" s="20" t="n">
        <f aca="false">IF(E8&gt;0,F8/E8,0)</f>
        <v>0</v>
      </c>
      <c r="H8" s="18"/>
      <c r="I8" s="21" t="n">
        <f aca="false">IF(D8&gt;0,H8/D8*100,0)</f>
        <v>0</v>
      </c>
      <c r="J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3"/>
      <c r="F9" s="23"/>
      <c r="G9" s="24" t="n">
        <f aca="false">IF(E9&gt;0,F9/E9,0)</f>
        <v>0</v>
      </c>
      <c r="H9" s="22"/>
      <c r="I9" s="25" t="n">
        <f aca="false">IF(D9&gt;0,H9/D9*100,0)</f>
        <v>0</v>
      </c>
      <c r="J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9"/>
      <c r="F10" s="19"/>
      <c r="G10" s="20" t="n">
        <f aca="false">IF(E10&gt;0,F10/E10,0)</f>
        <v>0</v>
      </c>
      <c r="H10" s="18"/>
      <c r="I10" s="21" t="n">
        <f aca="false">IF(D10&gt;0,H10/D10*100,0)</f>
        <v>0</v>
      </c>
      <c r="J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3"/>
      <c r="F11" s="23"/>
      <c r="G11" s="24" t="n">
        <f aca="false">IF(E11&gt;0,F11/E11,0)</f>
        <v>0</v>
      </c>
      <c r="H11" s="22"/>
      <c r="I11" s="25" t="n">
        <f aca="false">IF(D11&gt;0,H11/D11*100,0)</f>
        <v>0</v>
      </c>
      <c r="J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9"/>
      <c r="F12" s="19"/>
      <c r="G12" s="20" t="n">
        <f aca="false">IF(E12&gt;0,F12/E12,0)</f>
        <v>0</v>
      </c>
      <c r="H12" s="18"/>
      <c r="I12" s="21" t="n">
        <f aca="false">IF(D12&gt;0,H12/D12*100,0)</f>
        <v>0</v>
      </c>
      <c r="J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3"/>
      <c r="F13" s="23"/>
      <c r="G13" s="24" t="n">
        <f aca="false">IF(E13&gt;0,F13/E13,0)</f>
        <v>0</v>
      </c>
      <c r="H13" s="22"/>
      <c r="I13" s="25" t="n">
        <f aca="false">IF(D13&gt;0,H13/D13*100,0)</f>
        <v>0</v>
      </c>
      <c r="J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9"/>
      <c r="F14" s="19"/>
      <c r="G14" s="20" t="n">
        <f aca="false">IF(E14&gt;0,F14/E14,0)</f>
        <v>0</v>
      </c>
      <c r="H14" s="18"/>
      <c r="I14" s="21" t="n">
        <f aca="false">IF(D14&gt;0,H14/D14*100,0)</f>
        <v>0</v>
      </c>
      <c r="J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3"/>
      <c r="F15" s="23"/>
      <c r="G15" s="24" t="n">
        <f aca="false">IF(E15&gt;0,F15/E15,0)</f>
        <v>0</v>
      </c>
      <c r="H15" s="22"/>
      <c r="I15" s="25" t="n">
        <f aca="false">IF(D15&gt;0,H15/D15*100,0)</f>
        <v>0</v>
      </c>
      <c r="J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9"/>
      <c r="F16" s="19"/>
      <c r="G16" s="20" t="n">
        <f aca="false">IF(E16&gt;0,F16/E16,0)</f>
        <v>0</v>
      </c>
      <c r="H16" s="18"/>
      <c r="I16" s="21" t="n">
        <f aca="false">IF(D16&gt;0,H16/D16*100,0)</f>
        <v>0</v>
      </c>
      <c r="J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3"/>
      <c r="F17" s="23"/>
      <c r="G17" s="24" t="n">
        <f aca="false">IF(E17&gt;0,F17/E17,0)</f>
        <v>0</v>
      </c>
      <c r="H17" s="22"/>
      <c r="I17" s="25" t="n">
        <f aca="false">IF(D17&gt;0,H17/D17*100,0)</f>
        <v>0</v>
      </c>
      <c r="J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9"/>
      <c r="F18" s="19"/>
      <c r="G18" s="20" t="n">
        <f aca="false">IF(E18&gt;0,F18/E18,0)</f>
        <v>0</v>
      </c>
      <c r="H18" s="18"/>
      <c r="I18" s="21" t="n">
        <f aca="false">IF(D18&gt;0,H18/D18*100,0)</f>
        <v>0</v>
      </c>
      <c r="J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3"/>
      <c r="F19" s="23"/>
      <c r="G19" s="24" t="n">
        <f aca="false">IF(E19&gt;0,F19/E19,0)</f>
        <v>0</v>
      </c>
      <c r="H19" s="22"/>
      <c r="I19" s="25" t="n">
        <f aca="false">IF(D19&gt;0,H19/D19*100,0)</f>
        <v>0</v>
      </c>
      <c r="J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9"/>
      <c r="F20" s="19"/>
      <c r="G20" s="20" t="n">
        <f aca="false">IF(E20&gt;0,F20/E20,0)</f>
        <v>0</v>
      </c>
      <c r="H20" s="18"/>
      <c r="I20" s="21" t="n">
        <f aca="false">IF(D20&gt;0,H20/D20*100,0)</f>
        <v>0</v>
      </c>
      <c r="J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3"/>
      <c r="F21" s="23"/>
      <c r="G21" s="24" t="n">
        <f aca="false">IF(E21&gt;0,F21/E21,0)</f>
        <v>0</v>
      </c>
      <c r="H21" s="22"/>
      <c r="I21" s="25" t="n">
        <f aca="false">IF(D21&gt;0,H21/D21*100,0)</f>
        <v>0</v>
      </c>
      <c r="J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9"/>
      <c r="F22" s="19"/>
      <c r="G22" s="20" t="n">
        <f aca="false">IF(E22&gt;0,F22/E22,0)</f>
        <v>0</v>
      </c>
      <c r="H22" s="18"/>
      <c r="I22" s="21" t="n">
        <f aca="false">IF(D22&gt;0,H22/D22*100,0)</f>
        <v>0</v>
      </c>
      <c r="J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3"/>
      <c r="F23" s="23"/>
      <c r="G23" s="24" t="n">
        <f aca="false">IF(E23&gt;0,F23/E23,0)</f>
        <v>0</v>
      </c>
      <c r="H23" s="22"/>
      <c r="I23" s="25" t="n">
        <f aca="false">IF(D23&gt;0,H23/D23*100,0)</f>
        <v>0</v>
      </c>
      <c r="J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9"/>
      <c r="F24" s="19"/>
      <c r="G24" s="20" t="n">
        <f aca="false">IF(E24&gt;0,F24/E24,0)</f>
        <v>0</v>
      </c>
      <c r="H24" s="18"/>
      <c r="I24" s="21" t="n">
        <f aca="false">IF(D24&gt;0,H24/D24*100,0)</f>
        <v>0</v>
      </c>
      <c r="J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3"/>
      <c r="F25" s="23"/>
      <c r="G25" s="24" t="n">
        <f aca="false">IF(E25&gt;0,F25/E25,0)</f>
        <v>0</v>
      </c>
      <c r="H25" s="22"/>
      <c r="I25" s="25" t="n">
        <f aca="false">IF(D25&gt;0,H25/D25*100,0)</f>
        <v>0</v>
      </c>
      <c r="J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9"/>
      <c r="F26" s="19"/>
      <c r="G26" s="20" t="n">
        <f aca="false">IF(E26&gt;0,F26/E26,0)</f>
        <v>0</v>
      </c>
      <c r="H26" s="18"/>
      <c r="I26" s="21" t="n">
        <f aca="false">IF(D26&gt;0,H26/D26*100,0)</f>
        <v>0</v>
      </c>
      <c r="J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3"/>
      <c r="F27" s="23"/>
      <c r="G27" s="24" t="n">
        <f aca="false">IF(E27&gt;0,F27/E27,0)</f>
        <v>0</v>
      </c>
      <c r="H27" s="22"/>
      <c r="I27" s="25" t="n">
        <f aca="false">IF(D27&gt;0,H27/D27*100,0)</f>
        <v>0</v>
      </c>
      <c r="J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9"/>
      <c r="F28" s="19"/>
      <c r="G28" s="20" t="n">
        <f aca="false">IF(E28&gt;0,F28/E28,0)</f>
        <v>0</v>
      </c>
      <c r="H28" s="18"/>
      <c r="I28" s="21" t="n">
        <f aca="false">IF(D28&gt;0,H28/D28*100,0)</f>
        <v>0</v>
      </c>
      <c r="J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3"/>
      <c r="F29" s="23"/>
      <c r="G29" s="24" t="n">
        <f aca="false">IF(E29&gt;0,F29/E29,0)</f>
        <v>0</v>
      </c>
      <c r="H29" s="22"/>
      <c r="I29" s="25" t="n">
        <f aca="false">IF(D29&gt;0,H29/D29*100,0)</f>
        <v>0</v>
      </c>
      <c r="J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9"/>
      <c r="F30" s="19"/>
      <c r="G30" s="20" t="n">
        <f aca="false">IF(E30&gt;0,F30/E30,0)</f>
        <v>0</v>
      </c>
      <c r="H30" s="18"/>
      <c r="I30" s="21" t="n">
        <f aca="false">IF(D30&gt;0,H30/D30*100,0)</f>
        <v>0</v>
      </c>
      <c r="J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3"/>
      <c r="F31" s="23"/>
      <c r="G31" s="24" t="n">
        <f aca="false">IF(E31&gt;0,F31/E31,0)</f>
        <v>0</v>
      </c>
      <c r="H31" s="22"/>
      <c r="I31" s="25" t="n">
        <f aca="false">IF(D31&gt;0,H31/D31*100,0)</f>
        <v>0</v>
      </c>
      <c r="J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9"/>
      <c r="F32" s="19"/>
      <c r="G32" s="20" t="n">
        <f aca="false">IF(E32&gt;0,F32/E32,0)</f>
        <v>0</v>
      </c>
      <c r="H32" s="18"/>
      <c r="I32" s="21" t="n">
        <f aca="false">IF(D32&gt;0,H32/D32*100,0)</f>
        <v>0</v>
      </c>
      <c r="J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3"/>
      <c r="F33" s="23"/>
      <c r="G33" s="24" t="n">
        <f aca="false">IF(E33&gt;0,F33/E33,0)</f>
        <v>0</v>
      </c>
      <c r="H33" s="22"/>
      <c r="I33" s="25" t="n">
        <f aca="false">IF(D33&gt;0,H33/D33*100,0)</f>
        <v>0</v>
      </c>
      <c r="J33" s="22"/>
    </row>
    <row r="35" customFormat="false" ht="25.5" hidden="false" customHeight="true" outlineLevel="0" collapsed="false">
      <c r="A35" s="26" t="s">
        <v>41</v>
      </c>
      <c r="B35" s="26"/>
      <c r="C35" s="26"/>
      <c r="D35" s="26"/>
      <c r="E35" s="26"/>
      <c r="F35" s="26"/>
      <c r="G35" s="26"/>
      <c r="H35" s="26"/>
      <c r="I35" s="26"/>
      <c r="J35" s="26"/>
    </row>
    <row r="36" customFormat="false" ht="15" hidden="false" customHeight="true" outlineLevel="0" collapsed="false">
      <c r="A36" s="27" t="s">
        <v>42</v>
      </c>
      <c r="B36" s="27"/>
      <c r="C36" s="27"/>
      <c r="D36" s="27"/>
      <c r="E36" s="28" t="n">
        <f aca="false">IF(COUNTA(F4:F33)&gt;0,AVERAGE(F4:F33),0)</f>
        <v>0</v>
      </c>
      <c r="F36" s="29"/>
      <c r="G36" s="29"/>
      <c r="H36" s="29"/>
      <c r="I36" s="29"/>
      <c r="J36" s="29"/>
    </row>
    <row r="37" customFormat="false" ht="15" hidden="false" customHeight="true" outlineLevel="0" collapsed="false">
      <c r="A37" s="27" t="s">
        <v>43</v>
      </c>
      <c r="B37" s="27"/>
      <c r="C37" s="27"/>
      <c r="D37" s="27"/>
      <c r="E37" s="28" t="n">
        <f aca="false">IF(COUNTA(F4:F33)&gt;0,MEDIAN(F4:F33),0)</f>
        <v>0</v>
      </c>
      <c r="F37" s="29"/>
      <c r="G37" s="29"/>
      <c r="H37" s="29"/>
      <c r="I37" s="29"/>
      <c r="J37" s="29"/>
    </row>
    <row r="38" customFormat="false" ht="15" hidden="false" customHeight="true" outlineLevel="0" collapsed="false">
      <c r="A38" s="27" t="s">
        <v>44</v>
      </c>
      <c r="B38" s="27"/>
      <c r="C38" s="27"/>
      <c r="D38" s="27"/>
      <c r="E38" s="28" t="n">
        <f aca="false">MAX(F4:F33)</f>
        <v>0</v>
      </c>
      <c r="F38" s="29"/>
      <c r="G38" s="29"/>
      <c r="H38" s="29"/>
      <c r="I38" s="29"/>
      <c r="J38" s="29"/>
    </row>
    <row r="39" customFormat="false" ht="15" hidden="false" customHeight="true" outlineLevel="0" collapsed="false">
      <c r="A39" s="27" t="s">
        <v>45</v>
      </c>
      <c r="B39" s="27"/>
      <c r="C39" s="27"/>
      <c r="D39" s="27"/>
      <c r="E39" s="28" t="n">
        <f aca="false">COUNTIF(F4:F33,"&gt;1.5")</f>
        <v>0</v>
      </c>
      <c r="F39" s="29"/>
      <c r="G39" s="29"/>
      <c r="H39" s="29"/>
      <c r="I39" s="29"/>
      <c r="J39" s="29"/>
    </row>
    <row r="40" customFormat="false" ht="15" hidden="false" customHeight="true" outlineLevel="0" collapsed="false">
      <c r="A40" s="27" t="s">
        <v>46</v>
      </c>
      <c r="B40" s="27"/>
      <c r="C40" s="27"/>
      <c r="D40" s="27"/>
      <c r="E40" s="28" t="n">
        <f aca="false">COUNTIF(F4:F33,"&lt;1")</f>
        <v>0</v>
      </c>
      <c r="F40" s="29"/>
      <c r="G40" s="29"/>
      <c r="H40" s="29"/>
      <c r="I40" s="29"/>
      <c r="J40" s="29"/>
    </row>
    <row r="42" customFormat="false" ht="25.5" hidden="false" customHeight="true" outlineLevel="0" collapsed="false">
      <c r="A42" s="30" t="s">
        <v>47</v>
      </c>
      <c r="B42" s="30"/>
      <c r="C42" s="30"/>
      <c r="D42" s="30"/>
      <c r="E42" s="30"/>
      <c r="F42" s="30"/>
      <c r="G42" s="30"/>
      <c r="H42" s="30"/>
      <c r="I42" s="30"/>
      <c r="J42" s="30"/>
    </row>
    <row r="43" customFormat="false" ht="23.25" hidden="false" customHeight="true" outlineLevel="0" collapsed="false">
      <c r="A43" s="31" t="s">
        <v>2</v>
      </c>
      <c r="B43" s="31" t="s">
        <v>48</v>
      </c>
      <c r="C43" s="31" t="s">
        <v>49</v>
      </c>
      <c r="D43" s="31" t="s">
        <v>50</v>
      </c>
      <c r="E43" s="31" t="s">
        <v>51</v>
      </c>
      <c r="F43" s="31" t="s">
        <v>52</v>
      </c>
      <c r="G43" s="31" t="s">
        <v>53</v>
      </c>
      <c r="H43" s="31"/>
      <c r="I43" s="31"/>
      <c r="J43" s="31"/>
    </row>
    <row r="44" customFormat="false" ht="15" hidden="false" customHeight="true" outlineLevel="0" collapsed="false">
      <c r="A44" s="9" t="n">
        <v>1</v>
      </c>
      <c r="B44" s="32" t="s">
        <v>54</v>
      </c>
      <c r="C44" s="18"/>
      <c r="D44" s="19"/>
      <c r="E44" s="18"/>
      <c r="F44" s="21" t="n">
        <f aca="false">IF(C44&gt;0,E44/C44*100,0)</f>
        <v>0</v>
      </c>
      <c r="G44" s="18"/>
      <c r="H44" s="33"/>
      <c r="I44" s="33"/>
      <c r="J44" s="33"/>
    </row>
    <row r="45" customFormat="false" ht="15" hidden="false" customHeight="true" outlineLevel="0" collapsed="false">
      <c r="A45" s="5" t="n">
        <v>2</v>
      </c>
      <c r="B45" s="34" t="s">
        <v>55</v>
      </c>
      <c r="C45" s="22"/>
      <c r="D45" s="23"/>
      <c r="E45" s="22"/>
      <c r="F45" s="25" t="n">
        <f aca="false">IF(C45&gt;0,E45/C45*100,0)</f>
        <v>0</v>
      </c>
      <c r="G45" s="22"/>
      <c r="H45" s="35"/>
      <c r="I45" s="35"/>
      <c r="J45" s="35"/>
    </row>
    <row r="46" customFormat="false" ht="15" hidden="false" customHeight="true" outlineLevel="0" collapsed="false">
      <c r="A46" s="9" t="n">
        <v>3</v>
      </c>
      <c r="B46" s="32" t="s">
        <v>56</v>
      </c>
      <c r="C46" s="18"/>
      <c r="D46" s="19"/>
      <c r="E46" s="18"/>
      <c r="F46" s="21" t="n">
        <f aca="false">IF(C46&gt;0,E46/C46*100,0)</f>
        <v>0</v>
      </c>
      <c r="G46" s="18"/>
      <c r="H46" s="33"/>
      <c r="I46" s="33"/>
      <c r="J46" s="33"/>
    </row>
    <row r="47" customFormat="false" ht="15" hidden="false" customHeight="true" outlineLevel="0" collapsed="false">
      <c r="A47" s="5" t="n">
        <v>4</v>
      </c>
      <c r="B47" s="34" t="s">
        <v>57</v>
      </c>
      <c r="C47" s="22"/>
      <c r="D47" s="23"/>
      <c r="E47" s="22"/>
      <c r="F47" s="25" t="n">
        <f aca="false">IF(C47&gt;0,E47/C47*100,0)</f>
        <v>0</v>
      </c>
      <c r="G47" s="22"/>
      <c r="H47" s="35"/>
      <c r="I47" s="35"/>
      <c r="J47" s="35"/>
    </row>
    <row r="48" customFormat="false" ht="15" hidden="false" customHeight="true" outlineLevel="0" collapsed="false">
      <c r="A48" s="9" t="n">
        <v>5</v>
      </c>
      <c r="B48" s="32" t="s">
        <v>58</v>
      </c>
      <c r="C48" s="18"/>
      <c r="D48" s="19"/>
      <c r="E48" s="18"/>
      <c r="F48" s="21" t="n">
        <f aca="false">IF(C48&gt;0,E48/C48*100,0)</f>
        <v>0</v>
      </c>
      <c r="G48" s="18"/>
      <c r="H48" s="33"/>
      <c r="I48" s="33"/>
      <c r="J48" s="33"/>
    </row>
    <row r="49" customFormat="false" ht="15" hidden="false" customHeight="true" outlineLevel="0" collapsed="false">
      <c r="A49" s="5" t="n">
        <v>6</v>
      </c>
      <c r="B49" s="34" t="s">
        <v>59</v>
      </c>
      <c r="C49" s="22"/>
      <c r="D49" s="23"/>
      <c r="E49" s="22"/>
      <c r="F49" s="25" t="n">
        <f aca="false">IF(C49&gt;0,E49/C49*100,0)</f>
        <v>0</v>
      </c>
      <c r="G49" s="22"/>
      <c r="H49" s="35"/>
      <c r="I49" s="35"/>
      <c r="J49" s="35"/>
    </row>
    <row r="50" customFormat="false" ht="15" hidden="false" customHeight="true" outlineLevel="0" collapsed="false">
      <c r="A50" s="9" t="n">
        <v>7</v>
      </c>
      <c r="B50" s="32" t="s">
        <v>60</v>
      </c>
      <c r="C50" s="18"/>
      <c r="D50" s="19"/>
      <c r="E50" s="18"/>
      <c r="F50" s="21" t="n">
        <f aca="false">IF(C50&gt;0,E50/C50*100,0)</f>
        <v>0</v>
      </c>
      <c r="G50" s="18"/>
      <c r="H50" s="33"/>
      <c r="I50" s="33"/>
      <c r="J50" s="33"/>
    </row>
    <row r="51" customFormat="false" ht="15" hidden="false" customHeight="true" outlineLevel="0" collapsed="false">
      <c r="A51" s="5" t="n">
        <v>8</v>
      </c>
      <c r="B51" s="34" t="s">
        <v>61</v>
      </c>
      <c r="C51" s="22"/>
      <c r="D51" s="23"/>
      <c r="E51" s="22"/>
      <c r="F51" s="25" t="n">
        <f aca="false">IF(C51&gt;0,E51/C51*100,0)</f>
        <v>0</v>
      </c>
      <c r="G51" s="22"/>
      <c r="H51" s="35"/>
      <c r="I51" s="35"/>
      <c r="J51" s="35"/>
    </row>
    <row r="52" customFormat="false" ht="15" hidden="false" customHeight="true" outlineLevel="0" collapsed="false">
      <c r="A52" s="9" t="n">
        <v>9</v>
      </c>
      <c r="B52" s="32" t="s">
        <v>62</v>
      </c>
      <c r="C52" s="18"/>
      <c r="D52" s="19"/>
      <c r="E52" s="18"/>
      <c r="F52" s="21" t="n">
        <f aca="false">IF(C52&gt;0,E52/C52*100,0)</f>
        <v>0</v>
      </c>
      <c r="G52" s="18"/>
      <c r="H52" s="33"/>
      <c r="I52" s="33"/>
      <c r="J52" s="33"/>
    </row>
    <row r="53" customFormat="false" ht="15" hidden="false" customHeight="true" outlineLevel="0" collapsed="false">
      <c r="A53" s="5" t="n">
        <v>10</v>
      </c>
      <c r="B53" s="34" t="s">
        <v>63</v>
      </c>
      <c r="C53" s="22"/>
      <c r="D53" s="23"/>
      <c r="E53" s="22"/>
      <c r="F53" s="25" t="n">
        <f aca="false">IF(C53&gt;0,E53/C53*100,0)</f>
        <v>0</v>
      </c>
      <c r="G53" s="22"/>
      <c r="H53" s="35"/>
      <c r="I53" s="35"/>
      <c r="J53" s="35"/>
    </row>
  </sheetData>
  <mergeCells count="9">
    <mergeCell ref="A1:J1"/>
    <mergeCell ref="A2:J2"/>
    <mergeCell ref="A35:J35"/>
    <mergeCell ref="A36:D36"/>
    <mergeCell ref="A37:D37"/>
    <mergeCell ref="A38:D38"/>
    <mergeCell ref="A39:D39"/>
    <mergeCell ref="A40:D40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8" min="4" style="1" width="18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36" t="s">
        <v>64</v>
      </c>
      <c r="B1" s="36"/>
      <c r="C1" s="36"/>
      <c r="D1" s="36"/>
      <c r="E1" s="36"/>
      <c r="F1" s="36"/>
      <c r="G1" s="36"/>
      <c r="H1" s="36"/>
      <c r="I1" s="36"/>
    </row>
    <row r="2" customFormat="false" ht="25.5" hidden="false" customHeight="true" outlineLevel="0" collapsed="false">
      <c r="A2" s="37" t="s">
        <v>65</v>
      </c>
      <c r="B2" s="37"/>
      <c r="C2" s="37"/>
      <c r="D2" s="37"/>
      <c r="E2" s="37"/>
      <c r="F2" s="37"/>
      <c r="G2" s="37"/>
      <c r="H2" s="37"/>
      <c r="I2" s="37"/>
    </row>
    <row r="3" customFormat="false" ht="23.25" hidden="false" customHeight="true" outlineLevel="0" collapsed="false">
      <c r="A3" s="38" t="s">
        <v>31</v>
      </c>
      <c r="B3" s="38" t="s">
        <v>32</v>
      </c>
      <c r="C3" s="38" t="s">
        <v>33</v>
      </c>
      <c r="D3" s="38" t="s">
        <v>34</v>
      </c>
      <c r="E3" s="38" t="s">
        <v>66</v>
      </c>
      <c r="F3" s="38" t="s">
        <v>67</v>
      </c>
      <c r="G3" s="38" t="s">
        <v>68</v>
      </c>
      <c r="H3" s="38" t="s">
        <v>69</v>
      </c>
      <c r="I3" s="38" t="s">
        <v>40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8"/>
      <c r="F4" s="21" t="n">
        <f aca="false">IF(D4&gt;0,E4/D4*100,0)</f>
        <v>0</v>
      </c>
      <c r="G4" s="19"/>
      <c r="H4" s="19"/>
      <c r="I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2"/>
      <c r="F5" s="25" t="n">
        <f aca="false">IF(D5&gt;0,E5/D5*100,0)</f>
        <v>0</v>
      </c>
      <c r="G5" s="23"/>
      <c r="H5" s="23"/>
      <c r="I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8"/>
      <c r="F6" s="21" t="n">
        <f aca="false">IF(D6&gt;0,E6/D6*100,0)</f>
        <v>0</v>
      </c>
      <c r="G6" s="19"/>
      <c r="H6" s="19"/>
      <c r="I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2"/>
      <c r="F7" s="25" t="n">
        <f aca="false">IF(D7&gt;0,E7/D7*100,0)</f>
        <v>0</v>
      </c>
      <c r="G7" s="23"/>
      <c r="H7" s="23"/>
      <c r="I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8"/>
      <c r="F8" s="21" t="n">
        <f aca="false">IF(D8&gt;0,E8/D8*100,0)</f>
        <v>0</v>
      </c>
      <c r="G8" s="19"/>
      <c r="H8" s="19"/>
      <c r="I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2"/>
      <c r="F9" s="25" t="n">
        <f aca="false">IF(D9&gt;0,E9/D9*100,0)</f>
        <v>0</v>
      </c>
      <c r="G9" s="23"/>
      <c r="H9" s="23"/>
      <c r="I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8"/>
      <c r="F10" s="21" t="n">
        <f aca="false">IF(D10&gt;0,E10/D10*100,0)</f>
        <v>0</v>
      </c>
      <c r="G10" s="19"/>
      <c r="H10" s="19"/>
      <c r="I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2"/>
      <c r="F11" s="25" t="n">
        <f aca="false">IF(D11&gt;0,E11/D11*100,0)</f>
        <v>0</v>
      </c>
      <c r="G11" s="23"/>
      <c r="H11" s="23"/>
      <c r="I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8"/>
      <c r="F12" s="21" t="n">
        <f aca="false">IF(D12&gt;0,E12/D12*100,0)</f>
        <v>0</v>
      </c>
      <c r="G12" s="19"/>
      <c r="H12" s="19"/>
      <c r="I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2"/>
      <c r="F13" s="25" t="n">
        <f aca="false">IF(D13&gt;0,E13/D13*100,0)</f>
        <v>0</v>
      </c>
      <c r="G13" s="23"/>
      <c r="H13" s="23"/>
      <c r="I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8"/>
      <c r="F14" s="21" t="n">
        <f aca="false">IF(D14&gt;0,E14/D14*100,0)</f>
        <v>0</v>
      </c>
      <c r="G14" s="19"/>
      <c r="H14" s="19"/>
      <c r="I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2"/>
      <c r="F15" s="25" t="n">
        <f aca="false">IF(D15&gt;0,E15/D15*100,0)</f>
        <v>0</v>
      </c>
      <c r="G15" s="23"/>
      <c r="H15" s="23"/>
      <c r="I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8"/>
      <c r="F16" s="21" t="n">
        <f aca="false">IF(D16&gt;0,E16/D16*100,0)</f>
        <v>0</v>
      </c>
      <c r="G16" s="19"/>
      <c r="H16" s="19"/>
      <c r="I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2"/>
      <c r="F17" s="25" t="n">
        <f aca="false">IF(D17&gt;0,E17/D17*100,0)</f>
        <v>0</v>
      </c>
      <c r="G17" s="23"/>
      <c r="H17" s="23"/>
      <c r="I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8"/>
      <c r="F18" s="21" t="n">
        <f aca="false">IF(D18&gt;0,E18/D18*100,0)</f>
        <v>0</v>
      </c>
      <c r="G18" s="19"/>
      <c r="H18" s="19"/>
      <c r="I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2"/>
      <c r="F19" s="25" t="n">
        <f aca="false">IF(D19&gt;0,E19/D19*100,0)</f>
        <v>0</v>
      </c>
      <c r="G19" s="23"/>
      <c r="H19" s="23"/>
      <c r="I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8"/>
      <c r="F20" s="21" t="n">
        <f aca="false">IF(D20&gt;0,E20/D20*100,0)</f>
        <v>0</v>
      </c>
      <c r="G20" s="19"/>
      <c r="H20" s="19"/>
      <c r="I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2"/>
      <c r="F21" s="25" t="n">
        <f aca="false">IF(D21&gt;0,E21/D21*100,0)</f>
        <v>0</v>
      </c>
      <c r="G21" s="23"/>
      <c r="H21" s="23"/>
      <c r="I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8"/>
      <c r="F22" s="21" t="n">
        <f aca="false">IF(D22&gt;0,E22/D22*100,0)</f>
        <v>0</v>
      </c>
      <c r="G22" s="19"/>
      <c r="H22" s="19"/>
      <c r="I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2"/>
      <c r="F23" s="25" t="n">
        <f aca="false">IF(D23&gt;0,E23/D23*100,0)</f>
        <v>0</v>
      </c>
      <c r="G23" s="23"/>
      <c r="H23" s="23"/>
      <c r="I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8"/>
      <c r="F24" s="21" t="n">
        <f aca="false">IF(D24&gt;0,E24/D24*100,0)</f>
        <v>0</v>
      </c>
      <c r="G24" s="19"/>
      <c r="H24" s="19"/>
      <c r="I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2"/>
      <c r="F25" s="25" t="n">
        <f aca="false">IF(D25&gt;0,E25/D25*100,0)</f>
        <v>0</v>
      </c>
      <c r="G25" s="23"/>
      <c r="H25" s="23"/>
      <c r="I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8"/>
      <c r="F26" s="21" t="n">
        <f aca="false">IF(D26&gt;0,E26/D26*100,0)</f>
        <v>0</v>
      </c>
      <c r="G26" s="19"/>
      <c r="H26" s="19"/>
      <c r="I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2"/>
      <c r="F27" s="25" t="n">
        <f aca="false">IF(D27&gt;0,E27/D27*100,0)</f>
        <v>0</v>
      </c>
      <c r="G27" s="23"/>
      <c r="H27" s="23"/>
      <c r="I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8"/>
      <c r="F28" s="21" t="n">
        <f aca="false">IF(D28&gt;0,E28/D28*100,0)</f>
        <v>0</v>
      </c>
      <c r="G28" s="19"/>
      <c r="H28" s="19"/>
      <c r="I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2"/>
      <c r="F29" s="25" t="n">
        <f aca="false">IF(D29&gt;0,E29/D29*100,0)</f>
        <v>0</v>
      </c>
      <c r="G29" s="23"/>
      <c r="H29" s="23"/>
      <c r="I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8"/>
      <c r="F30" s="21" t="n">
        <f aca="false">IF(D30&gt;0,E30/D30*100,0)</f>
        <v>0</v>
      </c>
      <c r="G30" s="19"/>
      <c r="H30" s="19"/>
      <c r="I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2"/>
      <c r="F31" s="25" t="n">
        <f aca="false">IF(D31&gt;0,E31/D31*100,0)</f>
        <v>0</v>
      </c>
      <c r="G31" s="23"/>
      <c r="H31" s="23"/>
      <c r="I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8"/>
      <c r="F32" s="21" t="n">
        <f aca="false">IF(D32&gt;0,E32/D32*100,0)</f>
        <v>0</v>
      </c>
      <c r="G32" s="19"/>
      <c r="H32" s="19"/>
      <c r="I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2"/>
      <c r="F33" s="25" t="n">
        <f aca="false">IF(D33&gt;0,E33/D33*100,0)</f>
        <v>0</v>
      </c>
      <c r="G33" s="23"/>
      <c r="H33" s="23"/>
      <c r="I33" s="2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8" min="4" style="1" width="18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39" t="s">
        <v>70</v>
      </c>
      <c r="B1" s="39"/>
      <c r="C1" s="39"/>
      <c r="D1" s="39"/>
      <c r="E1" s="39"/>
      <c r="F1" s="39"/>
      <c r="G1" s="39"/>
      <c r="H1" s="39"/>
      <c r="I1" s="39"/>
    </row>
    <row r="2" customFormat="false" ht="25.5" hidden="false" customHeight="true" outlineLevel="0" collapsed="false">
      <c r="A2" s="40" t="s">
        <v>71</v>
      </c>
      <c r="B2" s="40"/>
      <c r="C2" s="40"/>
      <c r="D2" s="40"/>
      <c r="E2" s="40"/>
      <c r="F2" s="40"/>
      <c r="G2" s="40"/>
      <c r="H2" s="40"/>
      <c r="I2" s="40"/>
    </row>
    <row r="3" customFormat="false" ht="23.25" hidden="false" customHeight="true" outlineLevel="0" collapsed="false">
      <c r="A3" s="41" t="s">
        <v>31</v>
      </c>
      <c r="B3" s="41" t="s">
        <v>32</v>
      </c>
      <c r="C3" s="41" t="s">
        <v>33</v>
      </c>
      <c r="D3" s="41" t="s">
        <v>34</v>
      </c>
      <c r="E3" s="41" t="s">
        <v>72</v>
      </c>
      <c r="F3" s="41" t="s">
        <v>73</v>
      </c>
      <c r="G3" s="41" t="s">
        <v>74</v>
      </c>
      <c r="H3" s="41" t="s">
        <v>75</v>
      </c>
      <c r="I3" s="41" t="s">
        <v>40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8"/>
      <c r="F4" s="20" t="n">
        <f aca="false">IF(D4&gt;0,E4/D4*100,0)</f>
        <v>0</v>
      </c>
      <c r="G4" s="18"/>
      <c r="H4" s="18"/>
      <c r="I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2"/>
      <c r="F5" s="24" t="n">
        <f aca="false">IF(D5&gt;0,E5/D5*100,0)</f>
        <v>0</v>
      </c>
      <c r="G5" s="22"/>
      <c r="H5" s="22"/>
      <c r="I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8"/>
      <c r="F6" s="20" t="n">
        <f aca="false">IF(D6&gt;0,E6/D6*100,0)</f>
        <v>0</v>
      </c>
      <c r="G6" s="18"/>
      <c r="H6" s="18"/>
      <c r="I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2"/>
      <c r="F7" s="24" t="n">
        <f aca="false">IF(D7&gt;0,E7/D7*100,0)</f>
        <v>0</v>
      </c>
      <c r="G7" s="22"/>
      <c r="H7" s="22"/>
      <c r="I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8"/>
      <c r="F8" s="20" t="n">
        <f aca="false">IF(D8&gt;0,E8/D8*100,0)</f>
        <v>0</v>
      </c>
      <c r="G8" s="18"/>
      <c r="H8" s="18"/>
      <c r="I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2"/>
      <c r="F9" s="24" t="n">
        <f aca="false">IF(D9&gt;0,E9/D9*100,0)</f>
        <v>0</v>
      </c>
      <c r="G9" s="22"/>
      <c r="H9" s="22"/>
      <c r="I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8"/>
      <c r="F10" s="20" t="n">
        <f aca="false">IF(D10&gt;0,E10/D10*100,0)</f>
        <v>0</v>
      </c>
      <c r="G10" s="18"/>
      <c r="H10" s="18"/>
      <c r="I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2"/>
      <c r="F11" s="24" t="n">
        <f aca="false">IF(D11&gt;0,E11/D11*100,0)</f>
        <v>0</v>
      </c>
      <c r="G11" s="22"/>
      <c r="H11" s="22"/>
      <c r="I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8"/>
      <c r="F12" s="20" t="n">
        <f aca="false">IF(D12&gt;0,E12/D12*100,0)</f>
        <v>0</v>
      </c>
      <c r="G12" s="18"/>
      <c r="H12" s="18"/>
      <c r="I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2"/>
      <c r="F13" s="24" t="n">
        <f aca="false">IF(D13&gt;0,E13/D13*100,0)</f>
        <v>0</v>
      </c>
      <c r="G13" s="22"/>
      <c r="H13" s="22"/>
      <c r="I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8"/>
      <c r="F14" s="20" t="n">
        <f aca="false">IF(D14&gt;0,E14/D14*100,0)</f>
        <v>0</v>
      </c>
      <c r="G14" s="18"/>
      <c r="H14" s="18"/>
      <c r="I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2"/>
      <c r="F15" s="24" t="n">
        <f aca="false">IF(D15&gt;0,E15/D15*100,0)</f>
        <v>0</v>
      </c>
      <c r="G15" s="22"/>
      <c r="H15" s="22"/>
      <c r="I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8"/>
      <c r="F16" s="20" t="n">
        <f aca="false">IF(D16&gt;0,E16/D16*100,0)</f>
        <v>0</v>
      </c>
      <c r="G16" s="18"/>
      <c r="H16" s="18"/>
      <c r="I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2"/>
      <c r="F17" s="24" t="n">
        <f aca="false">IF(D17&gt;0,E17/D17*100,0)</f>
        <v>0</v>
      </c>
      <c r="G17" s="22"/>
      <c r="H17" s="22"/>
      <c r="I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8"/>
      <c r="F18" s="20" t="n">
        <f aca="false">IF(D18&gt;0,E18/D18*100,0)</f>
        <v>0</v>
      </c>
      <c r="G18" s="18"/>
      <c r="H18" s="18"/>
      <c r="I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2"/>
      <c r="F19" s="24" t="n">
        <f aca="false">IF(D19&gt;0,E19/D19*100,0)</f>
        <v>0</v>
      </c>
      <c r="G19" s="22"/>
      <c r="H19" s="22"/>
      <c r="I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8"/>
      <c r="F20" s="20" t="n">
        <f aca="false">IF(D20&gt;0,E20/D20*100,0)</f>
        <v>0</v>
      </c>
      <c r="G20" s="18"/>
      <c r="H20" s="18"/>
      <c r="I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2"/>
      <c r="F21" s="24" t="n">
        <f aca="false">IF(D21&gt;0,E21/D21*100,0)</f>
        <v>0</v>
      </c>
      <c r="G21" s="22"/>
      <c r="H21" s="22"/>
      <c r="I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8"/>
      <c r="F22" s="20" t="n">
        <f aca="false">IF(D22&gt;0,E22/D22*100,0)</f>
        <v>0</v>
      </c>
      <c r="G22" s="18"/>
      <c r="H22" s="18"/>
      <c r="I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2"/>
      <c r="F23" s="24" t="n">
        <f aca="false">IF(D23&gt;0,E23/D23*100,0)</f>
        <v>0</v>
      </c>
      <c r="G23" s="22"/>
      <c r="H23" s="22"/>
      <c r="I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8"/>
      <c r="F24" s="20" t="n">
        <f aca="false">IF(D24&gt;0,E24/D24*100,0)</f>
        <v>0</v>
      </c>
      <c r="G24" s="18"/>
      <c r="H24" s="18"/>
      <c r="I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2"/>
      <c r="F25" s="24" t="n">
        <f aca="false">IF(D25&gt;0,E25/D25*100,0)</f>
        <v>0</v>
      </c>
      <c r="G25" s="22"/>
      <c r="H25" s="22"/>
      <c r="I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8"/>
      <c r="F26" s="20" t="n">
        <f aca="false">IF(D26&gt;0,E26/D26*100,0)</f>
        <v>0</v>
      </c>
      <c r="G26" s="18"/>
      <c r="H26" s="18"/>
      <c r="I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2"/>
      <c r="F27" s="24" t="n">
        <f aca="false">IF(D27&gt;0,E27/D27*100,0)</f>
        <v>0</v>
      </c>
      <c r="G27" s="22"/>
      <c r="H27" s="22"/>
      <c r="I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8"/>
      <c r="F28" s="20" t="n">
        <f aca="false">IF(D28&gt;0,E28/D28*100,0)</f>
        <v>0</v>
      </c>
      <c r="G28" s="18"/>
      <c r="H28" s="18"/>
      <c r="I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2"/>
      <c r="F29" s="24" t="n">
        <f aca="false">IF(D29&gt;0,E29/D29*100,0)</f>
        <v>0</v>
      </c>
      <c r="G29" s="22"/>
      <c r="H29" s="22"/>
      <c r="I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8"/>
      <c r="F30" s="20" t="n">
        <f aca="false">IF(D30&gt;0,E30/D30*100,0)</f>
        <v>0</v>
      </c>
      <c r="G30" s="18"/>
      <c r="H30" s="18"/>
      <c r="I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2"/>
      <c r="F31" s="24" t="n">
        <f aca="false">IF(D31&gt;0,E31/D31*100,0)</f>
        <v>0</v>
      </c>
      <c r="G31" s="22"/>
      <c r="H31" s="22"/>
      <c r="I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8"/>
      <c r="F32" s="20" t="n">
        <f aca="false">IF(D32&gt;0,E32/D32*100,0)</f>
        <v>0</v>
      </c>
      <c r="G32" s="18"/>
      <c r="H32" s="18"/>
      <c r="I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2"/>
      <c r="F33" s="24" t="n">
        <f aca="false">IF(D33&gt;0,E33/D33*100,0)</f>
        <v>0</v>
      </c>
      <c r="G33" s="22"/>
      <c r="H33" s="22"/>
      <c r="I33" s="2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9" min="4" style="1" width="18"/>
    <col collapsed="false" customWidth="true" hidden="false" outlineLevel="0" max="10" min="10" style="1" width="14"/>
  </cols>
  <sheetData>
    <row r="1" customFormat="false" ht="33.75" hidden="false" customHeight="true" outlineLevel="0" collapsed="false">
      <c r="A1" s="42" t="s">
        <v>76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25.5" hidden="false" customHeight="true" outlineLevel="0" collapsed="false">
      <c r="A2" s="43" t="s">
        <v>77</v>
      </c>
      <c r="B2" s="43"/>
      <c r="C2" s="43"/>
      <c r="D2" s="43"/>
      <c r="E2" s="43"/>
      <c r="F2" s="43"/>
      <c r="G2" s="43"/>
      <c r="H2" s="43"/>
      <c r="I2" s="43"/>
      <c r="J2" s="43"/>
    </row>
    <row r="3" customFormat="false" ht="23.25" hidden="false" customHeight="true" outlineLevel="0" collapsed="false">
      <c r="A3" s="44" t="s">
        <v>31</v>
      </c>
      <c r="B3" s="44" t="s">
        <v>32</v>
      </c>
      <c r="C3" s="44" t="s">
        <v>33</v>
      </c>
      <c r="D3" s="44" t="s">
        <v>34</v>
      </c>
      <c r="E3" s="44" t="s">
        <v>78</v>
      </c>
      <c r="F3" s="44" t="s">
        <v>79</v>
      </c>
      <c r="G3" s="44" t="s">
        <v>80</v>
      </c>
      <c r="H3" s="44" t="s">
        <v>81</v>
      </c>
      <c r="I3" s="44" t="s">
        <v>82</v>
      </c>
      <c r="J3" s="44" t="s">
        <v>40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8"/>
      <c r="F4" s="21" t="n">
        <f aca="false">IF(D4&gt;0,E4/D4,0)</f>
        <v>0</v>
      </c>
      <c r="G4" s="18"/>
      <c r="H4" s="20" t="n">
        <f aca="false">IF(G4&gt;0,E4/G4,0)</f>
        <v>0</v>
      </c>
      <c r="I4" s="45"/>
      <c r="J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2"/>
      <c r="F5" s="25" t="n">
        <f aca="false">IF(D5&gt;0,E5/D5,0)</f>
        <v>0</v>
      </c>
      <c r="G5" s="22"/>
      <c r="H5" s="24" t="n">
        <f aca="false">IF(G5&gt;0,E5/G5,0)</f>
        <v>0</v>
      </c>
      <c r="I5" s="46"/>
      <c r="J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8"/>
      <c r="F6" s="21" t="n">
        <f aca="false">IF(D6&gt;0,E6/D6,0)</f>
        <v>0</v>
      </c>
      <c r="G6" s="18"/>
      <c r="H6" s="20" t="n">
        <f aca="false">IF(G6&gt;0,E6/G6,0)</f>
        <v>0</v>
      </c>
      <c r="I6" s="45"/>
      <c r="J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2"/>
      <c r="F7" s="25" t="n">
        <f aca="false">IF(D7&gt;0,E7/D7,0)</f>
        <v>0</v>
      </c>
      <c r="G7" s="22"/>
      <c r="H7" s="24" t="n">
        <f aca="false">IF(G7&gt;0,E7/G7,0)</f>
        <v>0</v>
      </c>
      <c r="I7" s="46"/>
      <c r="J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8"/>
      <c r="F8" s="21" t="n">
        <f aca="false">IF(D8&gt;0,E8/D8,0)</f>
        <v>0</v>
      </c>
      <c r="G8" s="18"/>
      <c r="H8" s="20" t="n">
        <f aca="false">IF(G8&gt;0,E8/G8,0)</f>
        <v>0</v>
      </c>
      <c r="I8" s="45"/>
      <c r="J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2"/>
      <c r="F9" s="25" t="n">
        <f aca="false">IF(D9&gt;0,E9/D9,0)</f>
        <v>0</v>
      </c>
      <c r="G9" s="22"/>
      <c r="H9" s="24" t="n">
        <f aca="false">IF(G9&gt;0,E9/G9,0)</f>
        <v>0</v>
      </c>
      <c r="I9" s="46"/>
      <c r="J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8"/>
      <c r="F10" s="21" t="n">
        <f aca="false">IF(D10&gt;0,E10/D10,0)</f>
        <v>0</v>
      </c>
      <c r="G10" s="18"/>
      <c r="H10" s="20" t="n">
        <f aca="false">IF(G10&gt;0,E10/G10,0)</f>
        <v>0</v>
      </c>
      <c r="I10" s="45"/>
      <c r="J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2"/>
      <c r="F11" s="25" t="n">
        <f aca="false">IF(D11&gt;0,E11/D11,0)</f>
        <v>0</v>
      </c>
      <c r="G11" s="22"/>
      <c r="H11" s="24" t="n">
        <f aca="false">IF(G11&gt;0,E11/G11,0)</f>
        <v>0</v>
      </c>
      <c r="I11" s="46"/>
      <c r="J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8"/>
      <c r="F12" s="21" t="n">
        <f aca="false">IF(D12&gt;0,E12/D12,0)</f>
        <v>0</v>
      </c>
      <c r="G12" s="18"/>
      <c r="H12" s="20" t="n">
        <f aca="false">IF(G12&gt;0,E12/G12,0)</f>
        <v>0</v>
      </c>
      <c r="I12" s="45"/>
      <c r="J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2"/>
      <c r="F13" s="25" t="n">
        <f aca="false">IF(D13&gt;0,E13/D13,0)</f>
        <v>0</v>
      </c>
      <c r="G13" s="22"/>
      <c r="H13" s="24" t="n">
        <f aca="false">IF(G13&gt;0,E13/G13,0)</f>
        <v>0</v>
      </c>
      <c r="I13" s="46"/>
      <c r="J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8"/>
      <c r="F14" s="21" t="n">
        <f aca="false">IF(D14&gt;0,E14/D14,0)</f>
        <v>0</v>
      </c>
      <c r="G14" s="18"/>
      <c r="H14" s="20" t="n">
        <f aca="false">IF(G14&gt;0,E14/G14,0)</f>
        <v>0</v>
      </c>
      <c r="I14" s="45"/>
      <c r="J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2"/>
      <c r="F15" s="25" t="n">
        <f aca="false">IF(D15&gt;0,E15/D15,0)</f>
        <v>0</v>
      </c>
      <c r="G15" s="22"/>
      <c r="H15" s="24" t="n">
        <f aca="false">IF(G15&gt;0,E15/G15,0)</f>
        <v>0</v>
      </c>
      <c r="I15" s="46"/>
      <c r="J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8"/>
      <c r="F16" s="21" t="n">
        <f aca="false">IF(D16&gt;0,E16/D16,0)</f>
        <v>0</v>
      </c>
      <c r="G16" s="18"/>
      <c r="H16" s="20" t="n">
        <f aca="false">IF(G16&gt;0,E16/G16,0)</f>
        <v>0</v>
      </c>
      <c r="I16" s="45"/>
      <c r="J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2"/>
      <c r="F17" s="25" t="n">
        <f aca="false">IF(D17&gt;0,E17/D17,0)</f>
        <v>0</v>
      </c>
      <c r="G17" s="22"/>
      <c r="H17" s="24" t="n">
        <f aca="false">IF(G17&gt;0,E17/G17,0)</f>
        <v>0</v>
      </c>
      <c r="I17" s="46"/>
      <c r="J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8"/>
      <c r="F18" s="21" t="n">
        <f aca="false">IF(D18&gt;0,E18/D18,0)</f>
        <v>0</v>
      </c>
      <c r="G18" s="18"/>
      <c r="H18" s="20" t="n">
        <f aca="false">IF(G18&gt;0,E18/G18,0)</f>
        <v>0</v>
      </c>
      <c r="I18" s="45"/>
      <c r="J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2"/>
      <c r="F19" s="25" t="n">
        <f aca="false">IF(D19&gt;0,E19/D19,0)</f>
        <v>0</v>
      </c>
      <c r="G19" s="22"/>
      <c r="H19" s="24" t="n">
        <f aca="false">IF(G19&gt;0,E19/G19,0)</f>
        <v>0</v>
      </c>
      <c r="I19" s="46"/>
      <c r="J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8"/>
      <c r="F20" s="21" t="n">
        <f aca="false">IF(D20&gt;0,E20/D20,0)</f>
        <v>0</v>
      </c>
      <c r="G20" s="18"/>
      <c r="H20" s="20" t="n">
        <f aca="false">IF(G20&gt;0,E20/G20,0)</f>
        <v>0</v>
      </c>
      <c r="I20" s="45"/>
      <c r="J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2"/>
      <c r="F21" s="25" t="n">
        <f aca="false">IF(D21&gt;0,E21/D21,0)</f>
        <v>0</v>
      </c>
      <c r="G21" s="22"/>
      <c r="H21" s="24" t="n">
        <f aca="false">IF(G21&gt;0,E21/G21,0)</f>
        <v>0</v>
      </c>
      <c r="I21" s="46"/>
      <c r="J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8"/>
      <c r="F22" s="21" t="n">
        <f aca="false">IF(D22&gt;0,E22/D22,0)</f>
        <v>0</v>
      </c>
      <c r="G22" s="18"/>
      <c r="H22" s="20" t="n">
        <f aca="false">IF(G22&gt;0,E22/G22,0)</f>
        <v>0</v>
      </c>
      <c r="I22" s="45"/>
      <c r="J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2"/>
      <c r="F23" s="25" t="n">
        <f aca="false">IF(D23&gt;0,E23/D23,0)</f>
        <v>0</v>
      </c>
      <c r="G23" s="22"/>
      <c r="H23" s="24" t="n">
        <f aca="false">IF(G23&gt;0,E23/G23,0)</f>
        <v>0</v>
      </c>
      <c r="I23" s="46"/>
      <c r="J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8"/>
      <c r="F24" s="21" t="n">
        <f aca="false">IF(D24&gt;0,E24/D24,0)</f>
        <v>0</v>
      </c>
      <c r="G24" s="18"/>
      <c r="H24" s="20" t="n">
        <f aca="false">IF(G24&gt;0,E24/G24,0)</f>
        <v>0</v>
      </c>
      <c r="I24" s="45"/>
      <c r="J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2"/>
      <c r="F25" s="25" t="n">
        <f aca="false">IF(D25&gt;0,E25/D25,0)</f>
        <v>0</v>
      </c>
      <c r="G25" s="22"/>
      <c r="H25" s="24" t="n">
        <f aca="false">IF(G25&gt;0,E25/G25,0)</f>
        <v>0</v>
      </c>
      <c r="I25" s="46"/>
      <c r="J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8"/>
      <c r="F26" s="21" t="n">
        <f aca="false">IF(D26&gt;0,E26/D26,0)</f>
        <v>0</v>
      </c>
      <c r="G26" s="18"/>
      <c r="H26" s="20" t="n">
        <f aca="false">IF(G26&gt;0,E26/G26,0)</f>
        <v>0</v>
      </c>
      <c r="I26" s="45"/>
      <c r="J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2"/>
      <c r="F27" s="25" t="n">
        <f aca="false">IF(D27&gt;0,E27/D27,0)</f>
        <v>0</v>
      </c>
      <c r="G27" s="22"/>
      <c r="H27" s="24" t="n">
        <f aca="false">IF(G27&gt;0,E27/G27,0)</f>
        <v>0</v>
      </c>
      <c r="I27" s="46"/>
      <c r="J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8"/>
      <c r="F28" s="21" t="n">
        <f aca="false">IF(D28&gt;0,E28/D28,0)</f>
        <v>0</v>
      </c>
      <c r="G28" s="18"/>
      <c r="H28" s="20" t="n">
        <f aca="false">IF(G28&gt;0,E28/G28,0)</f>
        <v>0</v>
      </c>
      <c r="I28" s="45"/>
      <c r="J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2"/>
      <c r="F29" s="25" t="n">
        <f aca="false">IF(D29&gt;0,E29/D29,0)</f>
        <v>0</v>
      </c>
      <c r="G29" s="22"/>
      <c r="H29" s="24" t="n">
        <f aca="false">IF(G29&gt;0,E29/G29,0)</f>
        <v>0</v>
      </c>
      <c r="I29" s="46"/>
      <c r="J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8"/>
      <c r="F30" s="21" t="n">
        <f aca="false">IF(D30&gt;0,E30/D30,0)</f>
        <v>0</v>
      </c>
      <c r="G30" s="18"/>
      <c r="H30" s="20" t="n">
        <f aca="false">IF(G30&gt;0,E30/G30,0)</f>
        <v>0</v>
      </c>
      <c r="I30" s="45"/>
      <c r="J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2"/>
      <c r="F31" s="25" t="n">
        <f aca="false">IF(D31&gt;0,E31/D31,0)</f>
        <v>0</v>
      </c>
      <c r="G31" s="22"/>
      <c r="H31" s="24" t="n">
        <f aca="false">IF(G31&gt;0,E31/G31,0)</f>
        <v>0</v>
      </c>
      <c r="I31" s="46"/>
      <c r="J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8"/>
      <c r="F32" s="21" t="n">
        <f aca="false">IF(D32&gt;0,E32/D32,0)</f>
        <v>0</v>
      </c>
      <c r="G32" s="18"/>
      <c r="H32" s="20" t="n">
        <f aca="false">IF(G32&gt;0,E32/G32,0)</f>
        <v>0</v>
      </c>
      <c r="I32" s="45"/>
      <c r="J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2"/>
      <c r="F33" s="25" t="n">
        <f aca="false">IF(D33&gt;0,E33/D33,0)</f>
        <v>0</v>
      </c>
      <c r="G33" s="22"/>
      <c r="H33" s="24" t="n">
        <f aca="false">IF(G33&gt;0,E33/G33,0)</f>
        <v>0</v>
      </c>
      <c r="I33" s="46"/>
      <c r="J33" s="22"/>
    </row>
    <row r="35" customFormat="false" ht="25.5" hidden="false" customHeight="true" outlineLevel="0" collapsed="false">
      <c r="A35" s="47" t="s">
        <v>83</v>
      </c>
      <c r="B35" s="47"/>
      <c r="C35" s="47"/>
      <c r="D35" s="47"/>
      <c r="E35" s="47"/>
      <c r="F35" s="47"/>
      <c r="G35" s="47"/>
      <c r="H35" s="47"/>
      <c r="I35" s="47"/>
      <c r="J35" s="47"/>
    </row>
    <row r="36" customFormat="false" ht="15" hidden="false" customHeight="true" outlineLevel="0" collapsed="false">
      <c r="A36" s="48" t="s">
        <v>31</v>
      </c>
      <c r="B36" s="48" t="s">
        <v>32</v>
      </c>
      <c r="C36" s="48" t="s">
        <v>33</v>
      </c>
      <c r="D36" s="48" t="s">
        <v>84</v>
      </c>
      <c r="E36" s="48" t="s">
        <v>85</v>
      </c>
      <c r="F36" s="48" t="s">
        <v>86</v>
      </c>
      <c r="G36" s="48" t="s">
        <v>87</v>
      </c>
      <c r="H36" s="48" t="s">
        <v>88</v>
      </c>
      <c r="I36" s="48" t="s">
        <v>89</v>
      </c>
      <c r="J36" s="48" t="s">
        <v>90</v>
      </c>
    </row>
    <row r="37" customFormat="false" ht="15" hidden="false" customHeight="true" outlineLevel="0" collapsed="false">
      <c r="A37" s="5" t="n">
        <v>1</v>
      </c>
      <c r="B37" s="22"/>
      <c r="C37" s="22"/>
      <c r="D37" s="22"/>
      <c r="E37" s="22"/>
      <c r="F37" s="22"/>
      <c r="G37" s="22"/>
      <c r="H37" s="22"/>
      <c r="I37" s="49" t="n">
        <f aca="false">IFERROR(IF(AND(D37&gt;0,H37&gt;0),(H37/D37)^(1/4)-1,0)*100,0)</f>
        <v>0</v>
      </c>
      <c r="J37" s="8" t="str">
        <f aca="false">IF(I37&gt;=15,"Strong Growth",IF(I37&gt;=5,"Moderate",IF(I37&gt;=0,"Stable","Declining")))</f>
        <v>Stable</v>
      </c>
    </row>
    <row r="38" customFormat="false" ht="15" hidden="false" customHeight="true" outlineLevel="0" collapsed="false">
      <c r="A38" s="9" t="n">
        <v>2</v>
      </c>
      <c r="B38" s="18"/>
      <c r="C38" s="18"/>
      <c r="D38" s="18"/>
      <c r="E38" s="18"/>
      <c r="F38" s="18"/>
      <c r="G38" s="18"/>
      <c r="H38" s="18"/>
      <c r="I38" s="50" t="n">
        <f aca="false">IFERROR(IF(AND(D38&gt;0,H38&gt;0),(H38/D38)^(1/4)-1,0)*100,0)</f>
        <v>0</v>
      </c>
      <c r="J38" s="12" t="str">
        <f aca="false">IF(I38&gt;=15,"Strong Growth",IF(I38&gt;=5,"Moderate",IF(I38&gt;=0,"Stable","Declining")))</f>
        <v>Stable</v>
      </c>
    </row>
    <row r="39" customFormat="false" ht="15" hidden="false" customHeight="true" outlineLevel="0" collapsed="false">
      <c r="A39" s="5" t="n">
        <v>3</v>
      </c>
      <c r="B39" s="22"/>
      <c r="C39" s="22"/>
      <c r="D39" s="22"/>
      <c r="E39" s="22"/>
      <c r="F39" s="22"/>
      <c r="G39" s="22"/>
      <c r="H39" s="22"/>
      <c r="I39" s="49" t="n">
        <f aca="false">IFERROR(IF(AND(D39&gt;0,H39&gt;0),(H39/D39)^(1/4)-1,0)*100,0)</f>
        <v>0</v>
      </c>
      <c r="J39" s="8" t="str">
        <f aca="false">IF(I39&gt;=15,"Strong Growth",IF(I39&gt;=5,"Moderate",IF(I39&gt;=0,"Stable","Declining")))</f>
        <v>Stable</v>
      </c>
    </row>
    <row r="40" customFormat="false" ht="15" hidden="false" customHeight="true" outlineLevel="0" collapsed="false">
      <c r="A40" s="9" t="n">
        <v>4</v>
      </c>
      <c r="B40" s="18"/>
      <c r="C40" s="18"/>
      <c r="D40" s="18"/>
      <c r="E40" s="18"/>
      <c r="F40" s="18"/>
      <c r="G40" s="18"/>
      <c r="H40" s="18"/>
      <c r="I40" s="50" t="n">
        <f aca="false">IFERROR(IF(AND(D40&gt;0,H40&gt;0),(H40/D40)^(1/4)-1,0)*100,0)</f>
        <v>0</v>
      </c>
      <c r="J40" s="12" t="str">
        <f aca="false">IF(I40&gt;=15,"Strong Growth",IF(I40&gt;=5,"Moderate",IF(I40&gt;=0,"Stable","Declining")))</f>
        <v>Stable</v>
      </c>
    </row>
    <row r="41" customFormat="false" ht="15" hidden="false" customHeight="true" outlineLevel="0" collapsed="false">
      <c r="A41" s="5" t="n">
        <v>5</v>
      </c>
      <c r="B41" s="22"/>
      <c r="C41" s="22"/>
      <c r="D41" s="22"/>
      <c r="E41" s="22"/>
      <c r="F41" s="22"/>
      <c r="G41" s="22"/>
      <c r="H41" s="22"/>
      <c r="I41" s="49" t="n">
        <f aca="false">IFERROR(IF(AND(D41&gt;0,H41&gt;0),(H41/D41)^(1/4)-1,0)*100,0)</f>
        <v>0</v>
      </c>
      <c r="J41" s="8" t="str">
        <f aca="false">IF(I41&gt;=15,"Strong Growth",IF(I41&gt;=5,"Moderate",IF(I41&gt;=0,"Stable","Declining")))</f>
        <v>Stable</v>
      </c>
    </row>
    <row r="42" customFormat="false" ht="15" hidden="false" customHeight="true" outlineLevel="0" collapsed="false">
      <c r="A42" s="9" t="n">
        <v>6</v>
      </c>
      <c r="B42" s="18"/>
      <c r="C42" s="18"/>
      <c r="D42" s="18"/>
      <c r="E42" s="18"/>
      <c r="F42" s="18"/>
      <c r="G42" s="18"/>
      <c r="H42" s="18"/>
      <c r="I42" s="50" t="n">
        <f aca="false">IFERROR(IF(AND(D42&gt;0,H42&gt;0),(H42/D42)^(1/4)-1,0)*100,0)</f>
        <v>0</v>
      </c>
      <c r="J42" s="12" t="str">
        <f aca="false">IF(I42&gt;=15,"Strong Growth",IF(I42&gt;=5,"Moderate",IF(I42&gt;=0,"Stable","Declining")))</f>
        <v>Stable</v>
      </c>
    </row>
    <row r="43" customFormat="false" ht="15" hidden="false" customHeight="true" outlineLevel="0" collapsed="false">
      <c r="A43" s="5" t="n">
        <v>7</v>
      </c>
      <c r="B43" s="22"/>
      <c r="C43" s="22"/>
      <c r="D43" s="22"/>
      <c r="E43" s="22"/>
      <c r="F43" s="22"/>
      <c r="G43" s="22"/>
      <c r="H43" s="22"/>
      <c r="I43" s="49" t="n">
        <f aca="false">IFERROR(IF(AND(D43&gt;0,H43&gt;0),(H43/D43)^(1/4)-1,0)*100,0)</f>
        <v>0</v>
      </c>
      <c r="J43" s="8" t="str">
        <f aca="false">IF(I43&gt;=15,"Strong Growth",IF(I43&gt;=5,"Moderate",IF(I43&gt;=0,"Stable","Declining")))</f>
        <v>Stable</v>
      </c>
    </row>
    <row r="44" customFormat="false" ht="15" hidden="false" customHeight="true" outlineLevel="0" collapsed="false">
      <c r="A44" s="9" t="n">
        <v>8</v>
      </c>
      <c r="B44" s="18"/>
      <c r="C44" s="18"/>
      <c r="D44" s="18"/>
      <c r="E44" s="18"/>
      <c r="F44" s="18"/>
      <c r="G44" s="18"/>
      <c r="H44" s="18"/>
      <c r="I44" s="50" t="n">
        <f aca="false">IFERROR(IF(AND(D44&gt;0,H44&gt;0),(H44/D44)^(1/4)-1,0)*100,0)</f>
        <v>0</v>
      </c>
      <c r="J44" s="12" t="str">
        <f aca="false">IF(I44&gt;=15,"Strong Growth",IF(I44&gt;=5,"Moderate",IF(I44&gt;=0,"Stable","Declining")))</f>
        <v>Stable</v>
      </c>
    </row>
    <row r="45" customFormat="false" ht="15" hidden="false" customHeight="true" outlineLevel="0" collapsed="false">
      <c r="A45" s="5" t="n">
        <v>9</v>
      </c>
      <c r="B45" s="22"/>
      <c r="C45" s="22"/>
      <c r="D45" s="22"/>
      <c r="E45" s="22"/>
      <c r="F45" s="22"/>
      <c r="G45" s="22"/>
      <c r="H45" s="22"/>
      <c r="I45" s="49" t="n">
        <f aca="false">IFERROR(IF(AND(D45&gt;0,H45&gt;0),(H45/D45)^(1/4)-1,0)*100,0)</f>
        <v>0</v>
      </c>
      <c r="J45" s="8" t="str">
        <f aca="false">IF(I45&gt;=15,"Strong Growth",IF(I45&gt;=5,"Moderate",IF(I45&gt;=0,"Stable","Declining")))</f>
        <v>Stable</v>
      </c>
    </row>
    <row r="46" customFormat="false" ht="15" hidden="false" customHeight="true" outlineLevel="0" collapsed="false">
      <c r="A46" s="9" t="n">
        <v>10</v>
      </c>
      <c r="B46" s="18"/>
      <c r="C46" s="18"/>
      <c r="D46" s="18"/>
      <c r="E46" s="18"/>
      <c r="F46" s="18"/>
      <c r="G46" s="18"/>
      <c r="H46" s="18"/>
      <c r="I46" s="50" t="n">
        <f aca="false">IFERROR(IF(AND(D46&gt;0,H46&gt;0),(H46/D46)^(1/4)-1,0)*100,0)</f>
        <v>0</v>
      </c>
      <c r="J46" s="12" t="str">
        <f aca="false">IF(I46&gt;=15,"Strong Growth",IF(I46&gt;=5,"Moderate",IF(I46&gt;=0,"Stable","Declining")))</f>
        <v>Stable</v>
      </c>
    </row>
    <row r="47" customFormat="false" ht="15" hidden="false" customHeight="true" outlineLevel="0" collapsed="false">
      <c r="A47" s="5" t="n">
        <v>11</v>
      </c>
      <c r="B47" s="22"/>
      <c r="C47" s="22"/>
      <c r="D47" s="22"/>
      <c r="E47" s="22"/>
      <c r="F47" s="22"/>
      <c r="G47" s="22"/>
      <c r="H47" s="22"/>
      <c r="I47" s="49" t="n">
        <f aca="false">IFERROR(IF(AND(D47&gt;0,H47&gt;0),(H47/D47)^(1/4)-1,0)*100,0)</f>
        <v>0</v>
      </c>
      <c r="J47" s="8" t="str">
        <f aca="false">IF(I47&gt;=15,"Strong Growth",IF(I47&gt;=5,"Moderate",IF(I47&gt;=0,"Stable","Declining")))</f>
        <v>Stable</v>
      </c>
    </row>
    <row r="48" customFormat="false" ht="15" hidden="false" customHeight="true" outlineLevel="0" collapsed="false">
      <c r="A48" s="9" t="n">
        <v>12</v>
      </c>
      <c r="B48" s="18"/>
      <c r="C48" s="18"/>
      <c r="D48" s="18"/>
      <c r="E48" s="18"/>
      <c r="F48" s="18"/>
      <c r="G48" s="18"/>
      <c r="H48" s="18"/>
      <c r="I48" s="50" t="n">
        <f aca="false">IFERROR(IF(AND(D48&gt;0,H48&gt;0),(H48/D48)^(1/4)-1,0)*100,0)</f>
        <v>0</v>
      </c>
      <c r="J48" s="12" t="str">
        <f aca="false">IF(I48&gt;=15,"Strong Growth",IF(I48&gt;=5,"Moderate",IF(I48&gt;=0,"Stable","Declining")))</f>
        <v>Stable</v>
      </c>
    </row>
    <row r="49" customFormat="false" ht="15" hidden="false" customHeight="true" outlineLevel="0" collapsed="false">
      <c r="A49" s="5" t="n">
        <v>13</v>
      </c>
      <c r="B49" s="22"/>
      <c r="C49" s="22"/>
      <c r="D49" s="22"/>
      <c r="E49" s="22"/>
      <c r="F49" s="22"/>
      <c r="G49" s="22"/>
      <c r="H49" s="22"/>
      <c r="I49" s="49" t="n">
        <f aca="false">IFERROR(IF(AND(D49&gt;0,H49&gt;0),(H49/D49)^(1/4)-1,0)*100,0)</f>
        <v>0</v>
      </c>
      <c r="J49" s="8" t="str">
        <f aca="false">IF(I49&gt;=15,"Strong Growth",IF(I49&gt;=5,"Moderate",IF(I49&gt;=0,"Stable","Declining")))</f>
        <v>Stable</v>
      </c>
    </row>
    <row r="50" customFormat="false" ht="15" hidden="false" customHeight="true" outlineLevel="0" collapsed="false">
      <c r="A50" s="9" t="n">
        <v>14</v>
      </c>
      <c r="B50" s="18"/>
      <c r="C50" s="18"/>
      <c r="D50" s="18"/>
      <c r="E50" s="18"/>
      <c r="F50" s="18"/>
      <c r="G50" s="18"/>
      <c r="H50" s="18"/>
      <c r="I50" s="50" t="n">
        <f aca="false">IFERROR(IF(AND(D50&gt;0,H50&gt;0),(H50/D50)^(1/4)-1,0)*100,0)</f>
        <v>0</v>
      </c>
      <c r="J50" s="12" t="str">
        <f aca="false">IF(I50&gt;=15,"Strong Growth",IF(I50&gt;=5,"Moderate",IF(I50&gt;=0,"Stable","Declining")))</f>
        <v>Stable</v>
      </c>
    </row>
    <row r="51" customFormat="false" ht="15" hidden="false" customHeight="true" outlineLevel="0" collapsed="false">
      <c r="A51" s="5" t="n">
        <v>15</v>
      </c>
      <c r="B51" s="22"/>
      <c r="C51" s="22"/>
      <c r="D51" s="22"/>
      <c r="E51" s="22"/>
      <c r="F51" s="22"/>
      <c r="G51" s="22"/>
      <c r="H51" s="22"/>
      <c r="I51" s="49" t="n">
        <f aca="false">IFERROR(IF(AND(D51&gt;0,H51&gt;0),(H51/D51)^(1/4)-1,0)*100,0)</f>
        <v>0</v>
      </c>
      <c r="J51" s="8" t="str">
        <f aca="false">IF(I51&gt;=15,"Strong Growth",IF(I51&gt;=5,"Moderate",IF(I51&gt;=0,"Stable","Declining")))</f>
        <v>Stable</v>
      </c>
    </row>
    <row r="52" customFormat="false" ht="15" hidden="false" customHeight="true" outlineLevel="0" collapsed="false">
      <c r="A52" s="9" t="n">
        <v>16</v>
      </c>
      <c r="B52" s="18"/>
      <c r="C52" s="18"/>
      <c r="D52" s="18"/>
      <c r="E52" s="18"/>
      <c r="F52" s="18"/>
      <c r="G52" s="18"/>
      <c r="H52" s="18"/>
      <c r="I52" s="50" t="n">
        <f aca="false">IFERROR(IF(AND(D52&gt;0,H52&gt;0),(H52/D52)^(1/4)-1,0)*100,0)</f>
        <v>0</v>
      </c>
      <c r="J52" s="12" t="str">
        <f aca="false">IF(I52&gt;=15,"Strong Growth",IF(I52&gt;=5,"Moderate",IF(I52&gt;=0,"Stable","Declining")))</f>
        <v>Stable</v>
      </c>
    </row>
    <row r="53" customFormat="false" ht="15" hidden="false" customHeight="true" outlineLevel="0" collapsed="false">
      <c r="A53" s="5" t="n">
        <v>17</v>
      </c>
      <c r="B53" s="22"/>
      <c r="C53" s="22"/>
      <c r="D53" s="22"/>
      <c r="E53" s="22"/>
      <c r="F53" s="22"/>
      <c r="G53" s="22"/>
      <c r="H53" s="22"/>
      <c r="I53" s="49" t="n">
        <f aca="false">IFERROR(IF(AND(D53&gt;0,H53&gt;0),(H53/D53)^(1/4)-1,0)*100,0)</f>
        <v>0</v>
      </c>
      <c r="J53" s="8" t="str">
        <f aca="false">IF(I53&gt;=15,"Strong Growth",IF(I53&gt;=5,"Moderate",IF(I53&gt;=0,"Stable","Declining")))</f>
        <v>Stable</v>
      </c>
    </row>
    <row r="54" customFormat="false" ht="15" hidden="false" customHeight="true" outlineLevel="0" collapsed="false">
      <c r="A54" s="9" t="n">
        <v>18</v>
      </c>
      <c r="B54" s="18"/>
      <c r="C54" s="18"/>
      <c r="D54" s="18"/>
      <c r="E54" s="18"/>
      <c r="F54" s="18"/>
      <c r="G54" s="18"/>
      <c r="H54" s="18"/>
      <c r="I54" s="50" t="n">
        <f aca="false">IFERROR(IF(AND(D54&gt;0,H54&gt;0),(H54/D54)^(1/4)-1,0)*100,0)</f>
        <v>0</v>
      </c>
      <c r="J54" s="12" t="str">
        <f aca="false">IF(I54&gt;=15,"Strong Growth",IF(I54&gt;=5,"Moderate",IF(I54&gt;=0,"Stable","Declining")))</f>
        <v>Stable</v>
      </c>
    </row>
    <row r="55" customFormat="false" ht="15" hidden="false" customHeight="true" outlineLevel="0" collapsed="false">
      <c r="A55" s="5" t="n">
        <v>19</v>
      </c>
      <c r="B55" s="22"/>
      <c r="C55" s="22"/>
      <c r="D55" s="22"/>
      <c r="E55" s="22"/>
      <c r="F55" s="22"/>
      <c r="G55" s="22"/>
      <c r="H55" s="22"/>
      <c r="I55" s="49" t="n">
        <f aca="false">IFERROR(IF(AND(D55&gt;0,H55&gt;0),(H55/D55)^(1/4)-1,0)*100,0)</f>
        <v>0</v>
      </c>
      <c r="J55" s="8" t="str">
        <f aca="false">IF(I55&gt;=15,"Strong Growth",IF(I55&gt;=5,"Moderate",IF(I55&gt;=0,"Stable","Declining")))</f>
        <v>Stable</v>
      </c>
    </row>
    <row r="56" customFormat="false" ht="15" hidden="false" customHeight="true" outlineLevel="0" collapsed="false">
      <c r="A56" s="9" t="n">
        <v>20</v>
      </c>
      <c r="B56" s="18"/>
      <c r="C56" s="18"/>
      <c r="D56" s="18"/>
      <c r="E56" s="18"/>
      <c r="F56" s="18"/>
      <c r="G56" s="18"/>
      <c r="H56" s="18"/>
      <c r="I56" s="50" t="n">
        <f aca="false">IFERROR(IF(AND(D56&gt;0,H56&gt;0),(H56/D56)^(1/4)-1,0)*100,0)</f>
        <v>0</v>
      </c>
      <c r="J56" s="12" t="str">
        <f aca="false">IF(I56&gt;=15,"Strong Growth",IF(I56&gt;=5,"Moderate",IF(I56&gt;=0,"Stable","Declining")))</f>
        <v>Stable</v>
      </c>
    </row>
    <row r="57" customFormat="false" ht="15" hidden="false" customHeight="true" outlineLevel="0" collapsed="false">
      <c r="A57" s="5" t="n">
        <v>21</v>
      </c>
      <c r="B57" s="22"/>
      <c r="C57" s="22"/>
      <c r="D57" s="22"/>
      <c r="E57" s="22"/>
      <c r="F57" s="22"/>
      <c r="G57" s="22"/>
      <c r="H57" s="22"/>
      <c r="I57" s="49" t="n">
        <f aca="false">IFERROR(IF(AND(D57&gt;0,H57&gt;0),(H57/D57)^(1/4)-1,0)*100,0)</f>
        <v>0</v>
      </c>
      <c r="J57" s="8" t="str">
        <f aca="false">IF(I57&gt;=15,"Strong Growth",IF(I57&gt;=5,"Moderate",IF(I57&gt;=0,"Stable","Declining")))</f>
        <v>Stable</v>
      </c>
    </row>
    <row r="58" customFormat="false" ht="15" hidden="false" customHeight="true" outlineLevel="0" collapsed="false">
      <c r="A58" s="9" t="n">
        <v>22</v>
      </c>
      <c r="B58" s="18"/>
      <c r="C58" s="18"/>
      <c r="D58" s="18"/>
      <c r="E58" s="18"/>
      <c r="F58" s="18"/>
      <c r="G58" s="18"/>
      <c r="H58" s="18"/>
      <c r="I58" s="50" t="n">
        <f aca="false">IFERROR(IF(AND(D58&gt;0,H58&gt;0),(H58/D58)^(1/4)-1,0)*100,0)</f>
        <v>0</v>
      </c>
      <c r="J58" s="12" t="str">
        <f aca="false">IF(I58&gt;=15,"Strong Growth",IF(I58&gt;=5,"Moderate",IF(I58&gt;=0,"Stable","Declining")))</f>
        <v>Stable</v>
      </c>
    </row>
    <row r="59" customFormat="false" ht="15" hidden="false" customHeight="true" outlineLevel="0" collapsed="false">
      <c r="A59" s="5" t="n">
        <v>23</v>
      </c>
      <c r="B59" s="22"/>
      <c r="C59" s="22"/>
      <c r="D59" s="22"/>
      <c r="E59" s="22"/>
      <c r="F59" s="22"/>
      <c r="G59" s="22"/>
      <c r="H59" s="22"/>
      <c r="I59" s="49" t="n">
        <f aca="false">IFERROR(IF(AND(D59&gt;0,H59&gt;0),(H59/D59)^(1/4)-1,0)*100,0)</f>
        <v>0</v>
      </c>
      <c r="J59" s="8" t="str">
        <f aca="false">IF(I59&gt;=15,"Strong Growth",IF(I59&gt;=5,"Moderate",IF(I59&gt;=0,"Stable","Declining")))</f>
        <v>Stable</v>
      </c>
    </row>
    <row r="60" customFormat="false" ht="15" hidden="false" customHeight="true" outlineLevel="0" collapsed="false">
      <c r="A60" s="9" t="n">
        <v>24</v>
      </c>
      <c r="B60" s="18"/>
      <c r="C60" s="18"/>
      <c r="D60" s="18"/>
      <c r="E60" s="18"/>
      <c r="F60" s="18"/>
      <c r="G60" s="18"/>
      <c r="H60" s="18"/>
      <c r="I60" s="50" t="n">
        <f aca="false">IFERROR(IF(AND(D60&gt;0,H60&gt;0),(H60/D60)^(1/4)-1,0)*100,0)</f>
        <v>0</v>
      </c>
      <c r="J60" s="12" t="str">
        <f aca="false">IF(I60&gt;=15,"Strong Growth",IF(I60&gt;=5,"Moderate",IF(I60&gt;=0,"Stable","Declining")))</f>
        <v>Stable</v>
      </c>
    </row>
    <row r="61" customFormat="false" ht="15" hidden="false" customHeight="true" outlineLevel="0" collapsed="false">
      <c r="A61" s="5" t="n">
        <v>25</v>
      </c>
      <c r="B61" s="22"/>
      <c r="C61" s="22"/>
      <c r="D61" s="22"/>
      <c r="E61" s="22"/>
      <c r="F61" s="22"/>
      <c r="G61" s="22"/>
      <c r="H61" s="22"/>
      <c r="I61" s="49" t="n">
        <f aca="false">IFERROR(IF(AND(D61&gt;0,H61&gt;0),(H61/D61)^(1/4)-1,0)*100,0)</f>
        <v>0</v>
      </c>
      <c r="J61" s="8" t="str">
        <f aca="false">IF(I61&gt;=15,"Strong Growth",IF(I61&gt;=5,"Moderate",IF(I61&gt;=0,"Stable","Declining")))</f>
        <v>Stable</v>
      </c>
    </row>
    <row r="62" customFormat="false" ht="15" hidden="false" customHeight="true" outlineLevel="0" collapsed="false">
      <c r="A62" s="9" t="n">
        <v>26</v>
      </c>
      <c r="B62" s="18"/>
      <c r="C62" s="18"/>
      <c r="D62" s="18"/>
      <c r="E62" s="18"/>
      <c r="F62" s="18"/>
      <c r="G62" s="18"/>
      <c r="H62" s="18"/>
      <c r="I62" s="50" t="n">
        <f aca="false">IFERROR(IF(AND(D62&gt;0,H62&gt;0),(H62/D62)^(1/4)-1,0)*100,0)</f>
        <v>0</v>
      </c>
      <c r="J62" s="12" t="str">
        <f aca="false">IF(I62&gt;=15,"Strong Growth",IF(I62&gt;=5,"Moderate",IF(I62&gt;=0,"Stable","Declining")))</f>
        <v>Stable</v>
      </c>
    </row>
    <row r="63" customFormat="false" ht="15" hidden="false" customHeight="true" outlineLevel="0" collapsed="false">
      <c r="A63" s="5" t="n">
        <v>27</v>
      </c>
      <c r="B63" s="22"/>
      <c r="C63" s="22"/>
      <c r="D63" s="22"/>
      <c r="E63" s="22"/>
      <c r="F63" s="22"/>
      <c r="G63" s="22"/>
      <c r="H63" s="22"/>
      <c r="I63" s="49" t="n">
        <f aca="false">IFERROR(IF(AND(D63&gt;0,H63&gt;0),(H63/D63)^(1/4)-1,0)*100,0)</f>
        <v>0</v>
      </c>
      <c r="J63" s="8" t="str">
        <f aca="false">IF(I63&gt;=15,"Strong Growth",IF(I63&gt;=5,"Moderate",IF(I63&gt;=0,"Stable","Declining")))</f>
        <v>Stable</v>
      </c>
    </row>
    <row r="64" customFormat="false" ht="15" hidden="false" customHeight="true" outlineLevel="0" collapsed="false">
      <c r="A64" s="9" t="n">
        <v>28</v>
      </c>
      <c r="B64" s="18"/>
      <c r="C64" s="18"/>
      <c r="D64" s="18"/>
      <c r="E64" s="18"/>
      <c r="F64" s="18"/>
      <c r="G64" s="18"/>
      <c r="H64" s="18"/>
      <c r="I64" s="50" t="n">
        <f aca="false">IFERROR(IF(AND(D64&gt;0,H64&gt;0),(H64/D64)^(1/4)-1,0)*100,0)</f>
        <v>0</v>
      </c>
      <c r="J64" s="12" t="str">
        <f aca="false">IF(I64&gt;=15,"Strong Growth",IF(I64&gt;=5,"Moderate",IF(I64&gt;=0,"Stable","Declining")))</f>
        <v>Stable</v>
      </c>
    </row>
    <row r="65" customFormat="false" ht="15" hidden="false" customHeight="true" outlineLevel="0" collapsed="false">
      <c r="A65" s="5" t="n">
        <v>29</v>
      </c>
      <c r="B65" s="22"/>
      <c r="C65" s="22"/>
      <c r="D65" s="22"/>
      <c r="E65" s="22"/>
      <c r="F65" s="22"/>
      <c r="G65" s="22"/>
      <c r="H65" s="22"/>
      <c r="I65" s="49" t="n">
        <f aca="false">IFERROR(IF(AND(D65&gt;0,H65&gt;0),(H65/D65)^(1/4)-1,0)*100,0)</f>
        <v>0</v>
      </c>
      <c r="J65" s="8" t="str">
        <f aca="false">IF(I65&gt;=15,"Strong Growth",IF(I65&gt;=5,"Moderate",IF(I65&gt;=0,"Stable","Declining")))</f>
        <v>Stable</v>
      </c>
    </row>
    <row r="66" customFormat="false" ht="15" hidden="false" customHeight="true" outlineLevel="0" collapsed="false">
      <c r="A66" s="9" t="n">
        <v>30</v>
      </c>
      <c r="B66" s="18"/>
      <c r="C66" s="18"/>
      <c r="D66" s="18"/>
      <c r="E66" s="18"/>
      <c r="F66" s="18"/>
      <c r="G66" s="18"/>
      <c r="H66" s="18"/>
      <c r="I66" s="50" t="n">
        <f aca="false">IFERROR(IF(AND(D66&gt;0,H66&gt;0),(H66/D66)^(1/4)-1,0)*100,0)</f>
        <v>0</v>
      </c>
      <c r="J66" s="12" t="str">
        <f aca="false">IF(I66&gt;=15,"Strong Growth",IF(I66&gt;=5,"Moderate",IF(I66&gt;=0,"Stable","Declining")))</f>
        <v>Stable</v>
      </c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9" min="4" style="1" width="18"/>
    <col collapsed="false" customWidth="true" hidden="false" outlineLevel="0" max="10" min="10" style="1" width="14"/>
  </cols>
  <sheetData>
    <row r="1" customFormat="false" ht="33.75" hidden="false" customHeight="true" outlineLevel="0" collapsed="false">
      <c r="A1" s="51" t="s">
        <v>91</v>
      </c>
      <c r="B1" s="51"/>
      <c r="C1" s="51"/>
      <c r="D1" s="51"/>
      <c r="E1" s="51"/>
      <c r="F1" s="51"/>
      <c r="G1" s="51"/>
      <c r="H1" s="51"/>
      <c r="I1" s="51"/>
      <c r="J1" s="51"/>
    </row>
    <row r="2" customFormat="false" ht="25.5" hidden="false" customHeight="true" outlineLevel="0" collapsed="false">
      <c r="A2" s="30" t="s">
        <v>92</v>
      </c>
      <c r="B2" s="30"/>
      <c r="C2" s="30"/>
      <c r="D2" s="30"/>
      <c r="E2" s="30"/>
      <c r="F2" s="30"/>
      <c r="G2" s="30"/>
      <c r="H2" s="30"/>
      <c r="I2" s="30"/>
      <c r="J2" s="30"/>
    </row>
    <row r="3" customFormat="false" ht="34.5" hidden="false" customHeight="true" outlineLevel="0" collapsed="false">
      <c r="A3" s="31" t="s">
        <v>31</v>
      </c>
      <c r="B3" s="31" t="s">
        <v>32</v>
      </c>
      <c r="C3" s="31" t="s">
        <v>33</v>
      </c>
      <c r="D3" s="31" t="s">
        <v>93</v>
      </c>
      <c r="E3" s="31" t="s">
        <v>94</v>
      </c>
      <c r="F3" s="31" t="s">
        <v>95</v>
      </c>
      <c r="G3" s="31" t="s">
        <v>96</v>
      </c>
      <c r="H3" s="31" t="s">
        <v>97</v>
      </c>
      <c r="I3" s="31" t="s">
        <v>98</v>
      </c>
      <c r="J3" s="31" t="s">
        <v>40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8"/>
      <c r="F4" s="18"/>
      <c r="G4" s="21" t="n">
        <f aca="false">IF(D4&gt;0,F4/D4*100,0)</f>
        <v>0</v>
      </c>
      <c r="H4" s="18"/>
      <c r="I4" s="21" t="n">
        <f aca="false">IFERROR(IF(MAX($F$4:$F$33)&gt;0,F4/MAX($F$4:$F$33)*100,0),0)</f>
        <v>0</v>
      </c>
      <c r="J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2"/>
      <c r="F5" s="22"/>
      <c r="G5" s="25" t="n">
        <f aca="false">IF(D5&gt;0,F5/D5*100,0)</f>
        <v>0</v>
      </c>
      <c r="H5" s="22"/>
      <c r="I5" s="25" t="n">
        <f aca="false">IFERROR(IF(MAX($F$4:$F$33)&gt;0,F5/MAX($F$4:$F$33)*100,0),0)</f>
        <v>0</v>
      </c>
      <c r="J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8"/>
      <c r="F6" s="18"/>
      <c r="G6" s="21" t="n">
        <f aca="false">IF(D6&gt;0,F6/D6*100,0)</f>
        <v>0</v>
      </c>
      <c r="H6" s="18"/>
      <c r="I6" s="21" t="n">
        <f aca="false">IFERROR(IF(MAX($F$4:$F$33)&gt;0,F6/MAX($F$4:$F$33)*100,0),0)</f>
        <v>0</v>
      </c>
      <c r="J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2"/>
      <c r="F7" s="22"/>
      <c r="G7" s="25" t="n">
        <f aca="false">IF(D7&gt;0,F7/D7*100,0)</f>
        <v>0</v>
      </c>
      <c r="H7" s="22"/>
      <c r="I7" s="25" t="n">
        <f aca="false">IFERROR(IF(MAX($F$4:$F$33)&gt;0,F7/MAX($F$4:$F$33)*100,0),0)</f>
        <v>0</v>
      </c>
      <c r="J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8"/>
      <c r="F8" s="18"/>
      <c r="G8" s="21" t="n">
        <f aca="false">IF(D8&gt;0,F8/D8*100,0)</f>
        <v>0</v>
      </c>
      <c r="H8" s="18"/>
      <c r="I8" s="21" t="n">
        <f aca="false">IFERROR(IF(MAX($F$4:$F$33)&gt;0,F8/MAX($F$4:$F$33)*100,0),0)</f>
        <v>0</v>
      </c>
      <c r="J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2"/>
      <c r="F9" s="22"/>
      <c r="G9" s="25" t="n">
        <f aca="false">IF(D9&gt;0,F9/D9*100,0)</f>
        <v>0</v>
      </c>
      <c r="H9" s="22"/>
      <c r="I9" s="25" t="n">
        <f aca="false">IFERROR(IF(MAX($F$4:$F$33)&gt;0,F9/MAX($F$4:$F$33)*100,0),0)</f>
        <v>0</v>
      </c>
      <c r="J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8"/>
      <c r="F10" s="18"/>
      <c r="G10" s="21" t="n">
        <f aca="false">IF(D10&gt;0,F10/D10*100,0)</f>
        <v>0</v>
      </c>
      <c r="H10" s="18"/>
      <c r="I10" s="21" t="n">
        <f aca="false">IFERROR(IF(MAX($F$4:$F$33)&gt;0,F10/MAX($F$4:$F$33)*100,0),0)</f>
        <v>0</v>
      </c>
      <c r="J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2"/>
      <c r="F11" s="22"/>
      <c r="G11" s="25" t="n">
        <f aca="false">IF(D11&gt;0,F11/D11*100,0)</f>
        <v>0</v>
      </c>
      <c r="H11" s="22"/>
      <c r="I11" s="25" t="n">
        <f aca="false">IFERROR(IF(MAX($F$4:$F$33)&gt;0,F11/MAX($F$4:$F$33)*100,0),0)</f>
        <v>0</v>
      </c>
      <c r="J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8"/>
      <c r="F12" s="18"/>
      <c r="G12" s="21" t="n">
        <f aca="false">IF(D12&gt;0,F12/D12*100,0)</f>
        <v>0</v>
      </c>
      <c r="H12" s="18"/>
      <c r="I12" s="21" t="n">
        <f aca="false">IFERROR(IF(MAX($F$4:$F$33)&gt;0,F12/MAX($F$4:$F$33)*100,0),0)</f>
        <v>0</v>
      </c>
      <c r="J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2"/>
      <c r="F13" s="22"/>
      <c r="G13" s="25" t="n">
        <f aca="false">IF(D13&gt;0,F13/D13*100,0)</f>
        <v>0</v>
      </c>
      <c r="H13" s="22"/>
      <c r="I13" s="25" t="n">
        <f aca="false">IFERROR(IF(MAX($F$4:$F$33)&gt;0,F13/MAX($F$4:$F$33)*100,0),0)</f>
        <v>0</v>
      </c>
      <c r="J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8"/>
      <c r="F14" s="18"/>
      <c r="G14" s="21" t="n">
        <f aca="false">IF(D14&gt;0,F14/D14*100,0)</f>
        <v>0</v>
      </c>
      <c r="H14" s="18"/>
      <c r="I14" s="21" t="n">
        <f aca="false">IFERROR(IF(MAX($F$4:$F$33)&gt;0,F14/MAX($F$4:$F$33)*100,0),0)</f>
        <v>0</v>
      </c>
      <c r="J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2"/>
      <c r="F15" s="22"/>
      <c r="G15" s="25" t="n">
        <f aca="false">IF(D15&gt;0,F15/D15*100,0)</f>
        <v>0</v>
      </c>
      <c r="H15" s="22"/>
      <c r="I15" s="25" t="n">
        <f aca="false">IFERROR(IF(MAX($F$4:$F$33)&gt;0,F15/MAX($F$4:$F$33)*100,0),0)</f>
        <v>0</v>
      </c>
      <c r="J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8"/>
      <c r="F16" s="18"/>
      <c r="G16" s="21" t="n">
        <f aca="false">IF(D16&gt;0,F16/D16*100,0)</f>
        <v>0</v>
      </c>
      <c r="H16" s="18"/>
      <c r="I16" s="21" t="n">
        <f aca="false">IFERROR(IF(MAX($F$4:$F$33)&gt;0,F16/MAX($F$4:$F$33)*100,0),0)</f>
        <v>0</v>
      </c>
      <c r="J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2"/>
      <c r="F17" s="22"/>
      <c r="G17" s="25" t="n">
        <f aca="false">IF(D17&gt;0,F17/D17*100,0)</f>
        <v>0</v>
      </c>
      <c r="H17" s="22"/>
      <c r="I17" s="25" t="n">
        <f aca="false">IFERROR(IF(MAX($F$4:$F$33)&gt;0,F17/MAX($F$4:$F$33)*100,0),0)</f>
        <v>0</v>
      </c>
      <c r="J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8"/>
      <c r="F18" s="18"/>
      <c r="G18" s="21" t="n">
        <f aca="false">IF(D18&gt;0,F18/D18*100,0)</f>
        <v>0</v>
      </c>
      <c r="H18" s="18"/>
      <c r="I18" s="21" t="n">
        <f aca="false">IFERROR(IF(MAX($F$4:$F$33)&gt;0,F18/MAX($F$4:$F$33)*100,0),0)</f>
        <v>0</v>
      </c>
      <c r="J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2"/>
      <c r="F19" s="22"/>
      <c r="G19" s="25" t="n">
        <f aca="false">IF(D19&gt;0,F19/D19*100,0)</f>
        <v>0</v>
      </c>
      <c r="H19" s="22"/>
      <c r="I19" s="25" t="n">
        <f aca="false">IFERROR(IF(MAX($F$4:$F$33)&gt;0,F19/MAX($F$4:$F$33)*100,0),0)</f>
        <v>0</v>
      </c>
      <c r="J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8"/>
      <c r="F20" s="18"/>
      <c r="G20" s="21" t="n">
        <f aca="false">IF(D20&gt;0,F20/D20*100,0)</f>
        <v>0</v>
      </c>
      <c r="H20" s="18"/>
      <c r="I20" s="21" t="n">
        <f aca="false">IFERROR(IF(MAX($F$4:$F$33)&gt;0,F20/MAX($F$4:$F$33)*100,0),0)</f>
        <v>0</v>
      </c>
      <c r="J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2"/>
      <c r="F21" s="22"/>
      <c r="G21" s="25" t="n">
        <f aca="false">IF(D21&gt;0,F21/D21*100,0)</f>
        <v>0</v>
      </c>
      <c r="H21" s="22"/>
      <c r="I21" s="25" t="n">
        <f aca="false">IFERROR(IF(MAX($F$4:$F$33)&gt;0,F21/MAX($F$4:$F$33)*100,0),0)</f>
        <v>0</v>
      </c>
      <c r="J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8"/>
      <c r="F22" s="18"/>
      <c r="G22" s="21" t="n">
        <f aca="false">IF(D22&gt;0,F22/D22*100,0)</f>
        <v>0</v>
      </c>
      <c r="H22" s="18"/>
      <c r="I22" s="21" t="n">
        <f aca="false">IFERROR(IF(MAX($F$4:$F$33)&gt;0,F22/MAX($F$4:$F$33)*100,0),0)</f>
        <v>0</v>
      </c>
      <c r="J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2"/>
      <c r="F23" s="22"/>
      <c r="G23" s="25" t="n">
        <f aca="false">IF(D23&gt;0,F23/D23*100,0)</f>
        <v>0</v>
      </c>
      <c r="H23" s="22"/>
      <c r="I23" s="25" t="n">
        <f aca="false">IFERROR(IF(MAX($F$4:$F$33)&gt;0,F23/MAX($F$4:$F$33)*100,0),0)</f>
        <v>0</v>
      </c>
      <c r="J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8"/>
      <c r="F24" s="18"/>
      <c r="G24" s="21" t="n">
        <f aca="false">IF(D24&gt;0,F24/D24*100,0)</f>
        <v>0</v>
      </c>
      <c r="H24" s="18"/>
      <c r="I24" s="21" t="n">
        <f aca="false">IFERROR(IF(MAX($F$4:$F$33)&gt;0,F24/MAX($F$4:$F$33)*100,0),0)</f>
        <v>0</v>
      </c>
      <c r="J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2"/>
      <c r="F25" s="22"/>
      <c r="G25" s="25" t="n">
        <f aca="false">IF(D25&gt;0,F25/D25*100,0)</f>
        <v>0</v>
      </c>
      <c r="H25" s="22"/>
      <c r="I25" s="25" t="n">
        <f aca="false">IFERROR(IF(MAX($F$4:$F$33)&gt;0,F25/MAX($F$4:$F$33)*100,0),0)</f>
        <v>0</v>
      </c>
      <c r="J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8"/>
      <c r="F26" s="18"/>
      <c r="G26" s="21" t="n">
        <f aca="false">IF(D26&gt;0,F26/D26*100,0)</f>
        <v>0</v>
      </c>
      <c r="H26" s="18"/>
      <c r="I26" s="21" t="n">
        <f aca="false">IFERROR(IF(MAX($F$4:$F$33)&gt;0,F26/MAX($F$4:$F$33)*100,0),0)</f>
        <v>0</v>
      </c>
      <c r="J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2"/>
      <c r="F27" s="22"/>
      <c r="G27" s="25" t="n">
        <f aca="false">IF(D27&gt;0,F27/D27*100,0)</f>
        <v>0</v>
      </c>
      <c r="H27" s="22"/>
      <c r="I27" s="25" t="n">
        <f aca="false">IFERROR(IF(MAX($F$4:$F$33)&gt;0,F27/MAX($F$4:$F$33)*100,0),0)</f>
        <v>0</v>
      </c>
      <c r="J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8"/>
      <c r="F28" s="18"/>
      <c r="G28" s="21" t="n">
        <f aca="false">IF(D28&gt;0,F28/D28*100,0)</f>
        <v>0</v>
      </c>
      <c r="H28" s="18"/>
      <c r="I28" s="21" t="n">
        <f aca="false">IFERROR(IF(MAX($F$4:$F$33)&gt;0,F28/MAX($F$4:$F$33)*100,0),0)</f>
        <v>0</v>
      </c>
      <c r="J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2"/>
      <c r="F29" s="22"/>
      <c r="G29" s="25" t="n">
        <f aca="false">IF(D29&gt;0,F29/D29*100,0)</f>
        <v>0</v>
      </c>
      <c r="H29" s="22"/>
      <c r="I29" s="25" t="n">
        <f aca="false">IFERROR(IF(MAX($F$4:$F$33)&gt;0,F29/MAX($F$4:$F$33)*100,0),0)</f>
        <v>0</v>
      </c>
      <c r="J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8"/>
      <c r="F30" s="18"/>
      <c r="G30" s="21" t="n">
        <f aca="false">IF(D30&gt;0,F30/D30*100,0)</f>
        <v>0</v>
      </c>
      <c r="H30" s="18"/>
      <c r="I30" s="21" t="n">
        <f aca="false">IFERROR(IF(MAX($F$4:$F$33)&gt;0,F30/MAX($F$4:$F$33)*100,0),0)</f>
        <v>0</v>
      </c>
      <c r="J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2"/>
      <c r="F31" s="22"/>
      <c r="G31" s="25" t="n">
        <f aca="false">IF(D31&gt;0,F31/D31*100,0)</f>
        <v>0</v>
      </c>
      <c r="H31" s="22"/>
      <c r="I31" s="25" t="n">
        <f aca="false">IFERROR(IF(MAX($F$4:$F$33)&gt;0,F31/MAX($F$4:$F$33)*100,0),0)</f>
        <v>0</v>
      </c>
      <c r="J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8"/>
      <c r="F32" s="18"/>
      <c r="G32" s="21" t="n">
        <f aca="false">IF(D32&gt;0,F32/D32*100,0)</f>
        <v>0</v>
      </c>
      <c r="H32" s="18"/>
      <c r="I32" s="21" t="n">
        <f aca="false">IFERROR(IF(MAX($F$4:$F$33)&gt;0,F32/MAX($F$4:$F$33)*100,0),0)</f>
        <v>0</v>
      </c>
      <c r="J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2"/>
      <c r="F33" s="22"/>
      <c r="G33" s="25" t="n">
        <f aca="false">IF(D33&gt;0,F33/D33*100,0)</f>
        <v>0</v>
      </c>
      <c r="H33" s="22"/>
      <c r="I33" s="25" t="n">
        <f aca="false">IFERROR(IF(MAX($F$4:$F$33)&gt;0,F33/MAX($F$4:$F$33)*100,0),0)</f>
        <v>0</v>
      </c>
      <c r="J33" s="2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0"/>
    <col collapsed="false" customWidth="true" hidden="false" outlineLevel="0" max="14" min="14" style="1" width="14"/>
  </cols>
  <sheetData>
    <row r="1" customFormat="false" ht="33.75" hidden="false" customHeight="true" outlineLevel="0" collapsed="false">
      <c r="A1" s="52" t="s">
        <v>99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customFormat="false" ht="25.5" hidden="false" customHeight="true" outlineLevel="0" collapsed="false">
      <c r="A2" s="53" t="s">
        <v>100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4" customFormat="false" ht="15" hidden="false" customHeight="true" outlineLevel="0" collapsed="false">
      <c r="A4" s="54" t="s">
        <v>101</v>
      </c>
      <c r="B4" s="55" t="s">
        <v>54</v>
      </c>
      <c r="C4" s="55" t="s">
        <v>56</v>
      </c>
      <c r="D4" s="55" t="s">
        <v>55</v>
      </c>
      <c r="E4" s="55" t="s">
        <v>102</v>
      </c>
      <c r="F4" s="55" t="s">
        <v>103</v>
      </c>
      <c r="G4" s="55" t="s">
        <v>58</v>
      </c>
      <c r="H4" s="55" t="s">
        <v>59</v>
      </c>
      <c r="I4" s="55" t="s">
        <v>104</v>
      </c>
      <c r="J4" s="55" t="s">
        <v>105</v>
      </c>
      <c r="K4" s="55" t="s">
        <v>60</v>
      </c>
      <c r="L4" s="55" t="s">
        <v>61</v>
      </c>
      <c r="M4" s="55" t="s">
        <v>62</v>
      </c>
      <c r="N4" s="56" t="s">
        <v>106</v>
      </c>
    </row>
    <row r="5" customFormat="false" ht="15" hidden="false" customHeight="true" outlineLevel="0" collapsed="false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57" t="n">
        <f aca="false">IF(COUNTA(B5:M5)&gt;0,AVERAGE(B5:M5),0)</f>
        <v>0</v>
      </c>
    </row>
    <row r="6" customFormat="false" ht="15" hidden="false" customHeight="true" outlineLevel="0" collapsed="false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8" t="n">
        <f aca="false">IF(COUNTA(B6:M6)&gt;0,AVERAGE(B6:M6),0)</f>
        <v>0</v>
      </c>
    </row>
    <row r="7" customFormat="false" ht="15" hidden="false" customHeight="true" outlineLevel="0" collapsed="false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57" t="n">
        <f aca="false">IF(COUNTA(B7:M7)&gt;0,AVERAGE(B7:M7),0)</f>
        <v>0</v>
      </c>
    </row>
    <row r="8" customFormat="false" ht="15" hidden="false" customHeight="true" outlineLevel="0" collapsed="false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8" t="n">
        <f aca="false">IF(COUNTA(B8:M8)&gt;0,AVERAGE(B8:M8),0)</f>
        <v>0</v>
      </c>
    </row>
    <row r="9" customFormat="false" ht="15" hidden="false" customHeight="true" outlineLevel="0" collapsed="false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57" t="n">
        <f aca="false">IF(COUNTA(B9:M9)&gt;0,AVERAGE(B9:M9),0)</f>
        <v>0</v>
      </c>
    </row>
    <row r="10" customFormat="false" ht="1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8" t="n">
        <f aca="false">IF(COUNTA(B10:M10)&gt;0,AVERAGE(B10:M10),0)</f>
        <v>0</v>
      </c>
    </row>
    <row r="11" customFormat="false" ht="15" hidden="false" customHeight="true" outlineLevel="0" collapsed="false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57" t="n">
        <f aca="false">IF(COUNTA(B11:M11)&gt;0,AVERAGE(B11:M11),0)</f>
        <v>0</v>
      </c>
    </row>
    <row r="12" customFormat="false" ht="15" hidden="false" customHeight="true" outlineLevel="0" collapsed="false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8" t="n">
        <f aca="false">IF(COUNTA(B12:M12)&gt;0,AVERAGE(B12:M12),0)</f>
        <v>0</v>
      </c>
    </row>
    <row r="13" customFormat="false" ht="15" hidden="false" customHeight="true" outlineLevel="0" collapsed="false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57" t="n">
        <f aca="false">IF(COUNTA(B13:M13)&gt;0,AVERAGE(B13:M13),0)</f>
        <v>0</v>
      </c>
    </row>
    <row r="14" customFormat="false" ht="15" hidden="false" customHeight="true" outlineLevel="0" collapsed="false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58" t="n">
        <f aca="false">IF(COUNTA(B14:M14)&gt;0,AVERAGE(B14:M14),0)</f>
        <v>0</v>
      </c>
    </row>
    <row r="15" customFormat="false" ht="15" hidden="false" customHeight="true" outlineLevel="0" collapsed="false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57" t="n">
        <f aca="false">IF(COUNTA(B15:M15)&gt;0,AVERAGE(B15:M15),0)</f>
        <v>0</v>
      </c>
    </row>
    <row r="16" customFormat="false" ht="1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8" t="n">
        <f aca="false">IF(COUNTA(B16:M16)&gt;0,AVERAGE(B16:M16),0)</f>
        <v>0</v>
      </c>
    </row>
    <row r="17" customFormat="false" ht="15" hidden="false" customHeight="true" outlineLevel="0" collapsed="false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57" t="n">
        <f aca="false">IF(COUNTA(B17:M17)&gt;0,AVERAGE(B17:M17),0)</f>
        <v>0</v>
      </c>
    </row>
    <row r="18" customFormat="false" ht="1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58" t="n">
        <f aca="false">IF(COUNTA(B18:M18)&gt;0,AVERAGE(B18:M18),0)</f>
        <v>0</v>
      </c>
    </row>
    <row r="19" customFormat="false" ht="15" hidden="false" customHeight="true" outlineLevel="0" collapsed="false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57" t="n">
        <f aca="false">IF(COUNTA(B19:M19)&gt;0,AVERAGE(B19:M19),0)</f>
        <v>0</v>
      </c>
    </row>
    <row r="20" customFormat="false" ht="15" hidden="false" customHeight="true" outlineLevel="0" collapsed="false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58" t="n">
        <f aca="false">IF(COUNTA(B20:M20)&gt;0,AVERAGE(B20:M20),0)</f>
        <v>0</v>
      </c>
    </row>
    <row r="21" customFormat="false" ht="15" hidden="false" customHeight="true" outlineLevel="0" collapsed="false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7" t="n">
        <f aca="false">IF(COUNTA(B21:M21)&gt;0,AVERAGE(B21:M21),0)</f>
        <v>0</v>
      </c>
    </row>
    <row r="22" customFormat="false" ht="15" hidden="false" customHeight="true" outlineLevel="0" collapsed="false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58" t="n">
        <f aca="false">IF(COUNTA(B22:M22)&gt;0,AVERAGE(B22:M22),0)</f>
        <v>0</v>
      </c>
    </row>
    <row r="23" customFormat="false" ht="1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57" t="n">
        <f aca="false">IF(COUNTA(B23:M23)&gt;0,AVERAGE(B23:M23),0)</f>
        <v>0</v>
      </c>
    </row>
    <row r="24" customFormat="false" ht="15" hidden="false" customHeight="true" outlineLevel="0" collapsed="false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58" t="n">
        <f aca="false">IF(COUNTA(B24:M24)&gt;0,AVERAGE(B24:M24),0)</f>
        <v>0</v>
      </c>
    </row>
    <row r="25" customFormat="false" ht="15" hidden="false" customHeight="true" outlineLevel="0" collapsed="false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7" t="n">
        <f aca="false">IF(COUNTA(B25:M25)&gt;0,AVERAGE(B25:M25),0)</f>
        <v>0</v>
      </c>
    </row>
    <row r="26" customFormat="false" ht="15" hidden="false" customHeight="true" outlineLevel="0" collapsed="false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8" t="n">
        <f aca="false">IF(COUNTA(B26:M26)&gt;0,AVERAGE(B26:M26),0)</f>
        <v>0</v>
      </c>
    </row>
    <row r="27" customFormat="false" ht="15" hidden="false" customHeight="true" outlineLevel="0" collapsed="false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57" t="n">
        <f aca="false">IF(COUNTA(B27:M27)&gt;0,AVERAGE(B27:M27),0)</f>
        <v>0</v>
      </c>
    </row>
    <row r="28" customFormat="false" ht="15" hidden="false" customHeight="true" outlineLevel="0" collapsed="false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58" t="n">
        <f aca="false">IF(COUNTA(B28:M28)&gt;0,AVERAGE(B28:M28),0)</f>
        <v>0</v>
      </c>
    </row>
    <row r="29" customFormat="false" ht="15" hidden="false" customHeight="true" outlineLevel="0" collapsed="false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7" t="n">
        <f aca="false">IF(COUNTA(B29:M29)&gt;0,AVERAGE(B29:M29),0)</f>
        <v>0</v>
      </c>
    </row>
    <row r="30" customFormat="false" ht="15" hidden="false" customHeight="true" outlineLevel="0" collapsed="false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8" t="n">
        <f aca="false">IF(COUNTA(B30:M30)&gt;0,AVERAGE(B30:M30),0)</f>
        <v>0</v>
      </c>
    </row>
    <row r="31" customFormat="false" ht="15" hidden="false" customHeight="true" outlineLevel="0" collapsed="false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57" t="n">
        <f aca="false">IF(COUNTA(B31:M31)&gt;0,AVERAGE(B31:M31),0)</f>
        <v>0</v>
      </c>
    </row>
    <row r="32" customFormat="false" ht="15" hidden="false" customHeight="true" outlineLevel="0" collapsed="false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8" t="n">
        <f aca="false">IF(COUNTA(B32:M32)&gt;0,AVERAGE(B32:M32),0)</f>
        <v>0</v>
      </c>
    </row>
    <row r="33" customFormat="false" ht="15" hidden="false" customHeight="true" outlineLevel="0" collapsed="false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57" t="n">
        <f aca="false">IF(COUNTA(B33:M33)&gt;0,AVERAGE(B33:M33),0)</f>
        <v>0</v>
      </c>
    </row>
    <row r="34" customFormat="false" ht="15" hidden="false" customHeight="true" outlineLevel="0" collapsed="false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8" t="n">
        <f aca="false">IF(COUNTA(B34:M34)&gt;0,AVERAGE(B34:M34),0)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8" min="4" style="1" width="18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59" t="s">
        <v>107</v>
      </c>
      <c r="B1" s="59"/>
      <c r="C1" s="59"/>
      <c r="D1" s="59"/>
      <c r="E1" s="59"/>
      <c r="F1" s="59"/>
      <c r="G1" s="59"/>
      <c r="H1" s="59"/>
      <c r="I1" s="59"/>
    </row>
    <row r="2" customFormat="false" ht="25.5" hidden="false" customHeight="true" outlineLevel="0" collapsed="false">
      <c r="A2" s="47" t="s">
        <v>108</v>
      </c>
      <c r="B2" s="47"/>
      <c r="C2" s="47"/>
      <c r="D2" s="47"/>
      <c r="E2" s="47"/>
      <c r="F2" s="47"/>
      <c r="G2" s="47"/>
      <c r="H2" s="47"/>
      <c r="I2" s="47"/>
    </row>
    <row r="3" customFormat="false" ht="34.5" hidden="false" customHeight="true" outlineLevel="0" collapsed="false">
      <c r="A3" s="48" t="s">
        <v>31</v>
      </c>
      <c r="B3" s="48" t="s">
        <v>32</v>
      </c>
      <c r="C3" s="48" t="s">
        <v>33</v>
      </c>
      <c r="D3" s="48" t="s">
        <v>109</v>
      </c>
      <c r="E3" s="48" t="s">
        <v>110</v>
      </c>
      <c r="F3" s="48" t="s">
        <v>111</v>
      </c>
      <c r="G3" s="48" t="s">
        <v>112</v>
      </c>
      <c r="H3" s="48" t="s">
        <v>113</v>
      </c>
      <c r="I3" s="48" t="s">
        <v>114</v>
      </c>
    </row>
    <row r="4" customFormat="false" ht="15" hidden="false" customHeight="true" outlineLevel="0" collapsed="false">
      <c r="A4" s="9" t="n">
        <v>1</v>
      </c>
      <c r="B4" s="18"/>
      <c r="C4" s="18"/>
      <c r="D4" s="18"/>
      <c r="E4" s="18"/>
      <c r="F4" s="18"/>
      <c r="G4" s="18"/>
      <c r="H4" s="9" t="n">
        <f aca="false">D4+E4+F4+G4</f>
        <v>0</v>
      </c>
      <c r="I4" s="18"/>
    </row>
    <row r="5" customFormat="false" ht="15" hidden="false" customHeight="true" outlineLevel="0" collapsed="false">
      <c r="A5" s="5" t="n">
        <v>2</v>
      </c>
      <c r="B5" s="22"/>
      <c r="C5" s="22"/>
      <c r="D5" s="22"/>
      <c r="E5" s="22"/>
      <c r="F5" s="22"/>
      <c r="G5" s="22"/>
      <c r="H5" s="5" t="n">
        <f aca="false">D5+E5+F5+G5</f>
        <v>0</v>
      </c>
      <c r="I5" s="22"/>
    </row>
    <row r="6" customFormat="false" ht="15" hidden="false" customHeight="true" outlineLevel="0" collapsed="false">
      <c r="A6" s="9" t="n">
        <v>3</v>
      </c>
      <c r="B6" s="18"/>
      <c r="C6" s="18"/>
      <c r="D6" s="18"/>
      <c r="E6" s="18"/>
      <c r="F6" s="18"/>
      <c r="G6" s="18"/>
      <c r="H6" s="9" t="n">
        <f aca="false">D6+E6+F6+G6</f>
        <v>0</v>
      </c>
      <c r="I6" s="18"/>
    </row>
    <row r="7" customFormat="false" ht="15" hidden="false" customHeight="true" outlineLevel="0" collapsed="false">
      <c r="A7" s="5" t="n">
        <v>4</v>
      </c>
      <c r="B7" s="22"/>
      <c r="C7" s="22"/>
      <c r="D7" s="22"/>
      <c r="E7" s="22"/>
      <c r="F7" s="22"/>
      <c r="G7" s="22"/>
      <c r="H7" s="5" t="n">
        <f aca="false">D7+E7+F7+G7</f>
        <v>0</v>
      </c>
      <c r="I7" s="22"/>
    </row>
    <row r="8" customFormat="false" ht="15" hidden="false" customHeight="true" outlineLevel="0" collapsed="false">
      <c r="A8" s="9" t="n">
        <v>5</v>
      </c>
      <c r="B8" s="18"/>
      <c r="C8" s="18"/>
      <c r="D8" s="18"/>
      <c r="E8" s="18"/>
      <c r="F8" s="18"/>
      <c r="G8" s="18"/>
      <c r="H8" s="9" t="n">
        <f aca="false">D8+E8+F8+G8</f>
        <v>0</v>
      </c>
      <c r="I8" s="18"/>
    </row>
    <row r="9" customFormat="false" ht="15" hidden="false" customHeight="true" outlineLevel="0" collapsed="false">
      <c r="A9" s="5" t="n">
        <v>6</v>
      </c>
      <c r="B9" s="22"/>
      <c r="C9" s="22"/>
      <c r="D9" s="22"/>
      <c r="E9" s="22"/>
      <c r="F9" s="22"/>
      <c r="G9" s="22"/>
      <c r="H9" s="5" t="n">
        <f aca="false">D9+E9+F9+G9</f>
        <v>0</v>
      </c>
      <c r="I9" s="22"/>
    </row>
    <row r="10" customFormat="false" ht="15" hidden="false" customHeight="true" outlineLevel="0" collapsed="false">
      <c r="A10" s="9" t="n">
        <v>7</v>
      </c>
      <c r="B10" s="18"/>
      <c r="C10" s="18"/>
      <c r="D10" s="18"/>
      <c r="E10" s="18"/>
      <c r="F10" s="18"/>
      <c r="G10" s="18"/>
      <c r="H10" s="9" t="n">
        <f aca="false">D10+E10+F10+G10</f>
        <v>0</v>
      </c>
      <c r="I10" s="18"/>
    </row>
    <row r="11" customFormat="false" ht="15" hidden="false" customHeight="true" outlineLevel="0" collapsed="false">
      <c r="A11" s="5" t="n">
        <v>8</v>
      </c>
      <c r="B11" s="22"/>
      <c r="C11" s="22"/>
      <c r="D11" s="22"/>
      <c r="E11" s="22"/>
      <c r="F11" s="22"/>
      <c r="G11" s="22"/>
      <c r="H11" s="5" t="n">
        <f aca="false">D11+E11+F11+G11</f>
        <v>0</v>
      </c>
      <c r="I11" s="22"/>
    </row>
    <row r="12" customFormat="false" ht="15" hidden="false" customHeight="true" outlineLevel="0" collapsed="false">
      <c r="A12" s="9" t="n">
        <v>9</v>
      </c>
      <c r="B12" s="18"/>
      <c r="C12" s="18"/>
      <c r="D12" s="18"/>
      <c r="E12" s="18"/>
      <c r="F12" s="18"/>
      <c r="G12" s="18"/>
      <c r="H12" s="9" t="n">
        <f aca="false">D12+E12+F12+G12</f>
        <v>0</v>
      </c>
      <c r="I12" s="18"/>
    </row>
    <row r="13" customFormat="false" ht="15" hidden="false" customHeight="true" outlineLevel="0" collapsed="false">
      <c r="A13" s="5" t="n">
        <v>10</v>
      </c>
      <c r="B13" s="22"/>
      <c r="C13" s="22"/>
      <c r="D13" s="22"/>
      <c r="E13" s="22"/>
      <c r="F13" s="22"/>
      <c r="G13" s="22"/>
      <c r="H13" s="5" t="n">
        <f aca="false">D13+E13+F13+G13</f>
        <v>0</v>
      </c>
      <c r="I13" s="22"/>
    </row>
    <row r="14" customFormat="false" ht="15" hidden="false" customHeight="true" outlineLevel="0" collapsed="false">
      <c r="A14" s="9" t="n">
        <v>11</v>
      </c>
      <c r="B14" s="18"/>
      <c r="C14" s="18"/>
      <c r="D14" s="18"/>
      <c r="E14" s="18"/>
      <c r="F14" s="18"/>
      <c r="G14" s="18"/>
      <c r="H14" s="9" t="n">
        <f aca="false">D14+E14+F14+G14</f>
        <v>0</v>
      </c>
      <c r="I14" s="18"/>
    </row>
    <row r="15" customFormat="false" ht="15" hidden="false" customHeight="true" outlineLevel="0" collapsed="false">
      <c r="A15" s="5" t="n">
        <v>12</v>
      </c>
      <c r="B15" s="22"/>
      <c r="C15" s="22"/>
      <c r="D15" s="22"/>
      <c r="E15" s="22"/>
      <c r="F15" s="22"/>
      <c r="G15" s="22"/>
      <c r="H15" s="5" t="n">
        <f aca="false">D15+E15+F15+G15</f>
        <v>0</v>
      </c>
      <c r="I15" s="22"/>
    </row>
    <row r="16" customFormat="false" ht="15" hidden="false" customHeight="true" outlineLevel="0" collapsed="false">
      <c r="A16" s="9" t="n">
        <v>13</v>
      </c>
      <c r="B16" s="18"/>
      <c r="C16" s="18"/>
      <c r="D16" s="18"/>
      <c r="E16" s="18"/>
      <c r="F16" s="18"/>
      <c r="G16" s="18"/>
      <c r="H16" s="9" t="n">
        <f aca="false">D16+E16+F16+G16</f>
        <v>0</v>
      </c>
      <c r="I16" s="18"/>
    </row>
    <row r="17" customFormat="false" ht="15" hidden="false" customHeight="true" outlineLevel="0" collapsed="false">
      <c r="A17" s="5" t="n">
        <v>14</v>
      </c>
      <c r="B17" s="22"/>
      <c r="C17" s="22"/>
      <c r="D17" s="22"/>
      <c r="E17" s="22"/>
      <c r="F17" s="22"/>
      <c r="G17" s="22"/>
      <c r="H17" s="5" t="n">
        <f aca="false">D17+E17+F17+G17</f>
        <v>0</v>
      </c>
      <c r="I17" s="22"/>
    </row>
    <row r="18" customFormat="false" ht="15" hidden="false" customHeight="true" outlineLevel="0" collapsed="false">
      <c r="A18" s="9" t="n">
        <v>15</v>
      </c>
      <c r="B18" s="18"/>
      <c r="C18" s="18"/>
      <c r="D18" s="18"/>
      <c r="E18" s="18"/>
      <c r="F18" s="18"/>
      <c r="G18" s="18"/>
      <c r="H18" s="9" t="n">
        <f aca="false">D18+E18+F18+G18</f>
        <v>0</v>
      </c>
      <c r="I18" s="18"/>
    </row>
    <row r="19" customFormat="false" ht="15" hidden="false" customHeight="true" outlineLevel="0" collapsed="false">
      <c r="A19" s="5" t="n">
        <v>16</v>
      </c>
      <c r="B19" s="22"/>
      <c r="C19" s="22"/>
      <c r="D19" s="22"/>
      <c r="E19" s="22"/>
      <c r="F19" s="22"/>
      <c r="G19" s="22"/>
      <c r="H19" s="5" t="n">
        <f aca="false">D19+E19+F19+G19</f>
        <v>0</v>
      </c>
      <c r="I19" s="22"/>
    </row>
    <row r="20" customFormat="false" ht="15" hidden="false" customHeight="true" outlineLevel="0" collapsed="false">
      <c r="A20" s="9" t="n">
        <v>17</v>
      </c>
      <c r="B20" s="18"/>
      <c r="C20" s="18"/>
      <c r="D20" s="18"/>
      <c r="E20" s="18"/>
      <c r="F20" s="18"/>
      <c r="G20" s="18"/>
      <c r="H20" s="9" t="n">
        <f aca="false">D20+E20+F20+G20</f>
        <v>0</v>
      </c>
      <c r="I20" s="18"/>
    </row>
    <row r="21" customFormat="false" ht="15" hidden="false" customHeight="true" outlineLevel="0" collapsed="false">
      <c r="A21" s="5" t="n">
        <v>18</v>
      </c>
      <c r="B21" s="22"/>
      <c r="C21" s="22"/>
      <c r="D21" s="22"/>
      <c r="E21" s="22"/>
      <c r="F21" s="22"/>
      <c r="G21" s="22"/>
      <c r="H21" s="5" t="n">
        <f aca="false">D21+E21+F21+G21</f>
        <v>0</v>
      </c>
      <c r="I21" s="22"/>
    </row>
    <row r="22" customFormat="false" ht="15" hidden="false" customHeight="true" outlineLevel="0" collapsed="false">
      <c r="A22" s="9" t="n">
        <v>19</v>
      </c>
      <c r="B22" s="18"/>
      <c r="C22" s="18"/>
      <c r="D22" s="18"/>
      <c r="E22" s="18"/>
      <c r="F22" s="18"/>
      <c r="G22" s="18"/>
      <c r="H22" s="9" t="n">
        <f aca="false">D22+E22+F22+G22</f>
        <v>0</v>
      </c>
      <c r="I22" s="18"/>
    </row>
    <row r="23" customFormat="false" ht="15" hidden="false" customHeight="true" outlineLevel="0" collapsed="false">
      <c r="A23" s="5" t="n">
        <v>20</v>
      </c>
      <c r="B23" s="22"/>
      <c r="C23" s="22"/>
      <c r="D23" s="22"/>
      <c r="E23" s="22"/>
      <c r="F23" s="22"/>
      <c r="G23" s="22"/>
      <c r="H23" s="5" t="n">
        <f aca="false">D23+E23+F23+G23</f>
        <v>0</v>
      </c>
      <c r="I23" s="22"/>
    </row>
    <row r="24" customFormat="false" ht="15" hidden="false" customHeight="true" outlineLevel="0" collapsed="false">
      <c r="A24" s="9" t="n">
        <v>21</v>
      </c>
      <c r="B24" s="18"/>
      <c r="C24" s="18"/>
      <c r="D24" s="18"/>
      <c r="E24" s="18"/>
      <c r="F24" s="18"/>
      <c r="G24" s="18"/>
      <c r="H24" s="9" t="n">
        <f aca="false">D24+E24+F24+G24</f>
        <v>0</v>
      </c>
      <c r="I24" s="18"/>
    </row>
    <row r="25" customFormat="false" ht="15" hidden="false" customHeight="true" outlineLevel="0" collapsed="false">
      <c r="A25" s="5" t="n">
        <v>22</v>
      </c>
      <c r="B25" s="22"/>
      <c r="C25" s="22"/>
      <c r="D25" s="22"/>
      <c r="E25" s="22"/>
      <c r="F25" s="22"/>
      <c r="G25" s="22"/>
      <c r="H25" s="5" t="n">
        <f aca="false">D25+E25+F25+G25</f>
        <v>0</v>
      </c>
      <c r="I25" s="22"/>
    </row>
    <row r="26" customFormat="false" ht="15" hidden="false" customHeight="true" outlineLevel="0" collapsed="false">
      <c r="A26" s="9" t="n">
        <v>23</v>
      </c>
      <c r="B26" s="18"/>
      <c r="C26" s="18"/>
      <c r="D26" s="18"/>
      <c r="E26" s="18"/>
      <c r="F26" s="18"/>
      <c r="G26" s="18"/>
      <c r="H26" s="9" t="n">
        <f aca="false">D26+E26+F26+G26</f>
        <v>0</v>
      </c>
      <c r="I26" s="18"/>
    </row>
    <row r="27" customFormat="false" ht="15" hidden="false" customHeight="true" outlineLevel="0" collapsed="false">
      <c r="A27" s="5" t="n">
        <v>24</v>
      </c>
      <c r="B27" s="22"/>
      <c r="C27" s="22"/>
      <c r="D27" s="22"/>
      <c r="E27" s="22"/>
      <c r="F27" s="22"/>
      <c r="G27" s="22"/>
      <c r="H27" s="5" t="n">
        <f aca="false">D27+E27+F27+G27</f>
        <v>0</v>
      </c>
      <c r="I27" s="22"/>
    </row>
    <row r="28" customFormat="false" ht="15" hidden="false" customHeight="true" outlineLevel="0" collapsed="false">
      <c r="A28" s="9" t="n">
        <v>25</v>
      </c>
      <c r="B28" s="18"/>
      <c r="C28" s="18"/>
      <c r="D28" s="18"/>
      <c r="E28" s="18"/>
      <c r="F28" s="18"/>
      <c r="G28" s="18"/>
      <c r="H28" s="9" t="n">
        <f aca="false">D28+E28+F28+G28</f>
        <v>0</v>
      </c>
      <c r="I28" s="18"/>
    </row>
    <row r="29" customFormat="false" ht="15" hidden="false" customHeight="true" outlineLevel="0" collapsed="false">
      <c r="A29" s="5" t="n">
        <v>26</v>
      </c>
      <c r="B29" s="22"/>
      <c r="C29" s="22"/>
      <c r="D29" s="22"/>
      <c r="E29" s="22"/>
      <c r="F29" s="22"/>
      <c r="G29" s="22"/>
      <c r="H29" s="5" t="n">
        <f aca="false">D29+E29+F29+G29</f>
        <v>0</v>
      </c>
      <c r="I29" s="22"/>
    </row>
    <row r="30" customFormat="false" ht="15" hidden="false" customHeight="true" outlineLevel="0" collapsed="false">
      <c r="A30" s="9" t="n">
        <v>27</v>
      </c>
      <c r="B30" s="18"/>
      <c r="C30" s="18"/>
      <c r="D30" s="18"/>
      <c r="E30" s="18"/>
      <c r="F30" s="18"/>
      <c r="G30" s="18"/>
      <c r="H30" s="9" t="n">
        <f aca="false">D30+E30+F30+G30</f>
        <v>0</v>
      </c>
      <c r="I30" s="18"/>
    </row>
    <row r="31" customFormat="false" ht="15" hidden="false" customHeight="true" outlineLevel="0" collapsed="false">
      <c r="A31" s="5" t="n">
        <v>28</v>
      </c>
      <c r="B31" s="22"/>
      <c r="C31" s="22"/>
      <c r="D31" s="22"/>
      <c r="E31" s="22"/>
      <c r="F31" s="22"/>
      <c r="G31" s="22"/>
      <c r="H31" s="5" t="n">
        <f aca="false">D31+E31+F31+G31</f>
        <v>0</v>
      </c>
      <c r="I31" s="22"/>
    </row>
    <row r="32" customFormat="false" ht="15" hidden="false" customHeight="true" outlineLevel="0" collapsed="false">
      <c r="A32" s="9" t="n">
        <v>29</v>
      </c>
      <c r="B32" s="18"/>
      <c r="C32" s="18"/>
      <c r="D32" s="18"/>
      <c r="E32" s="18"/>
      <c r="F32" s="18"/>
      <c r="G32" s="18"/>
      <c r="H32" s="9" t="n">
        <f aca="false">D32+E32+F32+G32</f>
        <v>0</v>
      </c>
      <c r="I32" s="18"/>
    </row>
    <row r="33" customFormat="false" ht="15" hidden="false" customHeight="true" outlineLevel="0" collapsed="false">
      <c r="A33" s="5" t="n">
        <v>30</v>
      </c>
      <c r="B33" s="22"/>
      <c r="C33" s="22"/>
      <c r="D33" s="22"/>
      <c r="E33" s="22"/>
      <c r="F33" s="22"/>
      <c r="G33" s="22"/>
      <c r="H33" s="5" t="n">
        <f aca="false">D33+E33+F33+G33</f>
        <v>0</v>
      </c>
      <c r="I33" s="2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7" min="3" style="1" width="18"/>
    <col collapsed="false" customWidth="true" hidden="false" outlineLevel="0" max="8" min="8" style="1" width="20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60" t="s">
        <v>115</v>
      </c>
      <c r="B1" s="60"/>
      <c r="C1" s="60"/>
      <c r="D1" s="60"/>
      <c r="E1" s="60"/>
      <c r="F1" s="60"/>
      <c r="G1" s="60"/>
      <c r="H1" s="60"/>
      <c r="I1" s="60"/>
    </row>
    <row r="2" customFormat="false" ht="25.5" hidden="false" customHeight="true" outlineLevel="0" collapsed="false">
      <c r="A2" s="16" t="s">
        <v>116</v>
      </c>
      <c r="B2" s="16"/>
      <c r="C2" s="16"/>
      <c r="D2" s="16"/>
      <c r="E2" s="16"/>
      <c r="F2" s="16"/>
      <c r="G2" s="16"/>
      <c r="H2" s="16"/>
      <c r="I2" s="16"/>
    </row>
    <row r="3" customFormat="false" ht="23.25" hidden="false" customHeight="true" outlineLevel="0" collapsed="false">
      <c r="A3" s="56" t="s">
        <v>31</v>
      </c>
      <c r="B3" s="56" t="s">
        <v>32</v>
      </c>
      <c r="C3" s="56" t="s">
        <v>117</v>
      </c>
      <c r="D3" s="56" t="s">
        <v>118</v>
      </c>
      <c r="E3" s="56" t="s">
        <v>119</v>
      </c>
      <c r="F3" s="56" t="s">
        <v>120</v>
      </c>
      <c r="G3" s="56" t="s">
        <v>121</v>
      </c>
      <c r="H3" s="56" t="s">
        <v>122</v>
      </c>
      <c r="I3" s="56" t="s">
        <v>123</v>
      </c>
    </row>
    <row r="4" customFormat="false" ht="15" hidden="false" customHeight="true" outlineLevel="0" collapsed="false">
      <c r="B4" s="61" t="s">
        <v>124</v>
      </c>
      <c r="C4" s="62" t="n">
        <v>0.35</v>
      </c>
      <c r="D4" s="62" t="n">
        <v>0.25</v>
      </c>
      <c r="E4" s="62" t="n">
        <v>0.15</v>
      </c>
      <c r="F4" s="62" t="n">
        <v>0.15</v>
      </c>
      <c r="G4" s="62" t="n">
        <v>0.1</v>
      </c>
    </row>
    <row r="5" customFormat="false" ht="15" hidden="false" customHeight="true" outlineLevel="0" collapsed="false">
      <c r="A5" s="5" t="n">
        <v>1</v>
      </c>
      <c r="B5" s="22"/>
      <c r="C5" s="46"/>
      <c r="D5" s="46"/>
      <c r="E5" s="46"/>
      <c r="F5" s="46"/>
      <c r="G5" s="46"/>
      <c r="H5" s="49" t="n">
        <f aca="false">C5*$C$4+D5*$D$4+E5*$E$4+F5*$F$4+G5*$G$4</f>
        <v>0</v>
      </c>
      <c r="I5" s="8" t="n">
        <f aca="false">IFERROR(RANK(H5,$H$5:$H$34,0),"")</f>
        <v>1</v>
      </c>
    </row>
    <row r="6" customFormat="false" ht="15" hidden="false" customHeight="true" outlineLevel="0" collapsed="false">
      <c r="A6" s="9" t="n">
        <v>2</v>
      </c>
      <c r="B6" s="18"/>
      <c r="C6" s="45"/>
      <c r="D6" s="45"/>
      <c r="E6" s="45"/>
      <c r="F6" s="45"/>
      <c r="G6" s="45"/>
      <c r="H6" s="50" t="n">
        <f aca="false">C6*$C$4+D6*$D$4+E6*$E$4+F6*$F$4+G6*$G$4</f>
        <v>0</v>
      </c>
      <c r="I6" s="12" t="n">
        <f aca="false">IFERROR(RANK(H6,$H$5:$H$34,0),"")</f>
        <v>1</v>
      </c>
    </row>
    <row r="7" customFormat="false" ht="15" hidden="false" customHeight="true" outlineLevel="0" collapsed="false">
      <c r="A7" s="5" t="n">
        <v>3</v>
      </c>
      <c r="B7" s="22"/>
      <c r="C7" s="46"/>
      <c r="D7" s="46"/>
      <c r="E7" s="46"/>
      <c r="F7" s="46"/>
      <c r="G7" s="46"/>
      <c r="H7" s="49" t="n">
        <f aca="false">C7*$C$4+D7*$D$4+E7*$E$4+F7*$F$4+G7*$G$4</f>
        <v>0</v>
      </c>
      <c r="I7" s="8" t="n">
        <f aca="false">IFERROR(RANK(H7,$H$5:$H$34,0),"")</f>
        <v>1</v>
      </c>
    </row>
    <row r="8" customFormat="false" ht="15" hidden="false" customHeight="true" outlineLevel="0" collapsed="false">
      <c r="A8" s="9" t="n">
        <v>4</v>
      </c>
      <c r="B8" s="18"/>
      <c r="C8" s="45"/>
      <c r="D8" s="45"/>
      <c r="E8" s="45"/>
      <c r="F8" s="45"/>
      <c r="G8" s="45"/>
      <c r="H8" s="50" t="n">
        <f aca="false">C8*$C$4+D8*$D$4+E8*$E$4+F8*$F$4+G8*$G$4</f>
        <v>0</v>
      </c>
      <c r="I8" s="12" t="n">
        <f aca="false">IFERROR(RANK(H8,$H$5:$H$34,0),"")</f>
        <v>1</v>
      </c>
    </row>
    <row r="9" customFormat="false" ht="15" hidden="false" customHeight="true" outlineLevel="0" collapsed="false">
      <c r="A9" s="5" t="n">
        <v>5</v>
      </c>
      <c r="B9" s="22"/>
      <c r="C9" s="46"/>
      <c r="D9" s="46"/>
      <c r="E9" s="46"/>
      <c r="F9" s="46"/>
      <c r="G9" s="46"/>
      <c r="H9" s="49" t="n">
        <f aca="false">C9*$C$4+D9*$D$4+E9*$E$4+F9*$F$4+G9*$G$4</f>
        <v>0</v>
      </c>
      <c r="I9" s="8" t="n">
        <f aca="false">IFERROR(RANK(H9,$H$5:$H$34,0),"")</f>
        <v>1</v>
      </c>
    </row>
    <row r="10" customFormat="false" ht="15" hidden="false" customHeight="true" outlineLevel="0" collapsed="false">
      <c r="A10" s="9" t="n">
        <v>6</v>
      </c>
      <c r="B10" s="18"/>
      <c r="C10" s="45"/>
      <c r="D10" s="45"/>
      <c r="E10" s="45"/>
      <c r="F10" s="45"/>
      <c r="G10" s="45"/>
      <c r="H10" s="50" t="n">
        <f aca="false">C10*$C$4+D10*$D$4+E10*$E$4+F10*$F$4+G10*$G$4</f>
        <v>0</v>
      </c>
      <c r="I10" s="12" t="n">
        <f aca="false">IFERROR(RANK(H10,$H$5:$H$34,0),"")</f>
        <v>1</v>
      </c>
    </row>
    <row r="11" customFormat="false" ht="15" hidden="false" customHeight="true" outlineLevel="0" collapsed="false">
      <c r="A11" s="5" t="n">
        <v>7</v>
      </c>
      <c r="B11" s="22"/>
      <c r="C11" s="46"/>
      <c r="D11" s="46"/>
      <c r="E11" s="46"/>
      <c r="F11" s="46"/>
      <c r="G11" s="46"/>
      <c r="H11" s="49" t="n">
        <f aca="false">C11*$C$4+D11*$D$4+E11*$E$4+F11*$F$4+G11*$G$4</f>
        <v>0</v>
      </c>
      <c r="I11" s="8" t="n">
        <f aca="false">IFERROR(RANK(H11,$H$5:$H$34,0),"")</f>
        <v>1</v>
      </c>
    </row>
    <row r="12" customFormat="false" ht="15" hidden="false" customHeight="true" outlineLevel="0" collapsed="false">
      <c r="A12" s="9" t="n">
        <v>8</v>
      </c>
      <c r="B12" s="18"/>
      <c r="C12" s="45"/>
      <c r="D12" s="45"/>
      <c r="E12" s="45"/>
      <c r="F12" s="45"/>
      <c r="G12" s="45"/>
      <c r="H12" s="50" t="n">
        <f aca="false">C12*$C$4+D12*$D$4+E12*$E$4+F12*$F$4+G12*$G$4</f>
        <v>0</v>
      </c>
      <c r="I12" s="12" t="n">
        <f aca="false">IFERROR(RANK(H12,$H$5:$H$34,0),"")</f>
        <v>1</v>
      </c>
    </row>
    <row r="13" customFormat="false" ht="15" hidden="false" customHeight="true" outlineLevel="0" collapsed="false">
      <c r="A13" s="5" t="n">
        <v>9</v>
      </c>
      <c r="B13" s="22"/>
      <c r="C13" s="46"/>
      <c r="D13" s="46"/>
      <c r="E13" s="46"/>
      <c r="F13" s="46"/>
      <c r="G13" s="46"/>
      <c r="H13" s="49" t="n">
        <f aca="false">C13*$C$4+D13*$D$4+E13*$E$4+F13*$F$4+G13*$G$4</f>
        <v>0</v>
      </c>
      <c r="I13" s="8" t="n">
        <f aca="false">IFERROR(RANK(H13,$H$5:$H$34,0),"")</f>
        <v>1</v>
      </c>
    </row>
    <row r="14" customFormat="false" ht="15" hidden="false" customHeight="true" outlineLevel="0" collapsed="false">
      <c r="A14" s="9" t="n">
        <v>10</v>
      </c>
      <c r="B14" s="18"/>
      <c r="C14" s="45"/>
      <c r="D14" s="45"/>
      <c r="E14" s="45"/>
      <c r="F14" s="45"/>
      <c r="G14" s="45"/>
      <c r="H14" s="50" t="n">
        <f aca="false">C14*$C$4+D14*$D$4+E14*$E$4+F14*$F$4+G14*$G$4</f>
        <v>0</v>
      </c>
      <c r="I14" s="12" t="n">
        <f aca="false">IFERROR(RANK(H14,$H$5:$H$34,0),"")</f>
        <v>1</v>
      </c>
    </row>
    <row r="15" customFormat="false" ht="15" hidden="false" customHeight="true" outlineLevel="0" collapsed="false">
      <c r="A15" s="5" t="n">
        <v>11</v>
      </c>
      <c r="B15" s="22"/>
      <c r="C15" s="46"/>
      <c r="D15" s="46"/>
      <c r="E15" s="46"/>
      <c r="F15" s="46"/>
      <c r="G15" s="46"/>
      <c r="H15" s="49" t="n">
        <f aca="false">C15*$C$4+D15*$D$4+E15*$E$4+F15*$F$4+G15*$G$4</f>
        <v>0</v>
      </c>
      <c r="I15" s="8" t="n">
        <f aca="false">IFERROR(RANK(H15,$H$5:$H$34,0),"")</f>
        <v>1</v>
      </c>
    </row>
    <row r="16" customFormat="false" ht="15" hidden="false" customHeight="true" outlineLevel="0" collapsed="false">
      <c r="A16" s="9" t="n">
        <v>12</v>
      </c>
      <c r="B16" s="18"/>
      <c r="C16" s="45"/>
      <c r="D16" s="45"/>
      <c r="E16" s="45"/>
      <c r="F16" s="45"/>
      <c r="G16" s="45"/>
      <c r="H16" s="50" t="n">
        <f aca="false">C16*$C$4+D16*$D$4+E16*$E$4+F16*$F$4+G16*$G$4</f>
        <v>0</v>
      </c>
      <c r="I16" s="12" t="n">
        <f aca="false">IFERROR(RANK(H16,$H$5:$H$34,0),"")</f>
        <v>1</v>
      </c>
    </row>
    <row r="17" customFormat="false" ht="15" hidden="false" customHeight="true" outlineLevel="0" collapsed="false">
      <c r="A17" s="5" t="n">
        <v>13</v>
      </c>
      <c r="B17" s="22"/>
      <c r="C17" s="46"/>
      <c r="D17" s="46"/>
      <c r="E17" s="46"/>
      <c r="F17" s="46"/>
      <c r="G17" s="46"/>
      <c r="H17" s="49" t="n">
        <f aca="false">C17*$C$4+D17*$D$4+E17*$E$4+F17*$F$4+G17*$G$4</f>
        <v>0</v>
      </c>
      <c r="I17" s="8" t="n">
        <f aca="false">IFERROR(RANK(H17,$H$5:$H$34,0),"")</f>
        <v>1</v>
      </c>
    </row>
    <row r="18" customFormat="false" ht="15" hidden="false" customHeight="true" outlineLevel="0" collapsed="false">
      <c r="A18" s="9" t="n">
        <v>14</v>
      </c>
      <c r="B18" s="18"/>
      <c r="C18" s="45"/>
      <c r="D18" s="45"/>
      <c r="E18" s="45"/>
      <c r="F18" s="45"/>
      <c r="G18" s="45"/>
      <c r="H18" s="50" t="n">
        <f aca="false">C18*$C$4+D18*$D$4+E18*$E$4+F18*$F$4+G18*$G$4</f>
        <v>0</v>
      </c>
      <c r="I18" s="12" t="n">
        <f aca="false">IFERROR(RANK(H18,$H$5:$H$34,0),"")</f>
        <v>1</v>
      </c>
    </row>
    <row r="19" customFormat="false" ht="15" hidden="false" customHeight="true" outlineLevel="0" collapsed="false">
      <c r="A19" s="5" t="n">
        <v>15</v>
      </c>
      <c r="B19" s="22"/>
      <c r="C19" s="46"/>
      <c r="D19" s="46"/>
      <c r="E19" s="46"/>
      <c r="F19" s="46"/>
      <c r="G19" s="46"/>
      <c r="H19" s="49" t="n">
        <f aca="false">C19*$C$4+D19*$D$4+E19*$E$4+F19*$F$4+G19*$G$4</f>
        <v>0</v>
      </c>
      <c r="I19" s="8" t="n">
        <f aca="false">IFERROR(RANK(H19,$H$5:$H$34,0),"")</f>
        <v>1</v>
      </c>
    </row>
    <row r="20" customFormat="false" ht="15" hidden="false" customHeight="true" outlineLevel="0" collapsed="false">
      <c r="A20" s="9" t="n">
        <v>16</v>
      </c>
      <c r="B20" s="18"/>
      <c r="C20" s="45"/>
      <c r="D20" s="45"/>
      <c r="E20" s="45"/>
      <c r="F20" s="45"/>
      <c r="G20" s="45"/>
      <c r="H20" s="50" t="n">
        <f aca="false">C20*$C$4+D20*$D$4+E20*$E$4+F20*$F$4+G20*$G$4</f>
        <v>0</v>
      </c>
      <c r="I20" s="12" t="n">
        <f aca="false">IFERROR(RANK(H20,$H$5:$H$34,0),"")</f>
        <v>1</v>
      </c>
    </row>
    <row r="21" customFormat="false" ht="15" hidden="false" customHeight="true" outlineLevel="0" collapsed="false">
      <c r="A21" s="5" t="n">
        <v>17</v>
      </c>
      <c r="B21" s="22"/>
      <c r="C21" s="46"/>
      <c r="D21" s="46"/>
      <c r="E21" s="46"/>
      <c r="F21" s="46"/>
      <c r="G21" s="46"/>
      <c r="H21" s="49" t="n">
        <f aca="false">C21*$C$4+D21*$D$4+E21*$E$4+F21*$F$4+G21*$G$4</f>
        <v>0</v>
      </c>
      <c r="I21" s="8" t="n">
        <f aca="false">IFERROR(RANK(H21,$H$5:$H$34,0),"")</f>
        <v>1</v>
      </c>
    </row>
    <row r="22" customFormat="false" ht="15" hidden="false" customHeight="true" outlineLevel="0" collapsed="false">
      <c r="A22" s="9" t="n">
        <v>18</v>
      </c>
      <c r="B22" s="18"/>
      <c r="C22" s="45"/>
      <c r="D22" s="45"/>
      <c r="E22" s="45"/>
      <c r="F22" s="45"/>
      <c r="G22" s="45"/>
      <c r="H22" s="50" t="n">
        <f aca="false">C22*$C$4+D22*$D$4+E22*$E$4+F22*$F$4+G22*$G$4</f>
        <v>0</v>
      </c>
      <c r="I22" s="12" t="n">
        <f aca="false">IFERROR(RANK(H22,$H$5:$H$34,0),"")</f>
        <v>1</v>
      </c>
    </row>
    <row r="23" customFormat="false" ht="15" hidden="false" customHeight="true" outlineLevel="0" collapsed="false">
      <c r="A23" s="5" t="n">
        <v>19</v>
      </c>
      <c r="B23" s="22"/>
      <c r="C23" s="46"/>
      <c r="D23" s="46"/>
      <c r="E23" s="46"/>
      <c r="F23" s="46"/>
      <c r="G23" s="46"/>
      <c r="H23" s="49" t="n">
        <f aca="false">C23*$C$4+D23*$D$4+E23*$E$4+F23*$F$4+G23*$G$4</f>
        <v>0</v>
      </c>
      <c r="I23" s="8" t="n">
        <f aca="false">IFERROR(RANK(H23,$H$5:$H$34,0),"")</f>
        <v>1</v>
      </c>
    </row>
    <row r="24" customFormat="false" ht="15" hidden="false" customHeight="true" outlineLevel="0" collapsed="false">
      <c r="A24" s="9" t="n">
        <v>20</v>
      </c>
      <c r="B24" s="18"/>
      <c r="C24" s="45"/>
      <c r="D24" s="45"/>
      <c r="E24" s="45"/>
      <c r="F24" s="45"/>
      <c r="G24" s="45"/>
      <c r="H24" s="50" t="n">
        <f aca="false">C24*$C$4+D24*$D$4+E24*$E$4+F24*$F$4+G24*$G$4</f>
        <v>0</v>
      </c>
      <c r="I24" s="12" t="n">
        <f aca="false">IFERROR(RANK(H24,$H$5:$H$34,0),"")</f>
        <v>1</v>
      </c>
    </row>
    <row r="25" customFormat="false" ht="15" hidden="false" customHeight="true" outlineLevel="0" collapsed="false">
      <c r="A25" s="5" t="n">
        <v>21</v>
      </c>
      <c r="B25" s="22"/>
      <c r="C25" s="46"/>
      <c r="D25" s="46"/>
      <c r="E25" s="46"/>
      <c r="F25" s="46"/>
      <c r="G25" s="46"/>
      <c r="H25" s="49" t="n">
        <f aca="false">C25*$C$4+D25*$D$4+E25*$E$4+F25*$F$4+G25*$G$4</f>
        <v>0</v>
      </c>
      <c r="I25" s="8" t="n">
        <f aca="false">IFERROR(RANK(H25,$H$5:$H$34,0),"")</f>
        <v>1</v>
      </c>
    </row>
    <row r="26" customFormat="false" ht="15" hidden="false" customHeight="true" outlineLevel="0" collapsed="false">
      <c r="A26" s="9" t="n">
        <v>22</v>
      </c>
      <c r="B26" s="18"/>
      <c r="C26" s="45"/>
      <c r="D26" s="45"/>
      <c r="E26" s="45"/>
      <c r="F26" s="45"/>
      <c r="G26" s="45"/>
      <c r="H26" s="50" t="n">
        <f aca="false">C26*$C$4+D26*$D$4+E26*$E$4+F26*$F$4+G26*$G$4</f>
        <v>0</v>
      </c>
      <c r="I26" s="12" t="n">
        <f aca="false">IFERROR(RANK(H26,$H$5:$H$34,0),"")</f>
        <v>1</v>
      </c>
    </row>
    <row r="27" customFormat="false" ht="15" hidden="false" customHeight="true" outlineLevel="0" collapsed="false">
      <c r="A27" s="5" t="n">
        <v>23</v>
      </c>
      <c r="B27" s="22"/>
      <c r="C27" s="46"/>
      <c r="D27" s="46"/>
      <c r="E27" s="46"/>
      <c r="F27" s="46"/>
      <c r="G27" s="46"/>
      <c r="H27" s="49" t="n">
        <f aca="false">C27*$C$4+D27*$D$4+E27*$E$4+F27*$F$4+G27*$G$4</f>
        <v>0</v>
      </c>
      <c r="I27" s="8" t="n">
        <f aca="false">IFERROR(RANK(H27,$H$5:$H$34,0),"")</f>
        <v>1</v>
      </c>
    </row>
    <row r="28" customFormat="false" ht="15" hidden="false" customHeight="true" outlineLevel="0" collapsed="false">
      <c r="A28" s="9" t="n">
        <v>24</v>
      </c>
      <c r="B28" s="18"/>
      <c r="C28" s="45"/>
      <c r="D28" s="45"/>
      <c r="E28" s="45"/>
      <c r="F28" s="45"/>
      <c r="G28" s="45"/>
      <c r="H28" s="50" t="n">
        <f aca="false">C28*$C$4+D28*$D$4+E28*$E$4+F28*$F$4+G28*$G$4</f>
        <v>0</v>
      </c>
      <c r="I28" s="12" t="n">
        <f aca="false">IFERROR(RANK(H28,$H$5:$H$34,0),"")</f>
        <v>1</v>
      </c>
    </row>
    <row r="29" customFormat="false" ht="15" hidden="false" customHeight="true" outlineLevel="0" collapsed="false">
      <c r="A29" s="5" t="n">
        <v>25</v>
      </c>
      <c r="B29" s="22"/>
      <c r="C29" s="46"/>
      <c r="D29" s="46"/>
      <c r="E29" s="46"/>
      <c r="F29" s="46"/>
      <c r="G29" s="46"/>
      <c r="H29" s="49" t="n">
        <f aca="false">C29*$C$4+D29*$D$4+E29*$E$4+F29*$F$4+G29*$G$4</f>
        <v>0</v>
      </c>
      <c r="I29" s="8" t="n">
        <f aca="false">IFERROR(RANK(H29,$H$5:$H$34,0),"")</f>
        <v>1</v>
      </c>
    </row>
    <row r="30" customFormat="false" ht="15" hidden="false" customHeight="true" outlineLevel="0" collapsed="false">
      <c r="A30" s="9" t="n">
        <v>26</v>
      </c>
      <c r="B30" s="18"/>
      <c r="C30" s="45"/>
      <c r="D30" s="45"/>
      <c r="E30" s="45"/>
      <c r="F30" s="45"/>
      <c r="G30" s="45"/>
      <c r="H30" s="50" t="n">
        <f aca="false">C30*$C$4+D30*$D$4+E30*$E$4+F30*$F$4+G30*$G$4</f>
        <v>0</v>
      </c>
      <c r="I30" s="12" t="n">
        <f aca="false">IFERROR(RANK(H30,$H$5:$H$34,0),"")</f>
        <v>1</v>
      </c>
    </row>
    <row r="31" customFormat="false" ht="15" hidden="false" customHeight="true" outlineLevel="0" collapsed="false">
      <c r="A31" s="5" t="n">
        <v>27</v>
      </c>
      <c r="B31" s="22"/>
      <c r="C31" s="46"/>
      <c r="D31" s="46"/>
      <c r="E31" s="46"/>
      <c r="F31" s="46"/>
      <c r="G31" s="46"/>
      <c r="H31" s="49" t="n">
        <f aca="false">C31*$C$4+D31*$D$4+E31*$E$4+F31*$F$4+G31*$G$4</f>
        <v>0</v>
      </c>
      <c r="I31" s="8" t="n">
        <f aca="false">IFERROR(RANK(H31,$H$5:$H$34,0),"")</f>
        <v>1</v>
      </c>
    </row>
    <row r="32" customFormat="false" ht="15" hidden="false" customHeight="true" outlineLevel="0" collapsed="false">
      <c r="A32" s="9" t="n">
        <v>28</v>
      </c>
      <c r="B32" s="18"/>
      <c r="C32" s="45"/>
      <c r="D32" s="45"/>
      <c r="E32" s="45"/>
      <c r="F32" s="45"/>
      <c r="G32" s="45"/>
      <c r="H32" s="50" t="n">
        <f aca="false">C32*$C$4+D32*$D$4+E32*$E$4+F32*$F$4+G32*$G$4</f>
        <v>0</v>
      </c>
      <c r="I32" s="12" t="n">
        <f aca="false">IFERROR(RANK(H32,$H$5:$H$34,0),"")</f>
        <v>1</v>
      </c>
    </row>
    <row r="33" customFormat="false" ht="15" hidden="false" customHeight="true" outlineLevel="0" collapsed="false">
      <c r="A33" s="5" t="n">
        <v>29</v>
      </c>
      <c r="B33" s="22"/>
      <c r="C33" s="46"/>
      <c r="D33" s="46"/>
      <c r="E33" s="46"/>
      <c r="F33" s="46"/>
      <c r="G33" s="46"/>
      <c r="H33" s="49" t="n">
        <f aca="false">C33*$C$4+D33*$D$4+E33*$E$4+F33*$F$4+G33*$G$4</f>
        <v>0</v>
      </c>
      <c r="I33" s="8" t="n">
        <f aca="false">IFERROR(RANK(H33,$H$5:$H$34,0),"")</f>
        <v>1</v>
      </c>
    </row>
    <row r="34" customFormat="false" ht="15" hidden="false" customHeight="true" outlineLevel="0" collapsed="false">
      <c r="A34" s="9" t="n">
        <v>30</v>
      </c>
      <c r="B34" s="18"/>
      <c r="C34" s="45"/>
      <c r="D34" s="45"/>
      <c r="E34" s="45"/>
      <c r="F34" s="45"/>
      <c r="G34" s="45"/>
      <c r="H34" s="50" t="n">
        <f aca="false">C34*$C$4+D34*$D$4+E34*$E$4+F34*$F$4+G34*$G$4</f>
        <v>0</v>
      </c>
      <c r="I34" s="12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7" min="3" style="1" width="14"/>
    <col collapsed="false" customWidth="true" hidden="false" outlineLevel="0" max="8" min="8" style="1" width="18"/>
    <col collapsed="false" customWidth="true" hidden="false" outlineLevel="0" max="9" min="9" style="1" width="22"/>
  </cols>
  <sheetData>
    <row r="1" customFormat="false" ht="33.75" hidden="false" customHeight="true" outlineLevel="0" collapsed="false">
      <c r="A1" s="36" t="s">
        <v>125</v>
      </c>
      <c r="B1" s="36"/>
      <c r="C1" s="36"/>
      <c r="D1" s="36"/>
      <c r="E1" s="36"/>
      <c r="F1" s="36"/>
      <c r="G1" s="36"/>
      <c r="H1" s="36"/>
      <c r="I1" s="36"/>
    </row>
    <row r="3" customFormat="false" ht="15" hidden="false" customHeight="true" outlineLevel="0" collapsed="false">
      <c r="A3" s="38" t="s">
        <v>31</v>
      </c>
      <c r="B3" s="38" t="s">
        <v>126</v>
      </c>
      <c r="C3" s="38" t="s">
        <v>127</v>
      </c>
      <c r="D3" s="38" t="s">
        <v>128</v>
      </c>
      <c r="E3" s="38" t="s">
        <v>129</v>
      </c>
      <c r="F3" s="38" t="s">
        <v>130</v>
      </c>
      <c r="G3" s="38" t="s">
        <v>131</v>
      </c>
      <c r="H3" s="38" t="s">
        <v>132</v>
      </c>
      <c r="I3" s="38" t="s">
        <v>133</v>
      </c>
    </row>
    <row r="4" customFormat="false" ht="15" hidden="false" customHeight="true" outlineLevel="0" collapsed="false">
      <c r="A4" s="63" t="n">
        <v>1</v>
      </c>
      <c r="B4" s="64" t="s">
        <v>134</v>
      </c>
      <c r="C4" s="65"/>
      <c r="D4" s="65"/>
      <c r="E4" s="65"/>
      <c r="F4" s="65"/>
      <c r="G4" s="65"/>
      <c r="H4" s="65"/>
      <c r="I4" s="63" t="s">
        <v>135</v>
      </c>
    </row>
    <row r="5" customFormat="false" ht="15" hidden="false" customHeight="true" outlineLevel="0" collapsed="false">
      <c r="A5" s="5" t="n">
        <v>2</v>
      </c>
      <c r="B5" s="6" t="s">
        <v>136</v>
      </c>
      <c r="C5" s="22"/>
      <c r="D5" s="22"/>
      <c r="E5" s="22"/>
      <c r="F5" s="22"/>
      <c r="G5" s="22"/>
      <c r="H5" s="22"/>
      <c r="I5" s="5" t="s">
        <v>137</v>
      </c>
    </row>
    <row r="6" customFormat="false" ht="15" hidden="false" customHeight="true" outlineLevel="0" collapsed="false">
      <c r="A6" s="9" t="n">
        <v>3</v>
      </c>
      <c r="B6" s="10" t="s">
        <v>138</v>
      </c>
      <c r="C6" s="18"/>
      <c r="D6" s="18"/>
      <c r="E6" s="18"/>
      <c r="F6" s="18"/>
      <c r="G6" s="18"/>
      <c r="H6" s="18"/>
      <c r="I6" s="9" t="s">
        <v>139</v>
      </c>
    </row>
    <row r="7" customFormat="false" ht="15" hidden="false" customHeight="true" outlineLevel="0" collapsed="false">
      <c r="A7" s="5" t="n">
        <v>4</v>
      </c>
      <c r="B7" s="6" t="s">
        <v>140</v>
      </c>
      <c r="C7" s="22"/>
      <c r="D7" s="22"/>
      <c r="E7" s="22"/>
      <c r="F7" s="22"/>
      <c r="G7" s="22"/>
      <c r="H7" s="22"/>
      <c r="I7" s="5" t="s">
        <v>141</v>
      </c>
    </row>
    <row r="8" customFormat="false" ht="15" hidden="false" customHeight="true" outlineLevel="0" collapsed="false">
      <c r="A8" s="9" t="n">
        <v>5</v>
      </c>
      <c r="B8" s="10" t="s">
        <v>142</v>
      </c>
      <c r="C8" s="18"/>
      <c r="D8" s="18"/>
      <c r="E8" s="18"/>
      <c r="F8" s="18"/>
      <c r="G8" s="18"/>
      <c r="H8" s="18"/>
      <c r="I8" s="9" t="s">
        <v>143</v>
      </c>
    </row>
    <row r="9" customFormat="false" ht="15" hidden="false" customHeight="true" outlineLevel="0" collapsed="false">
      <c r="A9" s="5" t="n">
        <v>1</v>
      </c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true" outlineLevel="0" collapsed="false">
      <c r="A10" s="9" t="n">
        <v>2</v>
      </c>
      <c r="B10" s="18"/>
      <c r="C10" s="18"/>
      <c r="D10" s="18"/>
      <c r="E10" s="18"/>
      <c r="F10" s="18"/>
      <c r="G10" s="18"/>
      <c r="H10" s="18"/>
      <c r="I10" s="18"/>
    </row>
    <row r="11" customFormat="false" ht="15" hidden="false" customHeight="true" outlineLevel="0" collapsed="false">
      <c r="A11" s="5" t="n">
        <v>3</v>
      </c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true" outlineLevel="0" collapsed="false">
      <c r="A12" s="9" t="n">
        <v>4</v>
      </c>
      <c r="B12" s="18"/>
      <c r="C12" s="18"/>
      <c r="D12" s="18"/>
      <c r="E12" s="18"/>
      <c r="F12" s="18"/>
      <c r="G12" s="18"/>
      <c r="H12" s="18"/>
      <c r="I12" s="18"/>
    </row>
    <row r="13" customFormat="false" ht="15" hidden="false" customHeight="true" outlineLevel="0" collapsed="false">
      <c r="A13" s="5" t="n">
        <v>5</v>
      </c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true" outlineLevel="0" collapsed="false">
      <c r="A14" s="9" t="n">
        <v>6</v>
      </c>
      <c r="B14" s="18"/>
      <c r="C14" s="18"/>
      <c r="D14" s="18"/>
      <c r="E14" s="18"/>
      <c r="F14" s="18"/>
      <c r="G14" s="18"/>
      <c r="H14" s="18"/>
      <c r="I14" s="18"/>
    </row>
    <row r="15" customFormat="false" ht="15" hidden="false" customHeight="true" outlineLevel="0" collapsed="false">
      <c r="A15" s="5" t="n">
        <v>7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9" t="n">
        <v>8</v>
      </c>
      <c r="B16" s="18"/>
      <c r="C16" s="18"/>
      <c r="D16" s="18"/>
      <c r="E16" s="18"/>
      <c r="F16" s="18"/>
      <c r="G16" s="18"/>
      <c r="H16" s="18"/>
      <c r="I16" s="18"/>
    </row>
    <row r="17" customFormat="false" ht="15" hidden="false" customHeight="true" outlineLevel="0" collapsed="false">
      <c r="A17" s="5" t="n">
        <v>9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9" t="n">
        <v>10</v>
      </c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true" outlineLevel="0" collapsed="false">
      <c r="A19" s="5" t="n">
        <v>11</v>
      </c>
      <c r="B19" s="22"/>
      <c r="C19" s="22"/>
      <c r="D19" s="22"/>
      <c r="E19" s="22"/>
      <c r="F19" s="22"/>
      <c r="G19" s="22"/>
      <c r="H19" s="22"/>
      <c r="I19" s="22"/>
    </row>
    <row r="20" customFormat="false" ht="15" hidden="false" customHeight="true" outlineLevel="0" collapsed="false">
      <c r="A20" s="9" t="n">
        <v>12</v>
      </c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true" outlineLevel="0" collapsed="false">
      <c r="A21" s="5" t="n">
        <v>13</v>
      </c>
      <c r="B21" s="22"/>
      <c r="C21" s="22"/>
      <c r="D21" s="22"/>
      <c r="E21" s="22"/>
      <c r="F21" s="22"/>
      <c r="G21" s="22"/>
      <c r="H21" s="22"/>
      <c r="I21" s="22"/>
    </row>
    <row r="22" customFormat="false" ht="15" hidden="false" customHeight="true" outlineLevel="0" collapsed="false">
      <c r="A22" s="9" t="n">
        <v>14</v>
      </c>
      <c r="B22" s="18"/>
      <c r="C22" s="18"/>
      <c r="D22" s="18"/>
      <c r="E22" s="18"/>
      <c r="F22" s="18"/>
      <c r="G22" s="18"/>
      <c r="H22" s="18"/>
      <c r="I22" s="18"/>
    </row>
    <row r="23" customFormat="false" ht="15" hidden="false" customHeight="true" outlineLevel="0" collapsed="false">
      <c r="A23" s="5" t="n">
        <v>15</v>
      </c>
      <c r="B23" s="22"/>
      <c r="C23" s="22"/>
      <c r="D23" s="22"/>
      <c r="E23" s="22"/>
      <c r="F23" s="22"/>
      <c r="G23" s="22"/>
      <c r="H23" s="22"/>
      <c r="I23" s="2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42"/>
    <col collapsed="false" customWidth="true" hidden="false" outlineLevel="0" max="5" min="4" style="1" width="16"/>
    <col collapsed="false" customWidth="true" hidden="false" outlineLevel="0" max="6" min="6" style="1" width="22"/>
  </cols>
  <sheetData>
    <row r="1" customFormat="false" ht="33.75" hidden="false" customHeight="true" outlineLevel="0" collapsed="false">
      <c r="A1" s="15" t="s">
        <v>144</v>
      </c>
      <c r="B1" s="15"/>
      <c r="C1" s="15"/>
      <c r="D1" s="15"/>
      <c r="E1" s="15"/>
      <c r="F1" s="15"/>
    </row>
    <row r="2" customFormat="false" ht="25.5" hidden="false" customHeight="true" outlineLevel="0" collapsed="false">
      <c r="A2" s="66" t="s">
        <v>145</v>
      </c>
      <c r="B2" s="66"/>
      <c r="C2" s="66"/>
      <c r="D2" s="66"/>
      <c r="E2" s="66"/>
      <c r="F2" s="66"/>
    </row>
    <row r="3" customFormat="false" ht="15" hidden="false" customHeight="true" outlineLevel="0" collapsed="false">
      <c r="A3" s="17" t="s">
        <v>2</v>
      </c>
      <c r="B3" s="17" t="s">
        <v>146</v>
      </c>
      <c r="C3" s="17" t="s">
        <v>147</v>
      </c>
      <c r="D3" s="17" t="s">
        <v>148</v>
      </c>
      <c r="E3" s="17" t="s">
        <v>149</v>
      </c>
      <c r="F3" s="17" t="s">
        <v>150</v>
      </c>
    </row>
    <row r="4" customFormat="false" ht="31.5" hidden="false" customHeight="true" outlineLevel="0" collapsed="false">
      <c r="A4" s="9" t="n">
        <v>1</v>
      </c>
      <c r="B4" s="10" t="s">
        <v>151</v>
      </c>
      <c r="C4" s="11" t="s">
        <v>152</v>
      </c>
      <c r="D4" s="18"/>
      <c r="E4" s="18"/>
      <c r="F4" s="18"/>
    </row>
    <row r="5" customFormat="false" ht="31.5" hidden="false" customHeight="true" outlineLevel="0" collapsed="false">
      <c r="A5" s="5" t="n">
        <v>2</v>
      </c>
      <c r="B5" s="6" t="s">
        <v>153</v>
      </c>
      <c r="C5" s="7" t="s">
        <v>154</v>
      </c>
      <c r="D5" s="22"/>
      <c r="E5" s="22"/>
      <c r="F5" s="22"/>
    </row>
    <row r="6" customFormat="false" ht="31.5" hidden="false" customHeight="true" outlineLevel="0" collapsed="false">
      <c r="A6" s="9" t="n">
        <v>3</v>
      </c>
      <c r="B6" s="10" t="s">
        <v>155</v>
      </c>
      <c r="C6" s="11" t="s">
        <v>156</v>
      </c>
      <c r="D6" s="18"/>
      <c r="E6" s="18"/>
      <c r="F6" s="18"/>
    </row>
    <row r="7" customFormat="false" ht="31.5" hidden="false" customHeight="true" outlineLevel="0" collapsed="false">
      <c r="A7" s="5" t="n">
        <v>4</v>
      </c>
      <c r="B7" s="6" t="s">
        <v>157</v>
      </c>
      <c r="C7" s="7" t="s">
        <v>158</v>
      </c>
      <c r="D7" s="22"/>
      <c r="E7" s="22"/>
      <c r="F7" s="22"/>
    </row>
    <row r="8" customFormat="false" ht="31.5" hidden="false" customHeight="true" outlineLevel="0" collapsed="false">
      <c r="A8" s="9" t="n">
        <v>5</v>
      </c>
      <c r="B8" s="10" t="s">
        <v>159</v>
      </c>
      <c r="C8" s="11" t="s">
        <v>160</v>
      </c>
      <c r="D8" s="18"/>
      <c r="E8" s="18"/>
      <c r="F8" s="18"/>
    </row>
    <row r="9" customFormat="false" ht="31.5" hidden="false" customHeight="true" outlineLevel="0" collapsed="false">
      <c r="A9" s="5" t="n">
        <v>6</v>
      </c>
      <c r="B9" s="6" t="s">
        <v>161</v>
      </c>
      <c r="C9" s="7" t="s">
        <v>162</v>
      </c>
      <c r="D9" s="22"/>
      <c r="E9" s="22"/>
      <c r="F9" s="22"/>
    </row>
    <row r="10" customFormat="false" ht="31.5" hidden="false" customHeight="true" outlineLevel="0" collapsed="false">
      <c r="A10" s="9" t="n">
        <v>7</v>
      </c>
      <c r="B10" s="10" t="s">
        <v>163</v>
      </c>
      <c r="C10" s="11" t="s">
        <v>164</v>
      </c>
      <c r="D10" s="18"/>
      <c r="E10" s="18"/>
      <c r="F10" s="18"/>
    </row>
    <row r="11" customFormat="false" ht="31.5" hidden="false" customHeight="true" outlineLevel="0" collapsed="false">
      <c r="A11" s="5" t="n">
        <v>8</v>
      </c>
      <c r="B11" s="6" t="s">
        <v>165</v>
      </c>
      <c r="C11" s="7" t="s">
        <v>166</v>
      </c>
      <c r="D11" s="22"/>
      <c r="E11" s="22"/>
      <c r="F11" s="22"/>
    </row>
    <row r="12" customFormat="false" ht="31.5" hidden="false" customHeight="true" outlineLevel="0" collapsed="false">
      <c r="A12" s="9" t="n">
        <v>9</v>
      </c>
      <c r="B12" s="10" t="s">
        <v>167</v>
      </c>
      <c r="C12" s="11" t="s">
        <v>168</v>
      </c>
      <c r="D12" s="18"/>
      <c r="E12" s="18"/>
      <c r="F12" s="18"/>
    </row>
    <row r="13" customFormat="false" ht="31.5" hidden="false" customHeight="true" outlineLevel="0" collapsed="false">
      <c r="A13" s="5" t="n">
        <v>10</v>
      </c>
      <c r="B13" s="6" t="s">
        <v>169</v>
      </c>
      <c r="C13" s="7" t="s">
        <v>170</v>
      </c>
      <c r="D13" s="22"/>
      <c r="E13" s="22"/>
      <c r="F13" s="22"/>
    </row>
    <row r="14" customFormat="false" ht="31.5" hidden="false" customHeight="true" outlineLevel="0" collapsed="false">
      <c r="A14" s="9" t="n">
        <v>11</v>
      </c>
      <c r="B14" s="10" t="s">
        <v>171</v>
      </c>
      <c r="C14" s="11" t="s">
        <v>172</v>
      </c>
      <c r="D14" s="18"/>
      <c r="E14" s="18"/>
      <c r="F14" s="18"/>
    </row>
    <row r="15" customFormat="false" ht="31.5" hidden="false" customHeight="true" outlineLevel="0" collapsed="false">
      <c r="A15" s="5" t="n">
        <v>12</v>
      </c>
      <c r="B15" s="6" t="s">
        <v>173</v>
      </c>
      <c r="C15" s="7" t="s">
        <v>174</v>
      </c>
      <c r="D15" s="22"/>
      <c r="E15" s="22"/>
      <c r="F15" s="22"/>
    </row>
    <row r="16" customFormat="false" ht="31.5" hidden="false" customHeight="true" outlineLevel="0" collapsed="false">
      <c r="A16" s="9" t="n">
        <v>13</v>
      </c>
      <c r="B16" s="10" t="s">
        <v>175</v>
      </c>
      <c r="C16" s="11" t="s">
        <v>176</v>
      </c>
      <c r="D16" s="18"/>
      <c r="E16" s="18"/>
      <c r="F16" s="18"/>
    </row>
    <row r="17" customFormat="false" ht="31.5" hidden="false" customHeight="true" outlineLevel="0" collapsed="false">
      <c r="A17" s="5" t="n">
        <v>14</v>
      </c>
      <c r="B17" s="6" t="s">
        <v>177</v>
      </c>
      <c r="C17" s="7" t="s">
        <v>178</v>
      </c>
      <c r="D17" s="22"/>
      <c r="E17" s="22"/>
      <c r="F17" s="22"/>
    </row>
    <row r="18" customFormat="false" ht="31.5" hidden="false" customHeight="true" outlineLevel="0" collapsed="false">
      <c r="A18" s="9" t="n">
        <v>15</v>
      </c>
      <c r="B18" s="10" t="s">
        <v>179</v>
      </c>
      <c r="C18" s="11" t="s">
        <v>180</v>
      </c>
      <c r="D18" s="18"/>
      <c r="E18" s="18"/>
      <c r="F18" s="18"/>
    </row>
    <row r="19" customFormat="false" ht="31.5" hidden="false" customHeight="true" outlineLevel="0" collapsed="false">
      <c r="A19" s="5" t="n">
        <v>16</v>
      </c>
      <c r="B19" s="6" t="s">
        <v>181</v>
      </c>
      <c r="C19" s="7" t="s">
        <v>182</v>
      </c>
      <c r="D19" s="22"/>
      <c r="E19" s="22"/>
      <c r="F19" s="22"/>
    </row>
    <row r="20" customFormat="false" ht="31.5" hidden="false" customHeight="true" outlineLevel="0" collapsed="false">
      <c r="A20" s="9" t="n">
        <v>17</v>
      </c>
      <c r="B20" s="10" t="s">
        <v>183</v>
      </c>
      <c r="C20" s="11" t="s">
        <v>184</v>
      </c>
      <c r="D20" s="18"/>
      <c r="E20" s="18"/>
      <c r="F20" s="18"/>
    </row>
    <row r="21" customFormat="false" ht="31.5" hidden="false" customHeight="true" outlineLevel="0" collapsed="false">
      <c r="A21" s="5" t="n">
        <v>18</v>
      </c>
      <c r="B21" s="6" t="s">
        <v>185</v>
      </c>
      <c r="C21" s="7" t="s">
        <v>186</v>
      </c>
      <c r="D21" s="22"/>
      <c r="E21" s="22"/>
      <c r="F21" s="22"/>
    </row>
    <row r="22" customFormat="false" ht="31.5" hidden="false" customHeight="true" outlineLevel="0" collapsed="false">
      <c r="A22" s="9" t="n">
        <v>19</v>
      </c>
      <c r="B22" s="10" t="s">
        <v>187</v>
      </c>
      <c r="C22" s="11" t="s">
        <v>188</v>
      </c>
      <c r="D22" s="18"/>
      <c r="E22" s="18"/>
      <c r="F22" s="18"/>
    </row>
    <row r="23" customFormat="false" ht="31.5" hidden="false" customHeight="true" outlineLevel="0" collapsed="false">
      <c r="A23" s="5" t="n">
        <v>20</v>
      </c>
      <c r="B23" s="6" t="s">
        <v>189</v>
      </c>
      <c r="C23" s="7" t="s">
        <v>190</v>
      </c>
      <c r="D23" s="22"/>
      <c r="E23" s="22"/>
      <c r="F23" s="2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2026-05-05T06:00:54Z</dcterms:created>
  <dc:creator>openpyxl</dc:creator>
  <dc:description/>
  <dc:language>en-US</dc:language>
  <cp:lastModifiedBy/>
  <dcterms:modified xsi:type="dcterms:W3CDTF">2026-05-05T06:01:10Z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